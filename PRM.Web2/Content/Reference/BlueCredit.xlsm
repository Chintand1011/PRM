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50" windowWidth="21075" windowHeight="8190"/>
  </bookViews>
  <sheets>
    <sheet name="Sheet1" sheetId="1" r:id="rId1"/>
    <sheet name="Sheet2" sheetId="3" r:id="rId2"/>
  </sheets>
  <calcPr calcId="144525"/>
</workbook>
</file>

<file path=xl/calcChain.xml><?xml version="1.0" encoding="utf-8"?>
<calcChain xmlns="http://schemas.openxmlformats.org/spreadsheetml/2006/main">
  <c r="B1" i="3" l="1"/>
  <c r="B2" i="3" s="1"/>
  <c r="B3" i="3" s="1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D132" i="3" l="1"/>
  <c r="D37" i="3"/>
  <c r="D1" i="3"/>
  <c r="D53" i="3"/>
  <c r="D15" i="3"/>
  <c r="D6" i="3"/>
  <c r="D2" i="3"/>
  <c r="D8" i="3"/>
  <c r="D4" i="3"/>
  <c r="D7" i="3"/>
  <c r="D3" i="3"/>
  <c r="D11" i="3"/>
  <c r="D5" i="3"/>
  <c r="D130" i="3"/>
  <c r="D122" i="3"/>
  <c r="D114" i="3"/>
  <c r="D106" i="3"/>
  <c r="D98" i="3"/>
  <c r="D90" i="3"/>
  <c r="D82" i="3"/>
  <c r="D74" i="3"/>
  <c r="D66" i="3"/>
  <c r="D58" i="3"/>
  <c r="D50" i="3"/>
  <c r="D42" i="3"/>
  <c r="D34" i="3"/>
  <c r="D26" i="3"/>
  <c r="D18" i="3"/>
  <c r="D14" i="3"/>
  <c r="D10" i="3"/>
  <c r="D129" i="3"/>
  <c r="D125" i="3"/>
  <c r="D121" i="3"/>
  <c r="D117" i="3"/>
  <c r="D113" i="3"/>
  <c r="D109" i="3"/>
  <c r="D105" i="3"/>
  <c r="D101" i="3"/>
  <c r="D97" i="3"/>
  <c r="D93" i="3"/>
  <c r="D89" i="3"/>
  <c r="D85" i="3"/>
  <c r="D81" i="3"/>
  <c r="D77" i="3"/>
  <c r="D73" i="3"/>
  <c r="D69" i="3"/>
  <c r="D65" i="3"/>
  <c r="D61" i="3"/>
  <c r="D57" i="3"/>
  <c r="D49" i="3"/>
  <c r="D45" i="3"/>
  <c r="D41" i="3"/>
  <c r="D33" i="3"/>
  <c r="D29" i="3"/>
  <c r="D25" i="3"/>
  <c r="D21" i="3"/>
  <c r="D17" i="3"/>
  <c r="D13" i="3"/>
  <c r="D9" i="3"/>
  <c r="D128" i="3"/>
  <c r="D124" i="3"/>
  <c r="D120" i="3"/>
  <c r="D116" i="3"/>
  <c r="D112" i="3"/>
  <c r="D108" i="3"/>
  <c r="D104" i="3"/>
  <c r="D100" i="3"/>
  <c r="D96" i="3"/>
  <c r="D92" i="3"/>
  <c r="D88" i="3"/>
  <c r="D84" i="3"/>
  <c r="D80" i="3"/>
  <c r="D76" i="3"/>
  <c r="D72" i="3"/>
  <c r="D68" i="3"/>
  <c r="D64" i="3"/>
  <c r="D60" i="3"/>
  <c r="D56" i="3"/>
  <c r="D52" i="3"/>
  <c r="D48" i="3"/>
  <c r="D44" i="3"/>
  <c r="D40" i="3"/>
  <c r="D36" i="3"/>
  <c r="D32" i="3"/>
  <c r="D28" i="3"/>
  <c r="D24" i="3"/>
  <c r="D20" i="3"/>
  <c r="D126" i="3"/>
  <c r="D118" i="3"/>
  <c r="D110" i="3"/>
  <c r="D102" i="3"/>
  <c r="D94" i="3"/>
  <c r="D86" i="3"/>
  <c r="D78" i="3"/>
  <c r="D70" i="3"/>
  <c r="D62" i="3"/>
  <c r="D54" i="3"/>
  <c r="D46" i="3"/>
  <c r="D38" i="3"/>
  <c r="D30" i="3"/>
  <c r="D22" i="3"/>
  <c r="D16" i="3"/>
  <c r="D12" i="3"/>
  <c r="D131" i="3"/>
  <c r="D127" i="3"/>
  <c r="D123" i="3"/>
  <c r="D119" i="3"/>
  <c r="D115" i="3"/>
  <c r="D111" i="3"/>
  <c r="D107" i="3"/>
  <c r="D103" i="3"/>
  <c r="D99" i="3"/>
  <c r="D95" i="3"/>
  <c r="D91" i="3"/>
  <c r="D87" i="3"/>
  <c r="D83" i="3"/>
  <c r="D79" i="3"/>
  <c r="D75" i="3"/>
  <c r="D71" i="3"/>
  <c r="D67" i="3"/>
  <c r="D63" i="3"/>
  <c r="D59" i="3"/>
  <c r="D55" i="3"/>
  <c r="D51" i="3"/>
  <c r="D47" i="3"/>
  <c r="D43" i="3"/>
  <c r="D39" i="3"/>
  <c r="D35" i="3"/>
  <c r="D31" i="3"/>
  <c r="D27" i="3"/>
  <c r="D23" i="3"/>
  <c r="D19" i="3"/>
  <c r="O18" i="1"/>
  <c r="O97" i="1"/>
  <c r="O169" i="1"/>
  <c r="O209" i="1"/>
  <c r="O253" i="1"/>
  <c r="O289" i="1"/>
  <c r="O309" i="1"/>
  <c r="O10" i="1"/>
  <c r="O34" i="1"/>
  <c r="O38" i="1"/>
  <c r="O42" i="1"/>
  <c r="O54" i="1"/>
  <c r="O58" i="1"/>
  <c r="O66" i="1"/>
  <c r="O74" i="1"/>
  <c r="O82" i="1"/>
  <c r="O86" i="1"/>
  <c r="O98" i="1"/>
  <c r="O102" i="1"/>
  <c r="O106" i="1"/>
  <c r="O114" i="1"/>
  <c r="O118" i="1"/>
  <c r="O122" i="1"/>
  <c r="O130" i="1"/>
  <c r="O134" i="1"/>
  <c r="O138" i="1"/>
  <c r="O146" i="1"/>
  <c r="O150" i="1"/>
  <c r="O154" i="1"/>
  <c r="O162" i="1"/>
  <c r="O166" i="1"/>
  <c r="O170" i="1"/>
  <c r="O178" i="1"/>
  <c r="O182" i="1"/>
  <c r="O186" i="1"/>
  <c r="O194" i="1"/>
  <c r="O198" i="1"/>
  <c r="O202" i="1"/>
  <c r="O210" i="1"/>
  <c r="O214" i="1"/>
  <c r="O218" i="1"/>
  <c r="O222" i="1"/>
  <c r="O226" i="1"/>
  <c r="O230" i="1"/>
  <c r="O234" i="1"/>
  <c r="O238" i="1"/>
  <c r="O242" i="1"/>
  <c r="O246" i="1"/>
  <c r="O250" i="1"/>
  <c r="O254" i="1"/>
  <c r="O258" i="1"/>
  <c r="O262" i="1"/>
  <c r="O266" i="1"/>
  <c r="O270" i="1"/>
  <c r="O274" i="1"/>
  <c r="O278" i="1"/>
  <c r="O282" i="1"/>
  <c r="O286" i="1"/>
  <c r="O290" i="1"/>
  <c r="O294" i="1"/>
  <c r="O298" i="1"/>
  <c r="O302" i="1"/>
  <c r="O306" i="1"/>
  <c r="O310" i="1"/>
  <c r="O314" i="1"/>
  <c r="O318" i="1"/>
  <c r="O322" i="1"/>
  <c r="O326" i="1"/>
  <c r="O330" i="1"/>
  <c r="O334" i="1"/>
  <c r="O338" i="1"/>
  <c r="O342" i="1"/>
  <c r="O7" i="1"/>
  <c r="O11" i="1"/>
  <c r="O15" i="1"/>
  <c r="O19" i="1"/>
  <c r="O23" i="1"/>
  <c r="O27" i="1"/>
  <c r="O31" i="1"/>
  <c r="O35" i="1"/>
  <c r="O39" i="1"/>
  <c r="O43" i="1"/>
  <c r="O47" i="1"/>
  <c r="O51" i="1"/>
  <c r="O55" i="1"/>
  <c r="O59" i="1"/>
  <c r="O63" i="1"/>
  <c r="O67" i="1"/>
  <c r="O71" i="1"/>
  <c r="O75" i="1"/>
  <c r="O79" i="1"/>
  <c r="O83" i="1"/>
  <c r="O87" i="1"/>
  <c r="O91" i="1"/>
  <c r="O95" i="1"/>
  <c r="O99" i="1"/>
  <c r="O103" i="1"/>
  <c r="O107" i="1"/>
  <c r="O111" i="1"/>
  <c r="O115" i="1"/>
  <c r="O119" i="1"/>
  <c r="O123" i="1"/>
  <c r="O127" i="1"/>
  <c r="O131" i="1"/>
  <c r="O135" i="1"/>
  <c r="O139" i="1"/>
  <c r="O143" i="1"/>
  <c r="O147" i="1"/>
  <c r="O151" i="1"/>
  <c r="O155" i="1"/>
  <c r="O159" i="1"/>
  <c r="O163" i="1"/>
  <c r="O167" i="1"/>
  <c r="O171" i="1"/>
  <c r="O175" i="1"/>
  <c r="O179" i="1"/>
  <c r="O183" i="1"/>
  <c r="O187" i="1"/>
  <c r="O191" i="1"/>
  <c r="O195" i="1"/>
  <c r="O199" i="1"/>
  <c r="O203" i="1"/>
  <c r="O207" i="1"/>
  <c r="O211" i="1"/>
  <c r="O215" i="1"/>
  <c r="O219" i="1"/>
  <c r="O223" i="1"/>
  <c r="O227" i="1"/>
  <c r="O231" i="1"/>
  <c r="O235" i="1"/>
  <c r="O239" i="1"/>
  <c r="O243" i="1"/>
  <c r="O247" i="1"/>
  <c r="O251" i="1"/>
  <c r="O255" i="1"/>
  <c r="O259" i="1"/>
  <c r="O263" i="1"/>
  <c r="O8" i="1"/>
  <c r="O12" i="1"/>
  <c r="O16" i="1"/>
  <c r="O20" i="1"/>
  <c r="O24" i="1"/>
  <c r="O28" i="1"/>
  <c r="O32" i="1"/>
  <c r="O36" i="1"/>
  <c r="O40" i="1"/>
  <c r="O44" i="1"/>
  <c r="O48" i="1"/>
  <c r="O52" i="1"/>
  <c r="O56" i="1"/>
  <c r="O60" i="1"/>
  <c r="O64" i="1"/>
  <c r="O68" i="1"/>
  <c r="O72" i="1"/>
  <c r="O76" i="1"/>
  <c r="O80" i="1"/>
  <c r="O84" i="1"/>
  <c r="O88" i="1"/>
  <c r="O92" i="1"/>
  <c r="O96" i="1"/>
  <c r="O100" i="1"/>
  <c r="O104" i="1"/>
  <c r="O108" i="1"/>
  <c r="O112" i="1"/>
  <c r="O116" i="1"/>
  <c r="O120" i="1"/>
  <c r="O124" i="1"/>
  <c r="O128" i="1"/>
  <c r="O132" i="1"/>
  <c r="O136" i="1"/>
  <c r="O140" i="1"/>
  <c r="O144" i="1"/>
  <c r="O148" i="1"/>
  <c r="O152" i="1"/>
  <c r="O156" i="1"/>
  <c r="O160" i="1"/>
  <c r="O164" i="1"/>
  <c r="O168" i="1"/>
  <c r="O172" i="1"/>
  <c r="O176" i="1"/>
  <c r="O180" i="1"/>
  <c r="O184" i="1"/>
  <c r="O188" i="1"/>
  <c r="O192" i="1"/>
  <c r="O196" i="1"/>
  <c r="O200" i="1"/>
  <c r="O204" i="1"/>
  <c r="O208" i="1"/>
  <c r="O212" i="1"/>
  <c r="O216" i="1"/>
  <c r="O220" i="1"/>
  <c r="O224" i="1"/>
  <c r="O228" i="1"/>
  <c r="O232" i="1"/>
  <c r="O236" i="1"/>
  <c r="O240" i="1"/>
  <c r="O244" i="1"/>
  <c r="O248" i="1"/>
  <c r="O252" i="1"/>
  <c r="O256" i="1"/>
  <c r="O260" i="1"/>
  <c r="O264" i="1"/>
  <c r="O268" i="1"/>
  <c r="O272" i="1"/>
  <c r="O276" i="1"/>
  <c r="O280" i="1"/>
  <c r="O284" i="1"/>
  <c r="O288" i="1"/>
  <c r="O292" i="1"/>
  <c r="O296" i="1"/>
  <c r="O300" i="1"/>
  <c r="O304" i="1"/>
  <c r="O308" i="1"/>
  <c r="O312" i="1"/>
  <c r="O316" i="1"/>
  <c r="O320" i="1"/>
  <c r="O324" i="1"/>
  <c r="O328" i="1"/>
  <c r="O332" i="1"/>
  <c r="O336" i="1"/>
  <c r="O340" i="1"/>
  <c r="O344" i="1"/>
  <c r="O271" i="1"/>
  <c r="O287" i="1"/>
  <c r="O303" i="1"/>
  <c r="O319" i="1"/>
  <c r="O329" i="1"/>
  <c r="O337" i="1"/>
  <c r="O345" i="1"/>
  <c r="O349" i="1"/>
  <c r="O353" i="1"/>
  <c r="O357" i="1"/>
  <c r="O361" i="1"/>
  <c r="O365" i="1"/>
  <c r="O369" i="1"/>
  <c r="O373" i="1"/>
  <c r="O377" i="1"/>
  <c r="O381" i="1"/>
  <c r="O385" i="1"/>
  <c r="O389" i="1"/>
  <c r="O393" i="1"/>
  <c r="O397" i="1"/>
  <c r="O401" i="1"/>
  <c r="O405" i="1"/>
  <c r="O409" i="1"/>
  <c r="O413" i="1"/>
  <c r="O417" i="1"/>
  <c r="O421" i="1"/>
  <c r="O425" i="1"/>
  <c r="O429" i="1"/>
  <c r="O433" i="1"/>
  <c r="O437" i="1"/>
  <c r="O441" i="1"/>
  <c r="O445" i="1"/>
  <c r="O449" i="1"/>
  <c r="O453" i="1"/>
  <c r="O457" i="1"/>
  <c r="O461" i="1"/>
  <c r="O465" i="1"/>
  <c r="O469" i="1"/>
  <c r="O473" i="1"/>
  <c r="O477" i="1"/>
  <c r="O481" i="1"/>
  <c r="O485" i="1"/>
  <c r="O489" i="1"/>
  <c r="O493" i="1"/>
  <c r="O497" i="1"/>
  <c r="O501" i="1"/>
  <c r="O505" i="1"/>
  <c r="O509" i="1"/>
  <c r="O513" i="1"/>
  <c r="O517" i="1"/>
  <c r="O521" i="1"/>
  <c r="O525" i="1"/>
  <c r="O529" i="1"/>
  <c r="O275" i="1"/>
  <c r="O291" i="1"/>
  <c r="O307" i="1"/>
  <c r="O323" i="1"/>
  <c r="O331" i="1"/>
  <c r="O339" i="1"/>
  <c r="O346" i="1"/>
  <c r="O350" i="1"/>
  <c r="O354" i="1"/>
  <c r="O358" i="1"/>
  <c r="O362" i="1"/>
  <c r="O366" i="1"/>
  <c r="O370" i="1"/>
  <c r="O374" i="1"/>
  <c r="O378" i="1"/>
  <c r="O382" i="1"/>
  <c r="O386" i="1"/>
  <c r="O390" i="1"/>
  <c r="O394" i="1"/>
  <c r="O398" i="1"/>
  <c r="O402" i="1"/>
  <c r="O406" i="1"/>
  <c r="O410" i="1"/>
  <c r="O414" i="1"/>
  <c r="O418" i="1"/>
  <c r="O422" i="1"/>
  <c r="O426" i="1"/>
  <c r="O430" i="1"/>
  <c r="O434" i="1"/>
  <c r="O438" i="1"/>
  <c r="O442" i="1"/>
  <c r="O446" i="1"/>
  <c r="O450" i="1"/>
  <c r="O454" i="1"/>
  <c r="O458" i="1"/>
  <c r="O462" i="1"/>
  <c r="O466" i="1"/>
  <c r="O279" i="1"/>
  <c r="O295" i="1"/>
  <c r="O311" i="1"/>
  <c r="O325" i="1"/>
  <c r="O333" i="1"/>
  <c r="O341" i="1"/>
  <c r="O347" i="1"/>
  <c r="O351" i="1"/>
  <c r="O355" i="1"/>
  <c r="O359" i="1"/>
  <c r="O363" i="1"/>
  <c r="O367" i="1"/>
  <c r="O371" i="1"/>
  <c r="O375" i="1"/>
  <c r="O379" i="1"/>
  <c r="O383" i="1"/>
  <c r="O387" i="1"/>
  <c r="O391" i="1"/>
  <c r="O395" i="1"/>
  <c r="O399" i="1"/>
  <c r="O403" i="1"/>
  <c r="O407" i="1"/>
  <c r="O411" i="1"/>
  <c r="O415" i="1"/>
  <c r="O419" i="1"/>
  <c r="O423" i="1"/>
  <c r="O427" i="1"/>
  <c r="O431" i="1"/>
  <c r="O435" i="1"/>
  <c r="O439" i="1"/>
  <c r="O443" i="1"/>
  <c r="O447" i="1"/>
  <c r="O451" i="1"/>
  <c r="O455" i="1"/>
  <c r="O459" i="1"/>
  <c r="O463" i="1"/>
  <c r="O467" i="1"/>
  <c r="O471" i="1"/>
  <c r="O475" i="1"/>
  <c r="O479" i="1"/>
  <c r="O483" i="1"/>
  <c r="O487" i="1"/>
  <c r="O491" i="1"/>
  <c r="O495" i="1"/>
  <c r="O499" i="1"/>
  <c r="O503" i="1"/>
  <c r="O507" i="1"/>
  <c r="O511" i="1"/>
  <c r="O515" i="1"/>
  <c r="O519" i="1"/>
  <c r="O523" i="1"/>
  <c r="O527" i="1"/>
  <c r="O531" i="1"/>
  <c r="O535" i="1"/>
  <c r="O539" i="1"/>
  <c r="O543" i="1"/>
  <c r="O547" i="1"/>
  <c r="O551" i="1"/>
  <c r="O555" i="1"/>
  <c r="O559" i="1"/>
  <c r="O563" i="1"/>
  <c r="O567" i="1"/>
  <c r="O571" i="1"/>
  <c r="O575" i="1"/>
  <c r="O579" i="1"/>
  <c r="O583" i="1"/>
  <c r="O587" i="1"/>
  <c r="O591" i="1"/>
  <c r="O595" i="1"/>
  <c r="O599" i="1"/>
  <c r="O603" i="1"/>
  <c r="O607" i="1"/>
  <c r="O611" i="1"/>
  <c r="O615" i="1"/>
  <c r="O619" i="1"/>
  <c r="O623" i="1"/>
  <c r="O627" i="1"/>
  <c r="O631" i="1"/>
  <c r="O635" i="1"/>
  <c r="O639" i="1"/>
  <c r="O643" i="1"/>
  <c r="O647" i="1"/>
  <c r="O651" i="1"/>
  <c r="O655" i="1"/>
  <c r="O659" i="1"/>
  <c r="O267" i="1"/>
  <c r="O327" i="1"/>
  <c r="O352" i="1"/>
  <c r="O368" i="1"/>
  <c r="O384" i="1"/>
  <c r="O400" i="1"/>
  <c r="O416" i="1"/>
  <c r="O432" i="1"/>
  <c r="O448" i="1"/>
  <c r="O464" i="1"/>
  <c r="O474" i="1"/>
  <c r="O482" i="1"/>
  <c r="O490" i="1"/>
  <c r="O498" i="1"/>
  <c r="O506" i="1"/>
  <c r="O514" i="1"/>
  <c r="O522" i="1"/>
  <c r="O530" i="1"/>
  <c r="O536" i="1"/>
  <c r="O541" i="1"/>
  <c r="O546" i="1"/>
  <c r="O552" i="1"/>
  <c r="O557" i="1"/>
  <c r="O562" i="1"/>
  <c r="O568" i="1"/>
  <c r="O573" i="1"/>
  <c r="O578" i="1"/>
  <c r="O584" i="1"/>
  <c r="O589" i="1"/>
  <c r="O594" i="1"/>
  <c r="O600" i="1"/>
  <c r="O605" i="1"/>
  <c r="O610" i="1"/>
  <c r="O616" i="1"/>
  <c r="O621" i="1"/>
  <c r="O626" i="1"/>
  <c r="O632" i="1"/>
  <c r="O637" i="1"/>
  <c r="O642" i="1"/>
  <c r="O648" i="1"/>
  <c r="O653" i="1"/>
  <c r="O658" i="1"/>
  <c r="O663" i="1"/>
  <c r="O667" i="1"/>
  <c r="O671" i="1"/>
  <c r="O675" i="1"/>
  <c r="O679" i="1"/>
  <c r="O683" i="1"/>
  <c r="O687" i="1"/>
  <c r="O691" i="1"/>
  <c r="O695" i="1"/>
  <c r="O699" i="1"/>
  <c r="O703" i="1"/>
  <c r="O707" i="1"/>
  <c r="O711" i="1"/>
  <c r="O715" i="1"/>
  <c r="O719" i="1"/>
  <c r="O723" i="1"/>
  <c r="O727" i="1"/>
  <c r="O731" i="1"/>
  <c r="O735" i="1"/>
  <c r="O739" i="1"/>
  <c r="O743" i="1"/>
  <c r="O747" i="1"/>
  <c r="O751" i="1"/>
  <c r="O755" i="1"/>
  <c r="O759" i="1"/>
  <c r="O763" i="1"/>
  <c r="O767" i="1"/>
  <c r="O771" i="1"/>
  <c r="O775" i="1"/>
  <c r="O779" i="1"/>
  <c r="O783" i="1"/>
  <c r="O787" i="1"/>
  <c r="O791" i="1"/>
  <c r="O795" i="1"/>
  <c r="O799" i="1"/>
  <c r="O803" i="1"/>
  <c r="O807" i="1"/>
  <c r="O811" i="1"/>
  <c r="O815" i="1"/>
  <c r="O819" i="1"/>
  <c r="O823" i="1"/>
  <c r="O827" i="1"/>
  <c r="O831" i="1"/>
  <c r="O283" i="1"/>
  <c r="O335" i="1"/>
  <c r="O356" i="1"/>
  <c r="O372" i="1"/>
  <c r="O388" i="1"/>
  <c r="O404" i="1"/>
  <c r="O420" i="1"/>
  <c r="O436" i="1"/>
  <c r="O452" i="1"/>
  <c r="O468" i="1"/>
  <c r="O476" i="1"/>
  <c r="O484" i="1"/>
  <c r="O492" i="1"/>
  <c r="O500" i="1"/>
  <c r="O508" i="1"/>
  <c r="O516" i="1"/>
  <c r="O524" i="1"/>
  <c r="O532" i="1"/>
  <c r="O537" i="1"/>
  <c r="O542" i="1"/>
  <c r="O548" i="1"/>
  <c r="O553" i="1"/>
  <c r="O558" i="1"/>
  <c r="O564" i="1"/>
  <c r="O569" i="1"/>
  <c r="O574" i="1"/>
  <c r="O580" i="1"/>
  <c r="O585" i="1"/>
  <c r="O590" i="1"/>
  <c r="O596" i="1"/>
  <c r="O601" i="1"/>
  <c r="O606" i="1"/>
  <c r="O612" i="1"/>
  <c r="O617" i="1"/>
  <c r="O622" i="1"/>
  <c r="O628" i="1"/>
  <c r="O633" i="1"/>
  <c r="O638" i="1"/>
  <c r="O644" i="1"/>
  <c r="O649" i="1"/>
  <c r="O654" i="1"/>
  <c r="O660" i="1"/>
  <c r="O664" i="1"/>
  <c r="O668" i="1"/>
  <c r="O672" i="1"/>
  <c r="O676" i="1"/>
  <c r="O680" i="1"/>
  <c r="O684" i="1"/>
  <c r="O688" i="1"/>
  <c r="O692" i="1"/>
  <c r="O696" i="1"/>
  <c r="O700" i="1"/>
  <c r="O704" i="1"/>
  <c r="O708" i="1"/>
  <c r="O712" i="1"/>
  <c r="O716" i="1"/>
  <c r="O720" i="1"/>
  <c r="O724" i="1"/>
  <c r="O728" i="1"/>
  <c r="O732" i="1"/>
  <c r="O736" i="1"/>
  <c r="O740" i="1"/>
  <c r="O744" i="1"/>
  <c r="O748" i="1"/>
  <c r="O752" i="1"/>
  <c r="O299" i="1"/>
  <c r="O343" i="1"/>
  <c r="O360" i="1"/>
  <c r="O376" i="1"/>
  <c r="O392" i="1"/>
  <c r="O408" i="1"/>
  <c r="O424" i="1"/>
  <c r="O440" i="1"/>
  <c r="O456" i="1"/>
  <c r="O470" i="1"/>
  <c r="O478" i="1"/>
  <c r="O486" i="1"/>
  <c r="O494" i="1"/>
  <c r="O502" i="1"/>
  <c r="O510" i="1"/>
  <c r="O518" i="1"/>
  <c r="O526" i="1"/>
  <c r="O533" i="1"/>
  <c r="O538" i="1"/>
  <c r="O544" i="1"/>
  <c r="O549" i="1"/>
  <c r="O554" i="1"/>
  <c r="O560" i="1"/>
  <c r="O565" i="1"/>
  <c r="O570" i="1"/>
  <c r="O576" i="1"/>
  <c r="O581" i="1"/>
  <c r="O586" i="1"/>
  <c r="O592" i="1"/>
  <c r="O597" i="1"/>
  <c r="O602" i="1"/>
  <c r="O608" i="1"/>
  <c r="O613" i="1"/>
  <c r="O618" i="1"/>
  <c r="O624" i="1"/>
  <c r="O629" i="1"/>
  <c r="O634" i="1"/>
  <c r="O640" i="1"/>
  <c r="O645" i="1"/>
  <c r="O650" i="1"/>
  <c r="O656" i="1"/>
  <c r="O661" i="1"/>
  <c r="O665" i="1"/>
  <c r="O669" i="1"/>
  <c r="O673" i="1"/>
  <c r="O677" i="1"/>
  <c r="O315" i="1"/>
  <c r="O348" i="1"/>
  <c r="O364" i="1"/>
  <c r="O380" i="1"/>
  <c r="O396" i="1"/>
  <c r="O412" i="1"/>
  <c r="O428" i="1"/>
  <c r="O444" i="1"/>
  <c r="O460" i="1"/>
  <c r="O472" i="1"/>
  <c r="O480" i="1"/>
  <c r="O488" i="1"/>
  <c r="O496" i="1"/>
  <c r="O504" i="1"/>
  <c r="O512" i="1"/>
  <c r="O520" i="1"/>
  <c r="O528" i="1"/>
  <c r="O534" i="1"/>
  <c r="O540" i="1"/>
  <c r="O545" i="1"/>
  <c r="O550" i="1"/>
  <c r="O556" i="1"/>
  <c r="O561" i="1"/>
  <c r="O566" i="1"/>
  <c r="O572" i="1"/>
  <c r="O577" i="1"/>
  <c r="O582" i="1"/>
  <c r="O588" i="1"/>
  <c r="O593" i="1"/>
  <c r="O598" i="1"/>
  <c r="O604" i="1"/>
  <c r="O609" i="1"/>
  <c r="O614" i="1"/>
  <c r="O620" i="1"/>
  <c r="O625" i="1"/>
  <c r="O630" i="1"/>
  <c r="O636" i="1"/>
  <c r="O641" i="1"/>
  <c r="O646" i="1"/>
  <c r="O652" i="1"/>
  <c r="O657" i="1"/>
  <c r="O662" i="1"/>
  <c r="O666" i="1"/>
  <c r="O670" i="1"/>
  <c r="O674" i="1"/>
  <c r="O678" i="1"/>
  <c r="O682" i="1"/>
  <c r="O686" i="1"/>
  <c r="O690" i="1"/>
  <c r="O694" i="1"/>
  <c r="O698" i="1"/>
  <c r="O702" i="1"/>
  <c r="O706" i="1"/>
  <c r="O710" i="1"/>
  <c r="O714" i="1"/>
  <c r="O718" i="1"/>
  <c r="O722" i="1"/>
  <c r="O726" i="1"/>
  <c r="O730" i="1"/>
  <c r="O734" i="1"/>
  <c r="O738" i="1"/>
  <c r="O742" i="1"/>
  <c r="O746" i="1"/>
  <c r="O750" i="1"/>
  <c r="O754" i="1"/>
  <c r="O758" i="1"/>
  <c r="O762" i="1"/>
  <c r="O766" i="1"/>
  <c r="O770" i="1"/>
  <c r="O774" i="1"/>
  <c r="O778" i="1"/>
  <c r="O782" i="1"/>
  <c r="O786" i="1"/>
  <c r="O790" i="1"/>
  <c r="O794" i="1"/>
  <c r="O798" i="1"/>
  <c r="O802" i="1"/>
  <c r="O806" i="1"/>
  <c r="O810" i="1"/>
  <c r="O814" i="1"/>
  <c r="O818" i="1"/>
  <c r="O822" i="1"/>
  <c r="O826" i="1"/>
  <c r="O830" i="1"/>
  <c r="O834" i="1"/>
  <c r="O838" i="1"/>
  <c r="O842" i="1"/>
  <c r="O846" i="1"/>
  <c r="O850" i="1"/>
  <c r="O854" i="1"/>
  <c r="O858" i="1"/>
  <c r="O862" i="1"/>
  <c r="O681" i="1"/>
  <c r="O697" i="1"/>
  <c r="O713" i="1"/>
  <c r="O729" i="1"/>
  <c r="O745" i="1"/>
  <c r="O757" i="1"/>
  <c r="O765" i="1"/>
  <c r="O773" i="1"/>
  <c r="O781" i="1"/>
  <c r="O789" i="1"/>
  <c r="O797" i="1"/>
  <c r="O805" i="1"/>
  <c r="O813" i="1"/>
  <c r="O821" i="1"/>
  <c r="O829" i="1"/>
  <c r="O836" i="1"/>
  <c r="O841" i="1"/>
  <c r="O847" i="1"/>
  <c r="O852" i="1"/>
  <c r="O857" i="1"/>
  <c r="O863" i="1"/>
  <c r="O867" i="1"/>
  <c r="O871" i="1"/>
  <c r="O875" i="1"/>
  <c r="O879" i="1"/>
  <c r="O883" i="1"/>
  <c r="O887" i="1"/>
  <c r="O891" i="1"/>
  <c r="O895" i="1"/>
  <c r="O899" i="1"/>
  <c r="O903" i="1"/>
  <c r="O907" i="1"/>
  <c r="O911" i="1"/>
  <c r="O915" i="1"/>
  <c r="O919" i="1"/>
  <c r="O923" i="1"/>
  <c r="O927" i="1"/>
  <c r="O931" i="1"/>
  <c r="O935" i="1"/>
  <c r="O939" i="1"/>
  <c r="O943" i="1"/>
  <c r="O947" i="1"/>
  <c r="O951" i="1"/>
  <c r="O955" i="1"/>
  <c r="O959" i="1"/>
  <c r="O963" i="1"/>
  <c r="O967" i="1"/>
  <c r="O971" i="1"/>
  <c r="O975" i="1"/>
  <c r="O979" i="1"/>
  <c r="O983" i="1"/>
  <c r="O987" i="1"/>
  <c r="O991" i="1"/>
  <c r="O995" i="1"/>
  <c r="O999" i="1"/>
  <c r="O1003" i="1"/>
  <c r="O1007" i="1"/>
  <c r="O1011" i="1"/>
  <c r="O1015" i="1"/>
  <c r="O1019" i="1"/>
  <c r="O1023" i="1"/>
  <c r="O1027" i="1"/>
  <c r="O1031" i="1"/>
  <c r="O1035" i="1"/>
  <c r="O1039" i="1"/>
  <c r="O1043" i="1"/>
  <c r="O1047" i="1"/>
  <c r="O1051" i="1"/>
  <c r="O1055" i="1"/>
  <c r="O1059" i="1"/>
  <c r="O1063" i="1"/>
  <c r="O1067" i="1"/>
  <c r="O1071" i="1"/>
  <c r="O1075" i="1"/>
  <c r="O1079" i="1"/>
  <c r="O1083" i="1"/>
  <c r="O1087" i="1"/>
  <c r="O1091" i="1"/>
  <c r="O1095" i="1"/>
  <c r="O1099" i="1"/>
  <c r="O1103" i="1"/>
  <c r="O1107" i="1"/>
  <c r="O1111" i="1"/>
  <c r="O1115" i="1"/>
  <c r="O1119" i="1"/>
  <c r="O1123" i="1"/>
  <c r="O1127" i="1"/>
  <c r="O1131" i="1"/>
  <c r="O1135" i="1"/>
  <c r="O1139" i="1"/>
  <c r="O1143" i="1"/>
  <c r="O1147" i="1"/>
  <c r="O1151" i="1"/>
  <c r="O1155" i="1"/>
  <c r="O1159" i="1"/>
  <c r="O1163" i="1"/>
  <c r="O1167" i="1"/>
  <c r="O1171" i="1"/>
  <c r="O1175" i="1"/>
  <c r="O1179" i="1"/>
  <c r="O1183" i="1"/>
  <c r="O1187" i="1"/>
  <c r="O1191" i="1"/>
  <c r="O1195" i="1"/>
  <c r="O1199" i="1"/>
  <c r="O685" i="1"/>
  <c r="O701" i="1"/>
  <c r="O717" i="1"/>
  <c r="O733" i="1"/>
  <c r="O749" i="1"/>
  <c r="O760" i="1"/>
  <c r="O768" i="1"/>
  <c r="O776" i="1"/>
  <c r="O784" i="1"/>
  <c r="O792" i="1"/>
  <c r="O800" i="1"/>
  <c r="O808" i="1"/>
  <c r="O816" i="1"/>
  <c r="O824" i="1"/>
  <c r="O832" i="1"/>
  <c r="O837" i="1"/>
  <c r="O843" i="1"/>
  <c r="O848" i="1"/>
  <c r="O853" i="1"/>
  <c r="O859" i="1"/>
  <c r="O864" i="1"/>
  <c r="O868" i="1"/>
  <c r="O872" i="1"/>
  <c r="O876" i="1"/>
  <c r="O880" i="1"/>
  <c r="O884" i="1"/>
  <c r="O888" i="1"/>
  <c r="O892" i="1"/>
  <c r="O896" i="1"/>
  <c r="O900" i="1"/>
  <c r="O904" i="1"/>
  <c r="O908" i="1"/>
  <c r="O912" i="1"/>
  <c r="O916" i="1"/>
  <c r="O920" i="1"/>
  <c r="O924" i="1"/>
  <c r="O928" i="1"/>
  <c r="O932" i="1"/>
  <c r="O936" i="1"/>
  <c r="O940" i="1"/>
  <c r="O944" i="1"/>
  <c r="O948" i="1"/>
  <c r="O952" i="1"/>
  <c r="O956" i="1"/>
  <c r="O960" i="1"/>
  <c r="O964" i="1"/>
  <c r="O968" i="1"/>
  <c r="O972" i="1"/>
  <c r="O976" i="1"/>
  <c r="O980" i="1"/>
  <c r="O984" i="1"/>
  <c r="O988" i="1"/>
  <c r="O992" i="1"/>
  <c r="O996" i="1"/>
  <c r="O1000" i="1"/>
  <c r="O1004" i="1"/>
  <c r="O1008" i="1"/>
  <c r="O1012" i="1"/>
  <c r="O1016" i="1"/>
  <c r="O1020" i="1"/>
  <c r="O1024" i="1"/>
  <c r="O1028" i="1"/>
  <c r="O1032" i="1"/>
  <c r="O1036" i="1"/>
  <c r="O1040" i="1"/>
  <c r="O1044" i="1"/>
  <c r="O1048" i="1"/>
  <c r="O1052" i="1"/>
  <c r="O1056" i="1"/>
  <c r="O1060" i="1"/>
  <c r="O1064" i="1"/>
  <c r="O1068" i="1"/>
  <c r="O1072" i="1"/>
  <c r="O1076" i="1"/>
  <c r="O1080" i="1"/>
  <c r="O1084" i="1"/>
  <c r="O1088" i="1"/>
  <c r="O1092" i="1"/>
  <c r="O1096" i="1"/>
  <c r="O1100" i="1"/>
  <c r="O1104" i="1"/>
  <c r="O1108" i="1"/>
  <c r="O1112" i="1"/>
  <c r="O1116" i="1"/>
  <c r="O1120" i="1"/>
  <c r="O1124" i="1"/>
  <c r="O1128" i="1"/>
  <c r="O1132" i="1"/>
  <c r="O1136" i="1"/>
  <c r="O1140" i="1"/>
  <c r="O1144" i="1"/>
  <c r="O1148" i="1"/>
  <c r="O1152" i="1"/>
  <c r="O1156" i="1"/>
  <c r="O1160" i="1"/>
  <c r="O1164" i="1"/>
  <c r="O1168" i="1"/>
  <c r="O1172" i="1"/>
  <c r="O1176" i="1"/>
  <c r="O1180" i="1"/>
  <c r="O1184" i="1"/>
  <c r="O1188" i="1"/>
  <c r="O1192" i="1"/>
  <c r="O1196" i="1"/>
  <c r="O1200" i="1"/>
  <c r="O689" i="1"/>
  <c r="O705" i="1"/>
  <c r="O721" i="1"/>
  <c r="O737" i="1"/>
  <c r="O753" i="1"/>
  <c r="O761" i="1"/>
  <c r="O769" i="1"/>
  <c r="O777" i="1"/>
  <c r="O785" i="1"/>
  <c r="O793" i="1"/>
  <c r="O801" i="1"/>
  <c r="O809" i="1"/>
  <c r="O817" i="1"/>
  <c r="O825" i="1"/>
  <c r="O833" i="1"/>
  <c r="O839" i="1"/>
  <c r="O844" i="1"/>
  <c r="O849" i="1"/>
  <c r="O855" i="1"/>
  <c r="O860" i="1"/>
  <c r="O865" i="1"/>
  <c r="O869" i="1"/>
  <c r="O873" i="1"/>
  <c r="O877" i="1"/>
  <c r="O881" i="1"/>
  <c r="O885" i="1"/>
  <c r="O889" i="1"/>
  <c r="O893" i="1"/>
  <c r="O897" i="1"/>
  <c r="O901" i="1"/>
  <c r="O905" i="1"/>
  <c r="O909" i="1"/>
  <c r="O913" i="1"/>
  <c r="O917" i="1"/>
  <c r="O921" i="1"/>
  <c r="O925" i="1"/>
  <c r="O929" i="1"/>
  <c r="O933" i="1"/>
  <c r="O937" i="1"/>
  <c r="O941" i="1"/>
  <c r="O945" i="1"/>
  <c r="O949" i="1"/>
  <c r="O953" i="1"/>
  <c r="O957" i="1"/>
  <c r="O961" i="1"/>
  <c r="O965" i="1"/>
  <c r="O969" i="1"/>
  <c r="O973" i="1"/>
  <c r="O977" i="1"/>
  <c r="O981" i="1"/>
  <c r="O985" i="1"/>
  <c r="O989" i="1"/>
  <c r="O993" i="1"/>
  <c r="O997" i="1"/>
  <c r="O1001" i="1"/>
  <c r="O1005" i="1"/>
  <c r="O1009" i="1"/>
  <c r="O1013" i="1"/>
  <c r="O1017" i="1"/>
  <c r="O1021" i="1"/>
  <c r="O1025" i="1"/>
  <c r="O1029" i="1"/>
  <c r="O1033" i="1"/>
  <c r="O1037" i="1"/>
  <c r="O1041" i="1"/>
  <c r="O1045" i="1"/>
  <c r="O1049" i="1"/>
  <c r="O1053" i="1"/>
  <c r="O1057" i="1"/>
  <c r="O1061" i="1"/>
  <c r="O1065" i="1"/>
  <c r="O1069" i="1"/>
  <c r="O1073" i="1"/>
  <c r="O1077" i="1"/>
  <c r="O1081" i="1"/>
  <c r="O1085" i="1"/>
  <c r="O1089" i="1"/>
  <c r="O1093" i="1"/>
  <c r="O1097" i="1"/>
  <c r="O1101" i="1"/>
  <c r="O1105" i="1"/>
  <c r="O1109" i="1"/>
  <c r="O1113" i="1"/>
  <c r="O1117" i="1"/>
  <c r="O1121" i="1"/>
  <c r="O693" i="1"/>
  <c r="O709" i="1"/>
  <c r="O725" i="1"/>
  <c r="O741" i="1"/>
  <c r="O756" i="1"/>
  <c r="O764" i="1"/>
  <c r="O772" i="1"/>
  <c r="O780" i="1"/>
  <c r="O788" i="1"/>
  <c r="O796" i="1"/>
  <c r="O804" i="1"/>
  <c r="O812" i="1"/>
  <c r="O820" i="1"/>
  <c r="O828" i="1"/>
  <c r="O835" i="1"/>
  <c r="O840" i="1"/>
  <c r="O845" i="1"/>
  <c r="O851" i="1"/>
  <c r="O856" i="1"/>
  <c r="O861" i="1"/>
  <c r="O866" i="1"/>
  <c r="O870" i="1"/>
  <c r="O874" i="1"/>
  <c r="O878" i="1"/>
  <c r="O882" i="1"/>
  <c r="O886" i="1"/>
  <c r="O890" i="1"/>
  <c r="O894" i="1"/>
  <c r="O898" i="1"/>
  <c r="O902" i="1"/>
  <c r="O906" i="1"/>
  <c r="O910" i="1"/>
  <c r="O914" i="1"/>
  <c r="O918" i="1"/>
  <c r="O922" i="1"/>
  <c r="O926" i="1"/>
  <c r="O930" i="1"/>
  <c r="O934" i="1"/>
  <c r="O938" i="1"/>
  <c r="O942" i="1"/>
  <c r="O946" i="1"/>
  <c r="O950" i="1"/>
  <c r="O954" i="1"/>
  <c r="O958" i="1"/>
  <c r="O962" i="1"/>
  <c r="O966" i="1"/>
  <c r="O970" i="1"/>
  <c r="O974" i="1"/>
  <c r="O978" i="1"/>
  <c r="O982" i="1"/>
  <c r="O986" i="1"/>
  <c r="O990" i="1"/>
  <c r="O994" i="1"/>
  <c r="O998" i="1"/>
  <c r="O1002" i="1"/>
  <c r="O1006" i="1"/>
  <c r="O1010" i="1"/>
  <c r="O1014" i="1"/>
  <c r="O1018" i="1"/>
  <c r="O1022" i="1"/>
  <c r="O1026" i="1"/>
  <c r="O1030" i="1"/>
  <c r="O1034" i="1"/>
  <c r="O1038" i="1"/>
  <c r="O1042" i="1"/>
  <c r="O1046" i="1"/>
  <c r="O1050" i="1"/>
  <c r="O1054" i="1"/>
  <c r="O1058" i="1"/>
  <c r="O1062" i="1"/>
  <c r="O1066" i="1"/>
  <c r="O1070" i="1"/>
  <c r="O1074" i="1"/>
  <c r="O1078" i="1"/>
  <c r="O1082" i="1"/>
  <c r="O1086" i="1"/>
  <c r="O1090" i="1"/>
  <c r="O1094" i="1"/>
  <c r="O1098" i="1"/>
  <c r="O1102" i="1"/>
  <c r="O1106" i="1"/>
  <c r="O1110" i="1"/>
  <c r="O1114" i="1"/>
  <c r="O1118" i="1"/>
  <c r="O1122" i="1"/>
  <c r="O1126" i="1"/>
  <c r="O1130" i="1"/>
  <c r="O1134" i="1"/>
  <c r="O1138" i="1"/>
  <c r="O1142" i="1"/>
  <c r="O1146" i="1"/>
  <c r="O1150" i="1"/>
  <c r="O1154" i="1"/>
  <c r="O1158" i="1"/>
  <c r="O1162" i="1"/>
  <c r="O1166" i="1"/>
  <c r="O1170" i="1"/>
  <c r="O1174" i="1"/>
  <c r="O1178" i="1"/>
  <c r="O1182" i="1"/>
  <c r="O1186" i="1"/>
  <c r="O1190" i="1"/>
  <c r="O1194" i="1"/>
  <c r="O1198" i="1"/>
  <c r="O1202" i="1"/>
  <c r="O1206" i="1"/>
  <c r="O1210" i="1"/>
  <c r="O1214" i="1"/>
  <c r="O1218" i="1"/>
  <c r="O1222" i="1"/>
  <c r="O1226" i="1"/>
  <c r="O1230" i="1"/>
  <c r="O1234" i="1"/>
  <c r="O1238" i="1"/>
  <c r="O1242" i="1"/>
  <c r="O1246" i="1"/>
  <c r="O1250" i="1"/>
  <c r="O1254" i="1"/>
  <c r="O1258" i="1"/>
  <c r="O1262" i="1"/>
  <c r="O1266" i="1"/>
  <c r="O1270" i="1"/>
  <c r="O1274" i="1"/>
  <c r="O1278" i="1"/>
  <c r="O1282" i="1"/>
  <c r="O1286" i="1"/>
  <c r="O1290" i="1"/>
  <c r="O1294" i="1"/>
  <c r="O1298" i="1"/>
  <c r="O1302" i="1"/>
  <c r="O1306" i="1"/>
  <c r="O1310" i="1"/>
  <c r="O1125" i="1"/>
  <c r="O1141" i="1"/>
  <c r="O1157" i="1"/>
  <c r="O1173" i="1"/>
  <c r="O1189" i="1"/>
  <c r="O1203" i="1"/>
  <c r="O1208" i="1"/>
  <c r="O1213" i="1"/>
  <c r="O1219" i="1"/>
  <c r="O1224" i="1"/>
  <c r="O1229" i="1"/>
  <c r="O1235" i="1"/>
  <c r="O1240" i="1"/>
  <c r="O1245" i="1"/>
  <c r="O1251" i="1"/>
  <c r="O1256" i="1"/>
  <c r="O1261" i="1"/>
  <c r="O1267" i="1"/>
  <c r="O1272" i="1"/>
  <c r="O1277" i="1"/>
  <c r="O1283" i="1"/>
  <c r="O1288" i="1"/>
  <c r="O1293" i="1"/>
  <c r="O1299" i="1"/>
  <c r="O1304" i="1"/>
  <c r="O1309" i="1"/>
  <c r="O1314" i="1"/>
  <c r="O1318" i="1"/>
  <c r="O1322" i="1"/>
  <c r="O1326" i="1"/>
  <c r="O1330" i="1"/>
  <c r="O1334" i="1"/>
  <c r="O1338" i="1"/>
  <c r="O1342" i="1"/>
  <c r="O1346" i="1"/>
  <c r="O1350" i="1"/>
  <c r="O1354" i="1"/>
  <c r="O1358" i="1"/>
  <c r="O1362" i="1"/>
  <c r="O1366" i="1"/>
  <c r="O1370" i="1"/>
  <c r="O1374" i="1"/>
  <c r="O1378" i="1"/>
  <c r="O1382" i="1"/>
  <c r="O1386" i="1"/>
  <c r="O1390" i="1"/>
  <c r="O1394" i="1"/>
  <c r="O1398" i="1"/>
  <c r="O1402" i="1"/>
  <c r="O1406" i="1"/>
  <c r="O1410" i="1"/>
  <c r="O1414" i="1"/>
  <c r="O1418" i="1"/>
  <c r="O1422" i="1"/>
  <c r="O1426" i="1"/>
  <c r="O1430" i="1"/>
  <c r="O1434" i="1"/>
  <c r="O1438" i="1"/>
  <c r="O1442" i="1"/>
  <c r="O1446" i="1"/>
  <c r="O1450" i="1"/>
  <c r="O1454" i="1"/>
  <c r="O1458" i="1"/>
  <c r="O1462" i="1"/>
  <c r="O1466" i="1"/>
  <c r="O1470" i="1"/>
  <c r="O1474" i="1"/>
  <c r="O1478" i="1"/>
  <c r="O1482" i="1"/>
  <c r="O1486" i="1"/>
  <c r="O1490" i="1"/>
  <c r="O1494" i="1"/>
  <c r="O1498" i="1"/>
  <c r="O1502" i="1"/>
  <c r="O1506" i="1"/>
  <c r="O1510" i="1"/>
  <c r="O1514" i="1"/>
  <c r="O1518" i="1"/>
  <c r="O1522" i="1"/>
  <c r="O1526" i="1"/>
  <c r="O1530" i="1"/>
  <c r="O1534" i="1"/>
  <c r="O1538" i="1"/>
  <c r="O1542" i="1"/>
  <c r="O1546" i="1"/>
  <c r="O1550" i="1"/>
  <c r="O1554" i="1"/>
  <c r="O1558" i="1"/>
  <c r="O1562" i="1"/>
  <c r="O1566" i="1"/>
  <c r="O1570" i="1"/>
  <c r="O1574" i="1"/>
  <c r="O1578" i="1"/>
  <c r="O1582" i="1"/>
  <c r="O1586" i="1"/>
  <c r="O1590" i="1"/>
  <c r="O1594" i="1"/>
  <c r="O1598" i="1"/>
  <c r="O1602" i="1"/>
  <c r="O1606" i="1"/>
  <c r="O1610" i="1"/>
  <c r="O1614" i="1"/>
  <c r="O1618" i="1"/>
  <c r="O1622" i="1"/>
  <c r="O1626" i="1"/>
  <c r="O1630" i="1"/>
  <c r="O1634" i="1"/>
  <c r="O1638" i="1"/>
  <c r="O1642" i="1"/>
  <c r="O1646" i="1"/>
  <c r="O1650" i="1"/>
  <c r="O1654" i="1"/>
  <c r="O1658" i="1"/>
  <c r="O1662" i="1"/>
  <c r="O1666" i="1"/>
  <c r="O1670" i="1"/>
  <c r="O1674" i="1"/>
  <c r="O1678" i="1"/>
  <c r="O1682" i="1"/>
  <c r="O1686" i="1"/>
  <c r="O1690" i="1"/>
  <c r="O1694" i="1"/>
  <c r="O1698" i="1"/>
  <c r="O1702" i="1"/>
  <c r="O1706" i="1"/>
  <c r="O1710" i="1"/>
  <c r="O1714" i="1"/>
  <c r="O1129" i="1"/>
  <c r="O1145" i="1"/>
  <c r="O1161" i="1"/>
  <c r="O1177" i="1"/>
  <c r="O1193" i="1"/>
  <c r="O1204" i="1"/>
  <c r="O1209" i="1"/>
  <c r="O1215" i="1"/>
  <c r="O1220" i="1"/>
  <c r="O1225" i="1"/>
  <c r="O1231" i="1"/>
  <c r="O1236" i="1"/>
  <c r="O1241" i="1"/>
  <c r="O1247" i="1"/>
  <c r="O1252" i="1"/>
  <c r="O1257" i="1"/>
  <c r="O1263" i="1"/>
  <c r="O1268" i="1"/>
  <c r="O1273" i="1"/>
  <c r="O1279" i="1"/>
  <c r="O1284" i="1"/>
  <c r="O1289" i="1"/>
  <c r="O1295" i="1"/>
  <c r="O1300" i="1"/>
  <c r="O1305" i="1"/>
  <c r="O1311" i="1"/>
  <c r="O1315" i="1"/>
  <c r="O1319" i="1"/>
  <c r="O1323" i="1"/>
  <c r="O1327" i="1"/>
  <c r="O1331" i="1"/>
  <c r="O1335" i="1"/>
  <c r="O1339" i="1"/>
  <c r="O1343" i="1"/>
  <c r="O1347" i="1"/>
  <c r="O1351" i="1"/>
  <c r="O1355" i="1"/>
  <c r="O1359" i="1"/>
  <c r="O1363" i="1"/>
  <c r="O1367" i="1"/>
  <c r="O1371" i="1"/>
  <c r="O1375" i="1"/>
  <c r="O1379" i="1"/>
  <c r="O1383" i="1"/>
  <c r="O1387" i="1"/>
  <c r="O1391" i="1"/>
  <c r="O1395" i="1"/>
  <c r="O1399" i="1"/>
  <c r="O1403" i="1"/>
  <c r="O1407" i="1"/>
  <c r="O1411" i="1"/>
  <c r="O1415" i="1"/>
  <c r="O1419" i="1"/>
  <c r="O1423" i="1"/>
  <c r="O1427" i="1"/>
  <c r="O1431" i="1"/>
  <c r="O1435" i="1"/>
  <c r="O1439" i="1"/>
  <c r="O1443" i="1"/>
  <c r="O1447" i="1"/>
  <c r="O1451" i="1"/>
  <c r="O1455" i="1"/>
  <c r="O1459" i="1"/>
  <c r="O1463" i="1"/>
  <c r="O1467" i="1"/>
  <c r="O1471" i="1"/>
  <c r="O1475" i="1"/>
  <c r="O1479" i="1"/>
  <c r="O1483" i="1"/>
  <c r="O1487" i="1"/>
  <c r="O1491" i="1"/>
  <c r="O1495" i="1"/>
  <c r="O1499" i="1"/>
  <c r="O1503" i="1"/>
  <c r="O1507" i="1"/>
  <c r="O1511" i="1"/>
  <c r="O1515" i="1"/>
  <c r="O1519" i="1"/>
  <c r="O1523" i="1"/>
  <c r="O1527" i="1"/>
  <c r="O1531" i="1"/>
  <c r="O1535" i="1"/>
  <c r="O1539" i="1"/>
  <c r="O1543" i="1"/>
  <c r="O1547" i="1"/>
  <c r="O1551" i="1"/>
  <c r="O1555" i="1"/>
  <c r="O1559" i="1"/>
  <c r="O1563" i="1"/>
  <c r="O1567" i="1"/>
  <c r="O1571" i="1"/>
  <c r="O1575" i="1"/>
  <c r="O1579" i="1"/>
  <c r="O1583" i="1"/>
  <c r="O1587" i="1"/>
  <c r="O1591" i="1"/>
  <c r="O1595" i="1"/>
  <c r="O1599" i="1"/>
  <c r="O1603" i="1"/>
  <c r="O1607" i="1"/>
  <c r="O1611" i="1"/>
  <c r="O1615" i="1"/>
  <c r="O1619" i="1"/>
  <c r="O1623" i="1"/>
  <c r="O1627" i="1"/>
  <c r="O1631" i="1"/>
  <c r="O1635" i="1"/>
  <c r="O1639" i="1"/>
  <c r="O1643" i="1"/>
  <c r="O1647" i="1"/>
  <c r="O1651" i="1"/>
  <c r="O1655" i="1"/>
  <c r="O1659" i="1"/>
  <c r="O1663" i="1"/>
  <c r="O1667" i="1"/>
  <c r="O1671" i="1"/>
  <c r="O1675" i="1"/>
  <c r="O1679" i="1"/>
  <c r="O1683" i="1"/>
  <c r="O1687" i="1"/>
  <c r="O1691" i="1"/>
  <c r="O1695" i="1"/>
  <c r="O1699" i="1"/>
  <c r="O1703" i="1"/>
  <c r="O1707" i="1"/>
  <c r="O1711" i="1"/>
  <c r="O1715" i="1"/>
  <c r="O1719" i="1"/>
  <c r="O1723" i="1"/>
  <c r="O1727" i="1"/>
  <c r="O1731" i="1"/>
  <c r="O1735" i="1"/>
  <c r="O1739" i="1"/>
  <c r="O1743" i="1"/>
  <c r="O1747" i="1"/>
  <c r="O1751" i="1"/>
  <c r="O1755" i="1"/>
  <c r="O1759" i="1"/>
  <c r="O1763" i="1"/>
  <c r="O1767" i="1"/>
  <c r="O1771" i="1"/>
  <c r="O1775" i="1"/>
  <c r="O1779" i="1"/>
  <c r="O1783" i="1"/>
  <c r="O1787" i="1"/>
  <c r="O1791" i="1"/>
  <c r="O1795" i="1"/>
  <c r="O1799" i="1"/>
  <c r="O1803" i="1"/>
  <c r="O1807" i="1"/>
  <c r="O1811" i="1"/>
  <c r="O1815" i="1"/>
  <c r="O1819" i="1"/>
  <c r="O1823" i="1"/>
  <c r="O1827" i="1"/>
  <c r="O1831" i="1"/>
  <c r="O1835" i="1"/>
  <c r="O1839" i="1"/>
  <c r="O1843" i="1"/>
  <c r="O1847" i="1"/>
  <c r="O1851" i="1"/>
  <c r="O1855" i="1"/>
  <c r="O1859" i="1"/>
  <c r="O1863" i="1"/>
  <c r="O1867" i="1"/>
  <c r="O1871" i="1"/>
  <c r="O1875" i="1"/>
  <c r="O1879" i="1"/>
  <c r="O1883" i="1"/>
  <c r="O1887" i="1"/>
  <c r="O1133" i="1"/>
  <c r="O1149" i="1"/>
  <c r="O1165" i="1"/>
  <c r="O1181" i="1"/>
  <c r="O1197" i="1"/>
  <c r="O1205" i="1"/>
  <c r="O1211" i="1"/>
  <c r="O1216" i="1"/>
  <c r="O1221" i="1"/>
  <c r="O1227" i="1"/>
  <c r="O1232" i="1"/>
  <c r="O1237" i="1"/>
  <c r="O1243" i="1"/>
  <c r="O1248" i="1"/>
  <c r="O1253" i="1"/>
  <c r="O1259" i="1"/>
  <c r="O1264" i="1"/>
  <c r="O1269" i="1"/>
  <c r="O1275" i="1"/>
  <c r="O1280" i="1"/>
  <c r="O1285" i="1"/>
  <c r="O1291" i="1"/>
  <c r="O1296" i="1"/>
  <c r="O1301" i="1"/>
  <c r="O1307" i="1"/>
  <c r="O1312" i="1"/>
  <c r="O1316" i="1"/>
  <c r="O1320" i="1"/>
  <c r="O1324" i="1"/>
  <c r="O1328" i="1"/>
  <c r="O1332" i="1"/>
  <c r="O1336" i="1"/>
  <c r="O1340" i="1"/>
  <c r="O1344" i="1"/>
  <c r="O1348" i="1"/>
  <c r="O1352" i="1"/>
  <c r="O1356" i="1"/>
  <c r="O1360" i="1"/>
  <c r="O1364" i="1"/>
  <c r="O1368" i="1"/>
  <c r="O1372" i="1"/>
  <c r="O1376" i="1"/>
  <c r="O1380" i="1"/>
  <c r="O1384" i="1"/>
  <c r="O1388" i="1"/>
  <c r="O1392" i="1"/>
  <c r="O1396" i="1"/>
  <c r="O1400" i="1"/>
  <c r="O1404" i="1"/>
  <c r="O1408" i="1"/>
  <c r="O1412" i="1"/>
  <c r="O1416" i="1"/>
  <c r="O1420" i="1"/>
  <c r="O1424" i="1"/>
  <c r="O1428" i="1"/>
  <c r="O1432" i="1"/>
  <c r="O1436" i="1"/>
  <c r="O1440" i="1"/>
  <c r="O1444" i="1"/>
  <c r="O1448" i="1"/>
  <c r="O1452" i="1"/>
  <c r="O1456" i="1"/>
  <c r="O1460" i="1"/>
  <c r="O1464" i="1"/>
  <c r="O1468" i="1"/>
  <c r="O1472" i="1"/>
  <c r="O1476" i="1"/>
  <c r="O1480" i="1"/>
  <c r="O1484" i="1"/>
  <c r="O1488" i="1"/>
  <c r="O1492" i="1"/>
  <c r="O1496" i="1"/>
  <c r="O1500" i="1"/>
  <c r="O1504" i="1"/>
  <c r="O1508" i="1"/>
  <c r="O1512" i="1"/>
  <c r="O1516" i="1"/>
  <c r="O1520" i="1"/>
  <c r="O1524" i="1"/>
  <c r="O1528" i="1"/>
  <c r="O1532" i="1"/>
  <c r="O1536" i="1"/>
  <c r="O1540" i="1"/>
  <c r="O1544" i="1"/>
  <c r="O1548" i="1"/>
  <c r="O1552" i="1"/>
  <c r="O1556" i="1"/>
  <c r="O1560" i="1"/>
  <c r="O1564" i="1"/>
  <c r="O1568" i="1"/>
  <c r="O1572" i="1"/>
  <c r="O1576" i="1"/>
  <c r="O1580" i="1"/>
  <c r="O1584" i="1"/>
  <c r="O1588" i="1"/>
  <c r="O1592" i="1"/>
  <c r="O1596" i="1"/>
  <c r="O1600" i="1"/>
  <c r="O1604" i="1"/>
  <c r="O1608" i="1"/>
  <c r="O1612" i="1"/>
  <c r="O1616" i="1"/>
  <c r="O1620" i="1"/>
  <c r="O1624" i="1"/>
  <c r="O1628" i="1"/>
  <c r="O1632" i="1"/>
  <c r="O1137" i="1"/>
  <c r="O1153" i="1"/>
  <c r="O1169" i="1"/>
  <c r="O1185" i="1"/>
  <c r="O1201" i="1"/>
  <c r="O1207" i="1"/>
  <c r="O1212" i="1"/>
  <c r="O1217" i="1"/>
  <c r="O1223" i="1"/>
  <c r="O1228" i="1"/>
  <c r="O1233" i="1"/>
  <c r="O1239" i="1"/>
  <c r="O1244" i="1"/>
  <c r="O1249" i="1"/>
  <c r="O1255" i="1"/>
  <c r="O1260" i="1"/>
  <c r="O1265" i="1"/>
  <c r="O1271" i="1"/>
  <c r="O1276" i="1"/>
  <c r="O1281" i="1"/>
  <c r="O1287" i="1"/>
  <c r="O1292" i="1"/>
  <c r="O1297" i="1"/>
  <c r="O1303" i="1"/>
  <c r="O1308" i="1"/>
  <c r="O1313" i="1"/>
  <c r="O1317" i="1"/>
  <c r="O1321" i="1"/>
  <c r="O1325" i="1"/>
  <c r="O1329" i="1"/>
  <c r="O1333" i="1"/>
  <c r="O1337" i="1"/>
  <c r="O1341" i="1"/>
  <c r="O1345" i="1"/>
  <c r="O1349" i="1"/>
  <c r="O1353" i="1"/>
  <c r="O1357" i="1"/>
  <c r="O1361" i="1"/>
  <c r="O1365" i="1"/>
  <c r="O1369" i="1"/>
  <c r="O1373" i="1"/>
  <c r="O1377" i="1"/>
  <c r="O1381" i="1"/>
  <c r="O1385" i="1"/>
  <c r="O1389" i="1"/>
  <c r="O1393" i="1"/>
  <c r="O1397" i="1"/>
  <c r="O1401" i="1"/>
  <c r="O1405" i="1"/>
  <c r="O1409" i="1"/>
  <c r="O1413" i="1"/>
  <c r="O1417" i="1"/>
  <c r="O1421" i="1"/>
  <c r="O1425" i="1"/>
  <c r="O1429" i="1"/>
  <c r="O1433" i="1"/>
  <c r="O1437" i="1"/>
  <c r="O1441" i="1"/>
  <c r="O1445" i="1"/>
  <c r="O1449" i="1"/>
  <c r="O1453" i="1"/>
  <c r="O1457" i="1"/>
  <c r="O1461" i="1"/>
  <c r="O1465" i="1"/>
  <c r="O1469" i="1"/>
  <c r="O1473" i="1"/>
  <c r="O1477" i="1"/>
  <c r="O1481" i="1"/>
  <c r="O1485" i="1"/>
  <c r="O1489" i="1"/>
  <c r="O1493" i="1"/>
  <c r="O1497" i="1"/>
  <c r="O1501" i="1"/>
  <c r="O1505" i="1"/>
  <c r="O1509" i="1"/>
  <c r="O1513" i="1"/>
  <c r="O1517" i="1"/>
  <c r="O1521" i="1"/>
  <c r="O1525" i="1"/>
  <c r="O1529" i="1"/>
  <c r="O1533" i="1"/>
  <c r="O1537" i="1"/>
  <c r="O1541" i="1"/>
  <c r="O1545" i="1"/>
  <c r="O1549" i="1"/>
  <c r="O1553" i="1"/>
  <c r="O1557" i="1"/>
  <c r="O1561" i="1"/>
  <c r="O1565" i="1"/>
  <c r="O1569" i="1"/>
  <c r="O1573" i="1"/>
  <c r="O1577" i="1"/>
  <c r="O1581" i="1"/>
  <c r="O1585" i="1"/>
  <c r="O1589" i="1"/>
  <c r="O1593" i="1"/>
  <c r="O1597" i="1"/>
  <c r="O1601" i="1"/>
  <c r="O1605" i="1"/>
  <c r="O1609" i="1"/>
  <c r="O1613" i="1"/>
  <c r="O1617" i="1"/>
  <c r="O1621" i="1"/>
  <c r="O1625" i="1"/>
  <c r="O1629" i="1"/>
  <c r="O1633" i="1"/>
  <c r="O1637" i="1"/>
  <c r="O1641" i="1"/>
  <c r="O1645" i="1"/>
  <c r="O1649" i="1"/>
  <c r="O1653" i="1"/>
  <c r="O1657" i="1"/>
  <c r="O1661" i="1"/>
  <c r="O1665" i="1"/>
  <c r="O1669" i="1"/>
  <c r="O1673" i="1"/>
  <c r="O1677" i="1"/>
  <c r="O1681" i="1"/>
  <c r="O1685" i="1"/>
  <c r="O1689" i="1"/>
  <c r="O1693" i="1"/>
  <c r="O1697" i="1"/>
  <c r="O1701" i="1"/>
  <c r="O1705" i="1"/>
  <c r="O1709" i="1"/>
  <c r="O1713" i="1"/>
  <c r="O1717" i="1"/>
  <c r="O1721" i="1"/>
  <c r="O1725" i="1"/>
  <c r="O1729" i="1"/>
  <c r="O1733" i="1"/>
  <c r="O1737" i="1"/>
  <c r="O1741" i="1"/>
  <c r="O1745" i="1"/>
  <c r="O1749" i="1"/>
  <c r="O1753" i="1"/>
  <c r="O1757" i="1"/>
  <c r="O1761" i="1"/>
  <c r="O1765" i="1"/>
  <c r="O1769" i="1"/>
  <c r="O1773" i="1"/>
  <c r="O1777" i="1"/>
  <c r="O1781" i="1"/>
  <c r="O1785" i="1"/>
  <c r="O1789" i="1"/>
  <c r="O1793" i="1"/>
  <c r="O1797" i="1"/>
  <c r="O1801" i="1"/>
  <c r="O1805" i="1"/>
  <c r="O1809" i="1"/>
  <c r="O1813" i="1"/>
  <c r="O1817" i="1"/>
  <c r="O1821" i="1"/>
  <c r="O1825" i="1"/>
  <c r="O1829" i="1"/>
  <c r="O1833" i="1"/>
  <c r="O1837" i="1"/>
  <c r="O1841" i="1"/>
  <c r="O1845" i="1"/>
  <c r="O1849" i="1"/>
  <c r="O1853" i="1"/>
  <c r="O1857" i="1"/>
  <c r="O1861" i="1"/>
  <c r="O1865" i="1"/>
  <c r="O1869" i="1"/>
  <c r="O1873" i="1"/>
  <c r="O1877" i="1"/>
  <c r="O1881" i="1"/>
  <c r="O1885" i="1"/>
  <c r="O1889" i="1"/>
  <c r="O1636" i="1"/>
  <c r="O1652" i="1"/>
  <c r="O1668" i="1"/>
  <c r="O1684" i="1"/>
  <c r="O1700" i="1"/>
  <c r="O1716" i="1"/>
  <c r="O1724" i="1"/>
  <c r="O1732" i="1"/>
  <c r="O1740" i="1"/>
  <c r="O1748" i="1"/>
  <c r="O1756" i="1"/>
  <c r="O1764" i="1"/>
  <c r="O1772" i="1"/>
  <c r="O1780" i="1"/>
  <c r="O1788" i="1"/>
  <c r="O1796" i="1"/>
  <c r="O1804" i="1"/>
  <c r="O1812" i="1"/>
  <c r="O1820" i="1"/>
  <c r="O1828" i="1"/>
  <c r="O1836" i="1"/>
  <c r="O1844" i="1"/>
  <c r="O1852" i="1"/>
  <c r="O1860" i="1"/>
  <c r="O1868" i="1"/>
  <c r="O1876" i="1"/>
  <c r="O1884" i="1"/>
  <c r="O1891" i="1"/>
  <c r="O1895" i="1"/>
  <c r="O1899" i="1"/>
  <c r="O1903" i="1"/>
  <c r="O1907" i="1"/>
  <c r="O1911" i="1"/>
  <c r="O1915" i="1"/>
  <c r="O1919" i="1"/>
  <c r="O1923" i="1"/>
  <c r="O1927" i="1"/>
  <c r="O1931" i="1"/>
  <c r="O1935" i="1"/>
  <c r="O1939" i="1"/>
  <c r="O1943" i="1"/>
  <c r="O1947" i="1"/>
  <c r="O1951" i="1"/>
  <c r="O1955" i="1"/>
  <c r="O1959" i="1"/>
  <c r="O1963" i="1"/>
  <c r="O1967" i="1"/>
  <c r="O1971" i="1"/>
  <c r="O1975" i="1"/>
  <c r="O1979" i="1"/>
  <c r="O1983" i="1"/>
  <c r="O1987" i="1"/>
  <c r="O1991" i="1"/>
  <c r="O1995" i="1"/>
  <c r="O1999" i="1"/>
  <c r="O2003" i="1"/>
  <c r="O2007" i="1"/>
  <c r="O2011" i="1"/>
  <c r="O2015" i="1"/>
  <c r="O2019" i="1"/>
  <c r="O2023" i="1"/>
  <c r="O2027" i="1"/>
  <c r="O2031" i="1"/>
  <c r="O2035" i="1"/>
  <c r="O2039" i="1"/>
  <c r="O2043" i="1"/>
  <c r="O2047" i="1"/>
  <c r="O2051" i="1"/>
  <c r="O2055" i="1"/>
  <c r="O2059" i="1"/>
  <c r="O2063" i="1"/>
  <c r="O2067" i="1"/>
  <c r="O2071" i="1"/>
  <c r="O2075" i="1"/>
  <c r="O2079" i="1"/>
  <c r="O2083" i="1"/>
  <c r="O2087" i="1"/>
  <c r="O2091" i="1"/>
  <c r="O2095" i="1"/>
  <c r="O2099" i="1"/>
  <c r="O2103" i="1"/>
  <c r="O2107" i="1"/>
  <c r="O2111" i="1"/>
  <c r="O2115" i="1"/>
  <c r="O2119" i="1"/>
  <c r="O2123" i="1"/>
  <c r="O2127" i="1"/>
  <c r="O2131" i="1"/>
  <c r="O2135" i="1"/>
  <c r="O2139" i="1"/>
  <c r="O2143" i="1"/>
  <c r="O2147" i="1"/>
  <c r="O2151" i="1"/>
  <c r="O2155" i="1"/>
  <c r="O2159" i="1"/>
  <c r="O2163" i="1"/>
  <c r="O2167" i="1"/>
  <c r="O2171" i="1"/>
  <c r="O2175" i="1"/>
  <c r="O2179" i="1"/>
  <c r="O2183" i="1"/>
  <c r="O2187" i="1"/>
  <c r="O2191" i="1"/>
  <c r="O2195" i="1"/>
  <c r="O2199" i="1"/>
  <c r="O2203" i="1"/>
  <c r="O2207" i="1"/>
  <c r="O2211" i="1"/>
  <c r="O2215" i="1"/>
  <c r="O2219" i="1"/>
  <c r="O2223" i="1"/>
  <c r="O2227" i="1"/>
  <c r="O2231" i="1"/>
  <c r="O2235" i="1"/>
  <c r="O2239" i="1"/>
  <c r="O2243" i="1"/>
  <c r="O2247" i="1"/>
  <c r="O2251" i="1"/>
  <c r="O2255" i="1"/>
  <c r="O2259" i="1"/>
  <c r="O2263" i="1"/>
  <c r="O2267" i="1"/>
  <c r="O2271" i="1"/>
  <c r="O2275" i="1"/>
  <c r="O2279" i="1"/>
  <c r="O2283" i="1"/>
  <c r="O2287" i="1"/>
  <c r="O2291" i="1"/>
  <c r="O2295" i="1"/>
  <c r="O2299" i="1"/>
  <c r="O2303" i="1"/>
  <c r="O2307" i="1"/>
  <c r="O2311" i="1"/>
  <c r="O2315" i="1"/>
  <c r="O2319" i="1"/>
  <c r="O2323" i="1"/>
  <c r="O2327" i="1"/>
  <c r="O2331" i="1"/>
  <c r="O2335" i="1"/>
  <c r="O2339" i="1"/>
  <c r="O2343" i="1"/>
  <c r="O2347" i="1"/>
  <c r="O2351" i="1"/>
  <c r="O2355" i="1"/>
  <c r="O2359" i="1"/>
  <c r="O2363" i="1"/>
  <c r="O2367" i="1"/>
  <c r="O2371" i="1"/>
  <c r="O2375" i="1"/>
  <c r="O2379" i="1"/>
  <c r="O2383" i="1"/>
  <c r="O2387" i="1"/>
  <c r="O2391" i="1"/>
  <c r="O2395" i="1"/>
  <c r="O2399" i="1"/>
  <c r="O2403" i="1"/>
  <c r="O2407" i="1"/>
  <c r="O2411" i="1"/>
  <c r="O2415" i="1"/>
  <c r="O2419" i="1"/>
  <c r="O2423" i="1"/>
  <c r="O2427" i="1"/>
  <c r="O2431" i="1"/>
  <c r="O2435" i="1"/>
  <c r="O2439" i="1"/>
  <c r="O2443" i="1"/>
  <c r="O2447" i="1"/>
  <c r="O2451" i="1"/>
  <c r="O2455" i="1"/>
  <c r="O2459" i="1"/>
  <c r="O1640" i="1"/>
  <c r="O1656" i="1"/>
  <c r="O1672" i="1"/>
  <c r="O1688" i="1"/>
  <c r="O1704" i="1"/>
  <c r="O1718" i="1"/>
  <c r="O1726" i="1"/>
  <c r="O1734" i="1"/>
  <c r="O1742" i="1"/>
  <c r="O1750" i="1"/>
  <c r="O1758" i="1"/>
  <c r="O1766" i="1"/>
  <c r="O1774" i="1"/>
  <c r="O1782" i="1"/>
  <c r="O1790" i="1"/>
  <c r="O1798" i="1"/>
  <c r="O1806" i="1"/>
  <c r="O1814" i="1"/>
  <c r="O1822" i="1"/>
  <c r="O1830" i="1"/>
  <c r="O1838" i="1"/>
  <c r="O1846" i="1"/>
  <c r="O1854" i="1"/>
  <c r="O1862" i="1"/>
  <c r="O1870" i="1"/>
  <c r="O1878" i="1"/>
  <c r="O1886" i="1"/>
  <c r="O1892" i="1"/>
  <c r="O1896" i="1"/>
  <c r="O1900" i="1"/>
  <c r="O1904" i="1"/>
  <c r="O1908" i="1"/>
  <c r="O1912" i="1"/>
  <c r="O1916" i="1"/>
  <c r="O1920" i="1"/>
  <c r="O1924" i="1"/>
  <c r="O1928" i="1"/>
  <c r="O1932" i="1"/>
  <c r="O1936" i="1"/>
  <c r="O1940" i="1"/>
  <c r="O1944" i="1"/>
  <c r="O1948" i="1"/>
  <c r="O1952" i="1"/>
  <c r="O1956" i="1"/>
  <c r="O1960" i="1"/>
  <c r="O1964" i="1"/>
  <c r="O1968" i="1"/>
  <c r="O1972" i="1"/>
  <c r="O1976" i="1"/>
  <c r="O1980" i="1"/>
  <c r="O1984" i="1"/>
  <c r="O1988" i="1"/>
  <c r="O1992" i="1"/>
  <c r="O1996" i="1"/>
  <c r="O2000" i="1"/>
  <c r="O2004" i="1"/>
  <c r="O2008" i="1"/>
  <c r="O2012" i="1"/>
  <c r="O2016" i="1"/>
  <c r="O2020" i="1"/>
  <c r="O2024" i="1"/>
  <c r="O2028" i="1"/>
  <c r="O2032" i="1"/>
  <c r="O2036" i="1"/>
  <c r="O2040" i="1"/>
  <c r="O2044" i="1"/>
  <c r="O2048" i="1"/>
  <c r="O2052" i="1"/>
  <c r="O2056" i="1"/>
  <c r="O2060" i="1"/>
  <c r="O2064" i="1"/>
  <c r="O2068" i="1"/>
  <c r="O2072" i="1"/>
  <c r="O2076" i="1"/>
  <c r="O2080" i="1"/>
  <c r="O2084" i="1"/>
  <c r="O2088" i="1"/>
  <c r="O2092" i="1"/>
  <c r="O2096" i="1"/>
  <c r="O2100" i="1"/>
  <c r="O2104" i="1"/>
  <c r="O2108" i="1"/>
  <c r="O2112" i="1"/>
  <c r="O2116" i="1"/>
  <c r="O2120" i="1"/>
  <c r="O2124" i="1"/>
  <c r="O2128" i="1"/>
  <c r="O2132" i="1"/>
  <c r="O2136" i="1"/>
  <c r="O2140" i="1"/>
  <c r="O2144" i="1"/>
  <c r="O2148" i="1"/>
  <c r="O2152" i="1"/>
  <c r="O2156" i="1"/>
  <c r="O2160" i="1"/>
  <c r="O2164" i="1"/>
  <c r="O2168" i="1"/>
  <c r="O2172" i="1"/>
  <c r="O2176" i="1"/>
  <c r="O2180" i="1"/>
  <c r="O2184" i="1"/>
  <c r="O2188" i="1"/>
  <c r="O2192" i="1"/>
  <c r="O2196" i="1"/>
  <c r="O2200" i="1"/>
  <c r="O2204" i="1"/>
  <c r="O2208" i="1"/>
  <c r="O2212" i="1"/>
  <c r="O2216" i="1"/>
  <c r="O2220" i="1"/>
  <c r="O2224" i="1"/>
  <c r="O2228" i="1"/>
  <c r="O2232" i="1"/>
  <c r="O2236" i="1"/>
  <c r="O2240" i="1"/>
  <c r="O2244" i="1"/>
  <c r="O2248" i="1"/>
  <c r="O2252" i="1"/>
  <c r="O2256" i="1"/>
  <c r="O2260" i="1"/>
  <c r="O2264" i="1"/>
  <c r="O2268" i="1"/>
  <c r="O2272" i="1"/>
  <c r="O2276" i="1"/>
  <c r="O2280" i="1"/>
  <c r="O2284" i="1"/>
  <c r="O2288" i="1"/>
  <c r="O2292" i="1"/>
  <c r="O2296" i="1"/>
  <c r="O2300" i="1"/>
  <c r="O2304" i="1"/>
  <c r="O2308" i="1"/>
  <c r="O2312" i="1"/>
  <c r="O2316" i="1"/>
  <c r="O2320" i="1"/>
  <c r="O2324" i="1"/>
  <c r="O2328" i="1"/>
  <c r="O2332" i="1"/>
  <c r="O2336" i="1"/>
  <c r="O2340" i="1"/>
  <c r="O2344" i="1"/>
  <c r="O2348" i="1"/>
  <c r="O2352" i="1"/>
  <c r="O2356" i="1"/>
  <c r="O2360" i="1"/>
  <c r="O2364" i="1"/>
  <c r="O2368" i="1"/>
  <c r="O2372" i="1"/>
  <c r="O2376" i="1"/>
  <c r="O2380" i="1"/>
  <c r="O2384" i="1"/>
  <c r="O2388" i="1"/>
  <c r="O2392" i="1"/>
  <c r="O2396" i="1"/>
  <c r="O2400" i="1"/>
  <c r="O2404" i="1"/>
  <c r="O2408" i="1"/>
  <c r="O2412" i="1"/>
  <c r="O2416" i="1"/>
  <c r="O2420" i="1"/>
  <c r="O2424" i="1"/>
  <c r="O2428" i="1"/>
  <c r="O2432" i="1"/>
  <c r="O2436" i="1"/>
  <c r="O2440" i="1"/>
  <c r="O2444" i="1"/>
  <c r="O2448" i="1"/>
  <c r="O2452" i="1"/>
  <c r="O2456" i="1"/>
  <c r="O2460" i="1"/>
  <c r="O1644" i="1"/>
  <c r="O1660" i="1"/>
  <c r="O1676" i="1"/>
  <c r="O1692" i="1"/>
  <c r="O1708" i="1"/>
  <c r="O1720" i="1"/>
  <c r="O1728" i="1"/>
  <c r="O1736" i="1"/>
  <c r="O1744" i="1"/>
  <c r="O1752" i="1"/>
  <c r="O1760" i="1"/>
  <c r="O1768" i="1"/>
  <c r="O1776" i="1"/>
  <c r="O1784" i="1"/>
  <c r="O1792" i="1"/>
  <c r="O1800" i="1"/>
  <c r="O1808" i="1"/>
  <c r="O1816" i="1"/>
  <c r="O1824" i="1"/>
  <c r="O1832" i="1"/>
  <c r="O1840" i="1"/>
  <c r="O1848" i="1"/>
  <c r="O1856" i="1"/>
  <c r="O1864" i="1"/>
  <c r="O1872" i="1"/>
  <c r="O1880" i="1"/>
  <c r="O1888" i="1"/>
  <c r="O1893" i="1"/>
  <c r="O1897" i="1"/>
  <c r="O1901" i="1"/>
  <c r="O1905" i="1"/>
  <c r="O1909" i="1"/>
  <c r="O1913" i="1"/>
  <c r="O1917" i="1"/>
  <c r="O1921" i="1"/>
  <c r="O1925" i="1"/>
  <c r="O1929" i="1"/>
  <c r="O1933" i="1"/>
  <c r="O1937" i="1"/>
  <c r="O1941" i="1"/>
  <c r="O1945" i="1"/>
  <c r="O1949" i="1"/>
  <c r="O1953" i="1"/>
  <c r="O1957" i="1"/>
  <c r="O1961" i="1"/>
  <c r="O1965" i="1"/>
  <c r="O1969" i="1"/>
  <c r="O1973" i="1"/>
  <c r="O1977" i="1"/>
  <c r="O1981" i="1"/>
  <c r="O1985" i="1"/>
  <c r="O1989" i="1"/>
  <c r="O1993" i="1"/>
  <c r="O1997" i="1"/>
  <c r="O2001" i="1"/>
  <c r="O2005" i="1"/>
  <c r="O2009" i="1"/>
  <c r="O2013" i="1"/>
  <c r="O2017" i="1"/>
  <c r="O2021" i="1"/>
  <c r="O2025" i="1"/>
  <c r="O2029" i="1"/>
  <c r="O2033" i="1"/>
  <c r="O2037" i="1"/>
  <c r="O2041" i="1"/>
  <c r="O2045" i="1"/>
  <c r="O2049" i="1"/>
  <c r="O2053" i="1"/>
  <c r="O2057" i="1"/>
  <c r="O2061" i="1"/>
  <c r="O2065" i="1"/>
  <c r="O2069" i="1"/>
  <c r="O2073" i="1"/>
  <c r="O2077" i="1"/>
  <c r="O2081" i="1"/>
  <c r="O2085" i="1"/>
  <c r="O2089" i="1"/>
  <c r="O2093" i="1"/>
  <c r="O2097" i="1"/>
  <c r="O2101" i="1"/>
  <c r="O2105" i="1"/>
  <c r="O2109" i="1"/>
  <c r="O2113" i="1"/>
  <c r="O2117" i="1"/>
  <c r="O2121" i="1"/>
  <c r="O2125" i="1"/>
  <c r="O2129" i="1"/>
  <c r="O2133" i="1"/>
  <c r="O2137" i="1"/>
  <c r="O2141" i="1"/>
  <c r="O2145" i="1"/>
  <c r="O2149" i="1"/>
  <c r="O2153" i="1"/>
  <c r="O2157" i="1"/>
  <c r="O2161" i="1"/>
  <c r="O2165" i="1"/>
  <c r="O2169" i="1"/>
  <c r="O2173" i="1"/>
  <c r="O2177" i="1"/>
  <c r="O2181" i="1"/>
  <c r="O2185" i="1"/>
  <c r="O2189" i="1"/>
  <c r="O2193" i="1"/>
  <c r="O2197" i="1"/>
  <c r="O2201" i="1"/>
  <c r="O2205" i="1"/>
  <c r="O2209" i="1"/>
  <c r="O2213" i="1"/>
  <c r="O2217" i="1"/>
  <c r="O2221" i="1"/>
  <c r="O2225" i="1"/>
  <c r="O2229" i="1"/>
  <c r="O2233" i="1"/>
  <c r="O2237" i="1"/>
  <c r="O2241" i="1"/>
  <c r="O2245" i="1"/>
  <c r="O2249" i="1"/>
  <c r="O2253" i="1"/>
  <c r="O2257" i="1"/>
  <c r="O2261" i="1"/>
  <c r="O2265" i="1"/>
  <c r="O2269" i="1"/>
  <c r="O2273" i="1"/>
  <c r="O2277" i="1"/>
  <c r="O2281" i="1"/>
  <c r="O2285" i="1"/>
  <c r="O2289" i="1"/>
  <c r="O2293" i="1"/>
  <c r="O2297" i="1"/>
  <c r="O2301" i="1"/>
  <c r="O2305" i="1"/>
  <c r="O2309" i="1"/>
  <c r="O2313" i="1"/>
  <c r="O2317" i="1"/>
  <c r="O2321" i="1"/>
  <c r="O2325" i="1"/>
  <c r="O2329" i="1"/>
  <c r="O2333" i="1"/>
  <c r="O1648" i="1"/>
  <c r="O1664" i="1"/>
  <c r="O1680" i="1"/>
  <c r="O1696" i="1"/>
  <c r="O1712" i="1"/>
  <c r="O1722" i="1"/>
  <c r="O1730" i="1"/>
  <c r="O1738" i="1"/>
  <c r="O1746" i="1"/>
  <c r="O1754" i="1"/>
  <c r="O1762" i="1"/>
  <c r="O1770" i="1"/>
  <c r="O1778" i="1"/>
  <c r="O1786" i="1"/>
  <c r="O1794" i="1"/>
  <c r="O1802" i="1"/>
  <c r="O1810" i="1"/>
  <c r="O1818" i="1"/>
  <c r="O1826" i="1"/>
  <c r="O1834" i="1"/>
  <c r="O1842" i="1"/>
  <c r="O1850" i="1"/>
  <c r="O1858" i="1"/>
  <c r="O1866" i="1"/>
  <c r="O1874" i="1"/>
  <c r="O1882" i="1"/>
  <c r="O1890" i="1"/>
  <c r="O1894" i="1"/>
  <c r="O1898" i="1"/>
  <c r="O1902" i="1"/>
  <c r="O1906" i="1"/>
  <c r="O1910" i="1"/>
  <c r="O1914" i="1"/>
  <c r="O1918" i="1"/>
  <c r="O1922" i="1"/>
  <c r="O1926" i="1"/>
  <c r="O1930" i="1"/>
  <c r="O1934" i="1"/>
  <c r="O1938" i="1"/>
  <c r="O1942" i="1"/>
  <c r="O1946" i="1"/>
  <c r="O1950" i="1"/>
  <c r="O1954" i="1"/>
  <c r="O1958" i="1"/>
  <c r="O1962" i="1"/>
  <c r="O1966" i="1"/>
  <c r="O1970" i="1"/>
  <c r="O1974" i="1"/>
  <c r="O1978" i="1"/>
  <c r="O1982" i="1"/>
  <c r="O1986" i="1"/>
  <c r="O1990" i="1"/>
  <c r="O1994" i="1"/>
  <c r="O1998" i="1"/>
  <c r="O2002" i="1"/>
  <c r="O2006" i="1"/>
  <c r="O2010" i="1"/>
  <c r="O2014" i="1"/>
  <c r="O2018" i="1"/>
  <c r="O2022" i="1"/>
  <c r="O2026" i="1"/>
  <c r="O2030" i="1"/>
  <c r="O2034" i="1"/>
  <c r="O2038" i="1"/>
  <c r="O2042" i="1"/>
  <c r="O2046" i="1"/>
  <c r="O2050" i="1"/>
  <c r="O2054" i="1"/>
  <c r="O2058" i="1"/>
  <c r="O2062" i="1"/>
  <c r="O2066" i="1"/>
  <c r="O2070" i="1"/>
  <c r="O2074" i="1"/>
  <c r="O2078" i="1"/>
  <c r="O2082" i="1"/>
  <c r="O2086" i="1"/>
  <c r="O2090" i="1"/>
  <c r="O2094" i="1"/>
  <c r="O2098" i="1"/>
  <c r="O2102" i="1"/>
  <c r="O2106" i="1"/>
  <c r="O2110" i="1"/>
  <c r="O2114" i="1"/>
  <c r="O2118" i="1"/>
  <c r="O2122" i="1"/>
  <c r="O2126" i="1"/>
  <c r="O2130" i="1"/>
  <c r="O2134" i="1"/>
  <c r="O2138" i="1"/>
  <c r="O2142" i="1"/>
  <c r="O2146" i="1"/>
  <c r="O2150" i="1"/>
  <c r="O2154" i="1"/>
  <c r="O2158" i="1"/>
  <c r="O2162" i="1"/>
  <c r="O2166" i="1"/>
  <c r="O2170" i="1"/>
  <c r="O2174" i="1"/>
  <c r="O2178" i="1"/>
  <c r="O2182" i="1"/>
  <c r="O2186" i="1"/>
  <c r="O2190" i="1"/>
  <c r="O2194" i="1"/>
  <c r="O2198" i="1"/>
  <c r="O2202" i="1"/>
  <c r="O2206" i="1"/>
  <c r="O2210" i="1"/>
  <c r="O2214" i="1"/>
  <c r="O2218" i="1"/>
  <c r="O2222" i="1"/>
  <c r="O2226" i="1"/>
  <c r="O2230" i="1"/>
  <c r="O2234" i="1"/>
  <c r="O2238" i="1"/>
  <c r="O2242" i="1"/>
  <c r="O2246" i="1"/>
  <c r="O2250" i="1"/>
  <c r="O2254" i="1"/>
  <c r="O2258" i="1"/>
  <c r="O2262" i="1"/>
  <c r="O2266" i="1"/>
  <c r="O2270" i="1"/>
  <c r="O2274" i="1"/>
  <c r="O2278" i="1"/>
  <c r="O2282" i="1"/>
  <c r="O2286" i="1"/>
  <c r="O2290" i="1"/>
  <c r="O2294" i="1"/>
  <c r="O2298" i="1"/>
  <c r="O2302" i="1"/>
  <c r="O2306" i="1"/>
  <c r="O2310" i="1"/>
  <c r="O2314" i="1"/>
  <c r="O2318" i="1"/>
  <c r="O2322" i="1"/>
  <c r="O2326" i="1"/>
  <c r="O2330" i="1"/>
  <c r="O2334" i="1"/>
  <c r="O2338" i="1"/>
  <c r="O2342" i="1"/>
  <c r="O2346" i="1"/>
  <c r="O2350" i="1"/>
  <c r="O2354" i="1"/>
  <c r="O2358" i="1"/>
  <c r="O2362" i="1"/>
  <c r="O2366" i="1"/>
  <c r="O2370" i="1"/>
  <c r="O2374" i="1"/>
  <c r="O2378" i="1"/>
  <c r="O2728" i="1"/>
  <c r="O2724" i="1"/>
  <c r="O2720" i="1"/>
  <c r="O2716" i="1"/>
  <c r="O2712" i="1"/>
  <c r="O2708" i="1"/>
  <c r="O2704" i="1"/>
  <c r="O2700" i="1"/>
  <c r="O2696" i="1"/>
  <c r="O2692" i="1"/>
  <c r="O2688" i="1"/>
  <c r="O2684" i="1"/>
  <c r="O2680" i="1"/>
  <c r="O2676" i="1"/>
  <c r="O2672" i="1"/>
  <c r="O2668" i="1"/>
  <c r="O2664" i="1"/>
  <c r="O2660" i="1"/>
  <c r="O2656" i="1"/>
  <c r="O2652" i="1"/>
  <c r="O2648" i="1"/>
  <c r="O2644" i="1"/>
  <c r="O2640" i="1"/>
  <c r="O2636" i="1"/>
  <c r="O2632" i="1"/>
  <c r="O2628" i="1"/>
  <c r="O2624" i="1"/>
  <c r="O2620" i="1"/>
  <c r="O2616" i="1"/>
  <c r="O2612" i="1"/>
  <c r="O2608" i="1"/>
  <c r="O2604" i="1"/>
  <c r="O2600" i="1"/>
  <c r="O2596" i="1"/>
  <c r="O2592" i="1"/>
  <c r="O2588" i="1"/>
  <c r="O2584" i="1"/>
  <c r="O2580" i="1"/>
  <c r="O2576" i="1"/>
  <c r="O2572" i="1"/>
  <c r="O2568" i="1"/>
  <c r="O2564" i="1"/>
  <c r="O2560" i="1"/>
  <c r="O2556" i="1"/>
  <c r="O2552" i="1"/>
  <c r="O2548" i="1"/>
  <c r="O2544" i="1"/>
  <c r="O2540" i="1"/>
  <c r="O2536" i="1"/>
  <c r="O2532" i="1"/>
  <c r="O2528" i="1"/>
  <c r="O2524" i="1"/>
  <c r="O2520" i="1"/>
  <c r="O2516" i="1"/>
  <c r="O2512" i="1"/>
  <c r="O2508" i="1"/>
  <c r="O2504" i="1"/>
  <c r="O2500" i="1"/>
  <c r="O2496" i="1"/>
  <c r="O2492" i="1"/>
  <c r="O2488" i="1"/>
  <c r="O2484" i="1"/>
  <c r="O2480" i="1"/>
  <c r="O2476" i="1"/>
  <c r="O2472" i="1"/>
  <c r="O2468" i="1"/>
  <c r="O2464" i="1"/>
  <c r="O2458" i="1"/>
  <c r="O2450" i="1"/>
  <c r="O2442" i="1"/>
  <c r="O2434" i="1"/>
  <c r="O2426" i="1"/>
  <c r="O2418" i="1"/>
  <c r="O2410" i="1"/>
  <c r="O2402" i="1"/>
  <c r="O2394" i="1"/>
  <c r="O2386" i="1"/>
  <c r="O2377" i="1"/>
  <c r="O2361" i="1"/>
  <c r="O2345" i="1"/>
  <c r="O2723" i="1"/>
  <c r="O2715" i="1"/>
  <c r="O2707" i="1"/>
  <c r="O2699" i="1"/>
  <c r="O2691" i="1"/>
  <c r="O2683" i="1"/>
  <c r="O2675" i="1"/>
  <c r="O2667" i="1"/>
  <c r="O2659" i="1"/>
  <c r="O2651" i="1"/>
  <c r="O2643" i="1"/>
  <c r="O2635" i="1"/>
  <c r="O2627" i="1"/>
  <c r="O2619" i="1"/>
  <c r="O2611" i="1"/>
  <c r="O2603" i="1"/>
  <c r="O2599" i="1"/>
  <c r="O2595" i="1"/>
  <c r="O2591" i="1"/>
  <c r="O2587" i="1"/>
  <c r="O2583" i="1"/>
  <c r="O2579" i="1"/>
  <c r="O2575" i="1"/>
  <c r="O2571" i="1"/>
  <c r="O2567" i="1"/>
  <c r="O2563" i="1"/>
  <c r="O2559" i="1"/>
  <c r="O2555" i="1"/>
  <c r="O2551" i="1"/>
  <c r="O2547" i="1"/>
  <c r="O2543" i="1"/>
  <c r="O2539" i="1"/>
  <c r="O2535" i="1"/>
  <c r="O2531" i="1"/>
  <c r="O2527" i="1"/>
  <c r="O2523" i="1"/>
  <c r="O2519" i="1"/>
  <c r="O2515" i="1"/>
  <c r="O2511" i="1"/>
  <c r="O2507" i="1"/>
  <c r="O2503" i="1"/>
  <c r="O2499" i="1"/>
  <c r="O2495" i="1"/>
  <c r="O2491" i="1"/>
  <c r="O2487" i="1"/>
  <c r="O2483" i="1"/>
  <c r="O2479" i="1"/>
  <c r="O2475" i="1"/>
  <c r="O2471" i="1"/>
  <c r="O2467" i="1"/>
  <c r="O2463" i="1"/>
  <c r="O2457" i="1"/>
  <c r="O2449" i="1"/>
  <c r="O2441" i="1"/>
  <c r="O2433" i="1"/>
  <c r="O2425" i="1"/>
  <c r="O2417" i="1"/>
  <c r="O2409" i="1"/>
  <c r="O2401" i="1"/>
  <c r="O2393" i="1"/>
  <c r="O2385" i="1"/>
  <c r="O2373" i="1"/>
  <c r="O2357" i="1"/>
  <c r="O2341" i="1"/>
  <c r="O2727" i="1"/>
  <c r="O2719" i="1"/>
  <c r="O2711" i="1"/>
  <c r="O2703" i="1"/>
  <c r="O2695" i="1"/>
  <c r="O2687" i="1"/>
  <c r="O2679" i="1"/>
  <c r="O2671" i="1"/>
  <c r="O2663" i="1"/>
  <c r="O2655" i="1"/>
  <c r="O2647" i="1"/>
  <c r="O2639" i="1"/>
  <c r="O2631" i="1"/>
  <c r="O2623" i="1"/>
  <c r="O2615" i="1"/>
  <c r="O2607" i="1"/>
  <c r="O2726" i="1"/>
  <c r="O2722" i="1"/>
  <c r="O2718" i="1"/>
  <c r="O2714" i="1"/>
  <c r="O2710" i="1"/>
  <c r="O2706" i="1"/>
  <c r="O2702" i="1"/>
  <c r="O2698" i="1"/>
  <c r="O2694" i="1"/>
  <c r="O2690" i="1"/>
  <c r="O2686" i="1"/>
  <c r="O2682" i="1"/>
  <c r="O2678" i="1"/>
  <c r="O2674" i="1"/>
  <c r="O2670" i="1"/>
  <c r="O2666" i="1"/>
  <c r="O2662" i="1"/>
  <c r="O2658" i="1"/>
  <c r="O2654" i="1"/>
  <c r="O2650" i="1"/>
  <c r="O2646" i="1"/>
  <c r="O2642" i="1"/>
  <c r="O2638" i="1"/>
  <c r="O2634" i="1"/>
  <c r="O2630" i="1"/>
  <c r="O2626" i="1"/>
  <c r="O2622" i="1"/>
  <c r="O2618" i="1"/>
  <c r="O2614" i="1"/>
  <c r="O2610" i="1"/>
  <c r="O2606" i="1"/>
  <c r="O2602" i="1"/>
  <c r="O2598" i="1"/>
  <c r="O2594" i="1"/>
  <c r="O2590" i="1"/>
  <c r="O2586" i="1"/>
  <c r="O2582" i="1"/>
  <c r="O2578" i="1"/>
  <c r="O2574" i="1"/>
  <c r="O2570" i="1"/>
  <c r="O2566" i="1"/>
  <c r="O2562" i="1"/>
  <c r="O2558" i="1"/>
  <c r="O2554" i="1"/>
  <c r="O2550" i="1"/>
  <c r="O2546" i="1"/>
  <c r="O2542" i="1"/>
  <c r="O2538" i="1"/>
  <c r="O2534" i="1"/>
  <c r="O2530" i="1"/>
  <c r="O2526" i="1"/>
  <c r="O2522" i="1"/>
  <c r="O2518" i="1"/>
  <c r="O2514" i="1"/>
  <c r="O2510" i="1"/>
  <c r="O2506" i="1"/>
  <c r="O2502" i="1"/>
  <c r="O2498" i="1"/>
  <c r="O2494" i="1"/>
  <c r="O2490" i="1"/>
  <c r="O2486" i="1"/>
  <c r="O2482" i="1"/>
  <c r="O2478" i="1"/>
  <c r="O2474" i="1"/>
  <c r="O2470" i="1"/>
  <c r="O2466" i="1"/>
  <c r="O2462" i="1"/>
  <c r="O2454" i="1"/>
  <c r="O2446" i="1"/>
  <c r="O2438" i="1"/>
  <c r="O2430" i="1"/>
  <c r="O2422" i="1"/>
  <c r="O2414" i="1"/>
  <c r="O2406" i="1"/>
  <c r="O2398" i="1"/>
  <c r="O2390" i="1"/>
  <c r="O2382" i="1"/>
  <c r="O2369" i="1"/>
  <c r="O2353" i="1"/>
  <c r="O2337" i="1"/>
  <c r="B8" i="1"/>
  <c r="O206" i="1" l="1"/>
  <c r="O190" i="1"/>
  <c r="O174" i="1"/>
  <c r="O158" i="1"/>
  <c r="O142" i="1"/>
  <c r="O126" i="1"/>
  <c r="O110" i="1"/>
  <c r="O90" i="1"/>
  <c r="O70" i="1"/>
  <c r="O50" i="1"/>
  <c r="O26" i="1"/>
  <c r="O6" i="1"/>
  <c r="O305" i="1"/>
  <c r="O281" i="1"/>
  <c r="O249" i="1"/>
  <c r="O205" i="1"/>
  <c r="O157" i="1"/>
  <c r="O73" i="1"/>
  <c r="O22" i="1"/>
  <c r="O321" i="1"/>
  <c r="O297" i="1"/>
  <c r="O273" i="1"/>
  <c r="O233" i="1"/>
  <c r="O189" i="1"/>
  <c r="O137" i="1"/>
  <c r="O25" i="1"/>
  <c r="O313" i="1"/>
  <c r="O293" i="1"/>
  <c r="O269" i="1"/>
  <c r="O225" i="1"/>
  <c r="O185" i="1"/>
  <c r="O125" i="1"/>
  <c r="O2413" i="1"/>
  <c r="O94" i="1"/>
  <c r="O78" i="1"/>
  <c r="O62" i="1"/>
  <c r="O46" i="1"/>
  <c r="O30" i="1"/>
  <c r="O14" i="1"/>
  <c r="O317" i="1"/>
  <c r="O301" i="1"/>
  <c r="O285" i="1"/>
  <c r="O265" i="1"/>
  <c r="O241" i="1"/>
  <c r="O221" i="1"/>
  <c r="O201" i="1"/>
  <c r="O177" i="1"/>
  <c r="O153" i="1"/>
  <c r="O121" i="1"/>
  <c r="O65" i="1"/>
  <c r="O2481" i="1"/>
  <c r="O257" i="1"/>
  <c r="O237" i="1"/>
  <c r="O217" i="1"/>
  <c r="O193" i="1"/>
  <c r="O173" i="1"/>
  <c r="O141" i="1"/>
  <c r="O105" i="1"/>
  <c r="O33" i="1"/>
  <c r="O2573" i="1"/>
  <c r="O277" i="1"/>
  <c r="O261" i="1"/>
  <c r="O245" i="1"/>
  <c r="O229" i="1"/>
  <c r="O213" i="1"/>
  <c r="O197" i="1"/>
  <c r="O181" i="1"/>
  <c r="O165" i="1"/>
  <c r="O149" i="1"/>
  <c r="O133" i="1"/>
  <c r="O113" i="1"/>
  <c r="O93" i="1"/>
  <c r="O57" i="1"/>
  <c r="O9" i="1"/>
  <c r="O2429" i="1"/>
  <c r="O2721" i="1"/>
  <c r="O2525" i="1"/>
  <c r="O161" i="1"/>
  <c r="O145" i="1"/>
  <c r="O129" i="1"/>
  <c r="O109" i="1"/>
  <c r="O89" i="1"/>
  <c r="O41" i="1"/>
  <c r="O2349" i="1"/>
  <c r="O2445" i="1"/>
  <c r="O2649" i="1"/>
  <c r="O2489" i="1"/>
  <c r="O2381" i="1"/>
  <c r="O2469" i="1"/>
  <c r="O2621" i="1"/>
  <c r="O2617" i="1"/>
  <c r="O2593" i="1"/>
  <c r="O2713" i="1"/>
  <c r="O2493" i="1"/>
  <c r="O2673" i="1"/>
  <c r="O2549" i="1"/>
  <c r="O2689" i="1"/>
  <c r="O2693" i="1"/>
  <c r="O117" i="1"/>
  <c r="O101" i="1"/>
  <c r="O81" i="1"/>
  <c r="O49" i="1"/>
  <c r="O17" i="1"/>
  <c r="O2397" i="1"/>
  <c r="O2461" i="1"/>
  <c r="O2697" i="1"/>
  <c r="O2597" i="1"/>
  <c r="O2509" i="1"/>
  <c r="O2665" i="1"/>
  <c r="O2565" i="1"/>
  <c r="O2625" i="1"/>
  <c r="O2641" i="1"/>
  <c r="O2541" i="1"/>
  <c r="O2557" i="1"/>
  <c r="O77" i="1"/>
  <c r="O61" i="1"/>
  <c r="O45" i="1"/>
  <c r="O29" i="1"/>
  <c r="O13" i="1"/>
  <c r="O2365" i="1"/>
  <c r="O2405" i="1"/>
  <c r="O2437" i="1"/>
  <c r="O2465" i="1"/>
  <c r="O2485" i="1"/>
  <c r="O2685" i="1"/>
  <c r="O2633" i="1"/>
  <c r="O2585" i="1"/>
  <c r="O2537" i="1"/>
  <c r="O2501" i="1"/>
  <c r="O2701" i="1"/>
  <c r="O2653" i="1"/>
  <c r="O2605" i="1"/>
  <c r="O2553" i="1"/>
  <c r="O4" i="1"/>
  <c r="O2669" i="1"/>
  <c r="O2613" i="1"/>
  <c r="O2521" i="1"/>
  <c r="O2717" i="1"/>
  <c r="O2657" i="1"/>
  <c r="O2601" i="1"/>
  <c r="O2513" i="1"/>
  <c r="O85" i="1"/>
  <c r="O69" i="1"/>
  <c r="O53" i="1"/>
  <c r="O37" i="1"/>
  <c r="O21" i="1"/>
  <c r="O5" i="1"/>
  <c r="O2389" i="1"/>
  <c r="O2421" i="1"/>
  <c r="O2453" i="1"/>
  <c r="O2473" i="1"/>
  <c r="O2709" i="1"/>
  <c r="O2661" i="1"/>
  <c r="O2609" i="1"/>
  <c r="O2561" i="1"/>
  <c r="O2517" i="1"/>
  <c r="O2725" i="1"/>
  <c r="O2677" i="1"/>
  <c r="O2629" i="1"/>
  <c r="O2581" i="1"/>
  <c r="O2529" i="1"/>
  <c r="O2705" i="1"/>
  <c r="O2645" i="1"/>
  <c r="O2569" i="1"/>
  <c r="O2477" i="1"/>
  <c r="O2681" i="1"/>
  <c r="O2637" i="1"/>
  <c r="O2589" i="1"/>
  <c r="O2545" i="1"/>
  <c r="O2505" i="1"/>
  <c r="O2577" i="1"/>
  <c r="O2533" i="1"/>
  <c r="O2497" i="1"/>
  <c r="G4959" i="1"/>
  <c r="G4958" i="1"/>
  <c r="G4957" i="1"/>
  <c r="G4956" i="1"/>
  <c r="G4955" i="1"/>
  <c r="G4954" i="1"/>
  <c r="G4953" i="1"/>
  <c r="G4952" i="1"/>
  <c r="G4951" i="1"/>
  <c r="G4950" i="1"/>
  <c r="G4949" i="1"/>
  <c r="G4948" i="1"/>
  <c r="G4947" i="1"/>
  <c r="G4946" i="1"/>
  <c r="G4945" i="1"/>
  <c r="G4944" i="1"/>
  <c r="G4943" i="1"/>
  <c r="G4942" i="1"/>
  <c r="G4941" i="1"/>
  <c r="G4940" i="1"/>
  <c r="G4939" i="1"/>
  <c r="G4938" i="1"/>
  <c r="G4937" i="1"/>
  <c r="G4936" i="1"/>
  <c r="G4935" i="1"/>
  <c r="G4934" i="1"/>
  <c r="G4933" i="1"/>
  <c r="G4932" i="1"/>
  <c r="G4931" i="1"/>
  <c r="G4930" i="1"/>
  <c r="G4929" i="1"/>
  <c r="G4928" i="1"/>
  <c r="G4927" i="1"/>
  <c r="G4926" i="1"/>
  <c r="G4925" i="1"/>
  <c r="G4924" i="1"/>
  <c r="G4923" i="1"/>
  <c r="G4922" i="1"/>
  <c r="G4921" i="1"/>
  <c r="G4920" i="1"/>
  <c r="G4919" i="1"/>
  <c r="G4918" i="1"/>
  <c r="G4917" i="1"/>
  <c r="G4916" i="1"/>
  <c r="G4915" i="1"/>
  <c r="G4914" i="1"/>
  <c r="G4913" i="1"/>
  <c r="G4912" i="1"/>
  <c r="G4911" i="1"/>
  <c r="G4910" i="1"/>
  <c r="G4909" i="1"/>
  <c r="G4908" i="1"/>
  <c r="G4907" i="1"/>
  <c r="G4906" i="1"/>
  <c r="G4905" i="1"/>
  <c r="G4904" i="1"/>
  <c r="G4903" i="1"/>
  <c r="G4902" i="1"/>
  <c r="G4901" i="1"/>
  <c r="G4900" i="1"/>
  <c r="G4899" i="1"/>
  <c r="G4898" i="1"/>
  <c r="G4897" i="1"/>
  <c r="G4896" i="1"/>
  <c r="G4895" i="1"/>
  <c r="G4894" i="1"/>
  <c r="G4893" i="1"/>
  <c r="G4892" i="1"/>
  <c r="G4891" i="1"/>
  <c r="G4890" i="1"/>
  <c r="G4889" i="1"/>
  <c r="G4888" i="1"/>
  <c r="G4887" i="1"/>
  <c r="G4886" i="1"/>
  <c r="G4885" i="1"/>
  <c r="G4884" i="1"/>
  <c r="G4883" i="1"/>
  <c r="G4882" i="1"/>
  <c r="G4881" i="1"/>
  <c r="G4880" i="1"/>
  <c r="G4879" i="1"/>
  <c r="G4878" i="1"/>
  <c r="G4877" i="1"/>
  <c r="G4876" i="1"/>
  <c r="G4875" i="1"/>
  <c r="G4874" i="1"/>
  <c r="G4873" i="1"/>
  <c r="G4872" i="1"/>
  <c r="G4871" i="1"/>
  <c r="G4870" i="1"/>
  <c r="G4869" i="1"/>
  <c r="G4868" i="1"/>
  <c r="G4867" i="1"/>
  <c r="G4866" i="1"/>
  <c r="G4865" i="1"/>
  <c r="G4864" i="1"/>
  <c r="G4863" i="1"/>
  <c r="G4862" i="1"/>
  <c r="G4861" i="1"/>
  <c r="G4860" i="1"/>
  <c r="G4859" i="1"/>
  <c r="G4858" i="1"/>
  <c r="G4857" i="1"/>
  <c r="G4856" i="1"/>
  <c r="G4855" i="1"/>
  <c r="G4854" i="1"/>
  <c r="G4853" i="1"/>
  <c r="G4852" i="1"/>
  <c r="G4851" i="1"/>
  <c r="G4850" i="1"/>
  <c r="G4849" i="1"/>
  <c r="G4848" i="1"/>
  <c r="G4847" i="1"/>
  <c r="G4846" i="1"/>
  <c r="G4845" i="1"/>
  <c r="G4844" i="1"/>
  <c r="G4843" i="1"/>
  <c r="G4842" i="1"/>
  <c r="G4841" i="1"/>
  <c r="G4840" i="1"/>
  <c r="G4839" i="1"/>
  <c r="G4838" i="1"/>
  <c r="G4837" i="1"/>
  <c r="G4836" i="1"/>
  <c r="G4835" i="1"/>
  <c r="G4834" i="1"/>
  <c r="G4833" i="1"/>
  <c r="G4832" i="1"/>
  <c r="G4831" i="1"/>
  <c r="G4830" i="1"/>
  <c r="G4829" i="1"/>
  <c r="G4828" i="1"/>
  <c r="G4827" i="1"/>
  <c r="G4826" i="1"/>
  <c r="G4825" i="1"/>
  <c r="G4824" i="1"/>
  <c r="G4823" i="1"/>
  <c r="G4822" i="1"/>
  <c r="G4821" i="1"/>
  <c r="G4820" i="1"/>
  <c r="G4819" i="1"/>
  <c r="G4818" i="1"/>
  <c r="G4817" i="1"/>
  <c r="G4816" i="1"/>
  <c r="G4815" i="1"/>
  <c r="G4814" i="1"/>
  <c r="G4813" i="1"/>
  <c r="G4812" i="1"/>
  <c r="G4811" i="1"/>
  <c r="G4810" i="1"/>
  <c r="G4809" i="1"/>
  <c r="G4808" i="1"/>
  <c r="G4807" i="1"/>
  <c r="G4806" i="1"/>
  <c r="G4805" i="1"/>
  <c r="G4804" i="1"/>
  <c r="G4803" i="1"/>
  <c r="G4802" i="1"/>
  <c r="G4801" i="1"/>
  <c r="G4800" i="1"/>
  <c r="G4799" i="1"/>
  <c r="G4798" i="1"/>
  <c r="G4797" i="1"/>
  <c r="G4796" i="1"/>
  <c r="G4795" i="1"/>
  <c r="G4794" i="1"/>
  <c r="G4793" i="1"/>
  <c r="G4792" i="1"/>
  <c r="G4791" i="1"/>
  <c r="G4790" i="1"/>
  <c r="G4789" i="1"/>
  <c r="G4788" i="1"/>
  <c r="G4787" i="1"/>
  <c r="G4786" i="1"/>
  <c r="G4785" i="1"/>
  <c r="G4784" i="1"/>
  <c r="G4783" i="1"/>
  <c r="G4782" i="1"/>
  <c r="G4781" i="1"/>
  <c r="G4780" i="1"/>
  <c r="G4779" i="1"/>
  <c r="G4778" i="1"/>
  <c r="G4777" i="1"/>
  <c r="G4776" i="1"/>
  <c r="G4775" i="1"/>
  <c r="G4774" i="1"/>
  <c r="G4773" i="1"/>
  <c r="G4772" i="1"/>
  <c r="G4771" i="1"/>
  <c r="G4770" i="1"/>
  <c r="G4769" i="1"/>
  <c r="G4768" i="1"/>
  <c r="G4767" i="1"/>
  <c r="G4766" i="1"/>
  <c r="G4765" i="1"/>
  <c r="G4764" i="1"/>
  <c r="G4763" i="1"/>
  <c r="G4762" i="1"/>
  <c r="G4761" i="1"/>
  <c r="G4760" i="1"/>
  <c r="G4759" i="1"/>
  <c r="G4758" i="1"/>
  <c r="G4757" i="1"/>
  <c r="G4756" i="1"/>
  <c r="G4755" i="1"/>
  <c r="G4754" i="1"/>
  <c r="G4753" i="1"/>
  <c r="G4752" i="1"/>
  <c r="G4751" i="1"/>
  <c r="G4750" i="1"/>
  <c r="G4749" i="1"/>
  <c r="G4748" i="1"/>
  <c r="G4747" i="1"/>
  <c r="G4746" i="1"/>
  <c r="G4745" i="1"/>
  <c r="G4744" i="1"/>
  <c r="G4743" i="1"/>
  <c r="G4742" i="1"/>
  <c r="G4741" i="1"/>
  <c r="G4740" i="1"/>
  <c r="G4739" i="1"/>
  <c r="G4738" i="1"/>
  <c r="G4737" i="1"/>
  <c r="G4736" i="1"/>
  <c r="G4735" i="1"/>
  <c r="G4734" i="1"/>
  <c r="G4733" i="1"/>
  <c r="G4732" i="1"/>
  <c r="G4731" i="1"/>
  <c r="G4730" i="1"/>
  <c r="G4729" i="1"/>
  <c r="G4728" i="1"/>
  <c r="G4727" i="1"/>
  <c r="G4726" i="1"/>
  <c r="G4725" i="1"/>
  <c r="G4724" i="1"/>
  <c r="G4723" i="1"/>
  <c r="G4722" i="1"/>
  <c r="G4721" i="1"/>
  <c r="G4720" i="1"/>
  <c r="G4719" i="1"/>
  <c r="G4718" i="1"/>
  <c r="G4717" i="1"/>
  <c r="G4716" i="1"/>
  <c r="G4715" i="1"/>
  <c r="G4714" i="1"/>
  <c r="G4713" i="1"/>
  <c r="G4712" i="1"/>
  <c r="G4711" i="1"/>
  <c r="G4710" i="1"/>
  <c r="G4709" i="1"/>
  <c r="G4708" i="1"/>
  <c r="G4707" i="1"/>
  <c r="G4706" i="1"/>
  <c r="G4705" i="1"/>
  <c r="G4704" i="1"/>
  <c r="G4703" i="1"/>
  <c r="G4702" i="1"/>
  <c r="G4701" i="1"/>
  <c r="G4700" i="1"/>
  <c r="G4699" i="1"/>
  <c r="G4698" i="1"/>
  <c r="G4697" i="1"/>
  <c r="G4696" i="1"/>
  <c r="G4695" i="1"/>
  <c r="G4694" i="1"/>
  <c r="G4693" i="1"/>
  <c r="G4692" i="1"/>
  <c r="G4691" i="1"/>
  <c r="G4690" i="1"/>
  <c r="G4689" i="1"/>
  <c r="G4688" i="1"/>
  <c r="G4687" i="1"/>
  <c r="G4686" i="1"/>
  <c r="G4685" i="1"/>
  <c r="G4684" i="1"/>
  <c r="G4683" i="1"/>
  <c r="G4682" i="1"/>
  <c r="G4681" i="1"/>
  <c r="G4680" i="1"/>
  <c r="G4679" i="1"/>
  <c r="G4678" i="1"/>
  <c r="G4677" i="1"/>
  <c r="G4676" i="1"/>
  <c r="G4675" i="1"/>
  <c r="G4674" i="1"/>
  <c r="G4673" i="1"/>
  <c r="G4672" i="1"/>
  <c r="G4671" i="1"/>
  <c r="G4670" i="1"/>
  <c r="G4669" i="1"/>
  <c r="G4668" i="1"/>
  <c r="G4667" i="1"/>
  <c r="G4666" i="1"/>
  <c r="G4665" i="1"/>
  <c r="G4664" i="1"/>
  <c r="G4663" i="1"/>
  <c r="G4662" i="1"/>
  <c r="G4661" i="1"/>
  <c r="G4660" i="1"/>
  <c r="G4659" i="1"/>
  <c r="G4658" i="1"/>
  <c r="G4657" i="1"/>
  <c r="G4656" i="1"/>
  <c r="G4655" i="1"/>
  <c r="G4654" i="1"/>
  <c r="G4653" i="1"/>
  <c r="G4652" i="1"/>
  <c r="G4651" i="1"/>
  <c r="G4650" i="1"/>
  <c r="G4649" i="1"/>
  <c r="G4648" i="1"/>
  <c r="G4647" i="1"/>
  <c r="G4646" i="1"/>
  <c r="G4645" i="1"/>
  <c r="G4644" i="1"/>
  <c r="G4643" i="1"/>
  <c r="G4642" i="1"/>
  <c r="G4641" i="1"/>
  <c r="G4640" i="1"/>
  <c r="G4639" i="1"/>
  <c r="G4638" i="1"/>
  <c r="G4637" i="1"/>
  <c r="G4636" i="1"/>
  <c r="G4635" i="1"/>
  <c r="G4634" i="1"/>
  <c r="G4633" i="1"/>
  <c r="G4632" i="1"/>
  <c r="G4631" i="1"/>
  <c r="G4630" i="1"/>
  <c r="G4629" i="1"/>
  <c r="G4628" i="1"/>
  <c r="G4627" i="1"/>
  <c r="G4626" i="1"/>
  <c r="G4625" i="1"/>
  <c r="G4624" i="1"/>
  <c r="G4623" i="1"/>
  <c r="G4622" i="1"/>
  <c r="G4621" i="1"/>
  <c r="G4620" i="1"/>
  <c r="G4619" i="1"/>
  <c r="G4618" i="1"/>
  <c r="G4617" i="1"/>
  <c r="G4616" i="1"/>
  <c r="G4615" i="1"/>
  <c r="G4614" i="1"/>
  <c r="G4613" i="1"/>
  <c r="G4612" i="1"/>
  <c r="G4611" i="1"/>
  <c r="G4610" i="1"/>
  <c r="G4609" i="1"/>
  <c r="G4608" i="1"/>
  <c r="G4607" i="1"/>
  <c r="G4606" i="1"/>
  <c r="G4605" i="1"/>
  <c r="G4604" i="1"/>
  <c r="G4603" i="1"/>
  <c r="G4602" i="1"/>
  <c r="G4601" i="1"/>
  <c r="G4600" i="1"/>
  <c r="G4599" i="1"/>
  <c r="G4598" i="1"/>
  <c r="G4597" i="1"/>
  <c r="G4596" i="1"/>
  <c r="G4595" i="1"/>
  <c r="G4594" i="1"/>
  <c r="G4593" i="1"/>
  <c r="G4592" i="1"/>
  <c r="G4591" i="1"/>
  <c r="G4590" i="1"/>
  <c r="G4589" i="1"/>
  <c r="G4588" i="1"/>
  <c r="G4587" i="1"/>
  <c r="G4586" i="1"/>
  <c r="G4585" i="1"/>
  <c r="G4584" i="1"/>
  <c r="G4583" i="1"/>
  <c r="G4582" i="1"/>
  <c r="G4581" i="1"/>
  <c r="G4580" i="1"/>
  <c r="G4579" i="1"/>
  <c r="G4578" i="1"/>
  <c r="G4577" i="1"/>
  <c r="G4576" i="1"/>
  <c r="G4575" i="1"/>
  <c r="G4574" i="1"/>
  <c r="G4573" i="1"/>
  <c r="G4572" i="1"/>
  <c r="G4571" i="1"/>
  <c r="G4570" i="1"/>
  <c r="G4569" i="1"/>
  <c r="G4568" i="1"/>
  <c r="G4567" i="1"/>
  <c r="G4566" i="1"/>
  <c r="G4565" i="1"/>
  <c r="G4564" i="1"/>
  <c r="G4563" i="1"/>
  <c r="G4562" i="1"/>
  <c r="G4561" i="1"/>
  <c r="G4560" i="1"/>
  <c r="G4559" i="1"/>
  <c r="G4558" i="1"/>
  <c r="G4557" i="1"/>
  <c r="G4556" i="1"/>
  <c r="G4555" i="1"/>
  <c r="G4554" i="1"/>
  <c r="G4553" i="1"/>
  <c r="G4552" i="1"/>
  <c r="G4551" i="1"/>
  <c r="G4550" i="1"/>
  <c r="G4549" i="1"/>
  <c r="G4548" i="1"/>
  <c r="G4547" i="1"/>
  <c r="G4546" i="1"/>
  <c r="G4545" i="1"/>
  <c r="G4544" i="1"/>
  <c r="G4543" i="1"/>
  <c r="G4542" i="1"/>
  <c r="G4541" i="1"/>
  <c r="G4540" i="1"/>
  <c r="G4539" i="1"/>
  <c r="G4538" i="1"/>
  <c r="G4537" i="1"/>
  <c r="G4536" i="1"/>
  <c r="G4535" i="1"/>
  <c r="G4534" i="1"/>
  <c r="G4533" i="1"/>
  <c r="G4532" i="1"/>
  <c r="G4531" i="1"/>
  <c r="G4530" i="1"/>
  <c r="G4529" i="1"/>
  <c r="G4528" i="1"/>
  <c r="G4527" i="1"/>
  <c r="G4526" i="1"/>
  <c r="G4525" i="1"/>
  <c r="G4524" i="1"/>
  <c r="G4523" i="1"/>
  <c r="G4522" i="1"/>
  <c r="G4521" i="1"/>
  <c r="G4520" i="1"/>
  <c r="G4519" i="1"/>
  <c r="G4518" i="1"/>
  <c r="G4517" i="1"/>
  <c r="G4516" i="1"/>
  <c r="G4515" i="1"/>
  <c r="G4514" i="1"/>
  <c r="G4513" i="1"/>
  <c r="G4512" i="1"/>
  <c r="G4511" i="1"/>
  <c r="G4510" i="1"/>
  <c r="G4509" i="1"/>
  <c r="G4508" i="1"/>
  <c r="G4507" i="1"/>
  <c r="G4506" i="1"/>
  <c r="G4505" i="1"/>
  <c r="G4504" i="1"/>
  <c r="G4503" i="1"/>
  <c r="G4502" i="1"/>
  <c r="G4501" i="1"/>
  <c r="G4500" i="1"/>
  <c r="G4499" i="1"/>
  <c r="G4498" i="1"/>
  <c r="G4497" i="1"/>
  <c r="G4496" i="1"/>
  <c r="G4495" i="1"/>
  <c r="G4494" i="1"/>
  <c r="G4493" i="1"/>
  <c r="G4492" i="1"/>
  <c r="G4491" i="1"/>
  <c r="G4490" i="1"/>
  <c r="G4489" i="1"/>
  <c r="G4488" i="1"/>
  <c r="G4487" i="1"/>
  <c r="G4486" i="1"/>
  <c r="G4485" i="1"/>
  <c r="G4484" i="1"/>
  <c r="G4483" i="1"/>
  <c r="G4482" i="1"/>
  <c r="G4481" i="1"/>
  <c r="G4480" i="1"/>
  <c r="G4479" i="1"/>
  <c r="G4478" i="1"/>
  <c r="G4477" i="1"/>
  <c r="G4476" i="1"/>
  <c r="G4475" i="1"/>
  <c r="G4474" i="1"/>
  <c r="G4473" i="1"/>
  <c r="G4472" i="1"/>
  <c r="G4471" i="1"/>
  <c r="G4470" i="1"/>
  <c r="G4469" i="1"/>
  <c r="G4468" i="1"/>
  <c r="G4467" i="1"/>
  <c r="G4466" i="1"/>
  <c r="G4465" i="1"/>
  <c r="G4464" i="1"/>
  <c r="G4463" i="1"/>
  <c r="G4462" i="1"/>
  <c r="G4461" i="1"/>
  <c r="G4460" i="1"/>
  <c r="G4459" i="1"/>
  <c r="G4458" i="1"/>
  <c r="G4457" i="1"/>
  <c r="G4456" i="1"/>
  <c r="G4455" i="1"/>
  <c r="G4454" i="1"/>
  <c r="G4453" i="1"/>
  <c r="G4452" i="1"/>
  <c r="G4451" i="1"/>
  <c r="G4450" i="1"/>
  <c r="G4449" i="1"/>
  <c r="G4448" i="1"/>
  <c r="G4447" i="1"/>
  <c r="G4446" i="1"/>
  <c r="G4445" i="1"/>
  <c r="G4444" i="1"/>
  <c r="G4443" i="1"/>
  <c r="G4442" i="1"/>
  <c r="G4441" i="1"/>
  <c r="G4440" i="1"/>
  <c r="G4439" i="1"/>
  <c r="G4438" i="1"/>
  <c r="G4437" i="1"/>
  <c r="G4436" i="1"/>
  <c r="G4435" i="1"/>
  <c r="G4434" i="1"/>
  <c r="G4433" i="1"/>
  <c r="G4432" i="1"/>
  <c r="G4431" i="1"/>
  <c r="G4430" i="1"/>
  <c r="G4429" i="1"/>
  <c r="G4428" i="1"/>
  <c r="G4427" i="1"/>
  <c r="G4426" i="1"/>
  <c r="G4425" i="1"/>
  <c r="G4424" i="1"/>
  <c r="G4423" i="1"/>
  <c r="G4422" i="1"/>
  <c r="G4421" i="1"/>
  <c r="G4420" i="1"/>
  <c r="G4419" i="1"/>
  <c r="G4418" i="1"/>
  <c r="G4417" i="1"/>
  <c r="G4416" i="1"/>
  <c r="G4415" i="1"/>
  <c r="G4414" i="1"/>
  <c r="G4413" i="1"/>
  <c r="G4412" i="1"/>
  <c r="G4411" i="1"/>
  <c r="G4410" i="1"/>
  <c r="G4409" i="1"/>
  <c r="G4408" i="1"/>
  <c r="G4407" i="1"/>
  <c r="G4406" i="1"/>
  <c r="G4405" i="1"/>
  <c r="G4404" i="1"/>
  <c r="G4403" i="1"/>
  <c r="G4402" i="1"/>
  <c r="G4401" i="1"/>
  <c r="G4400" i="1"/>
  <c r="G4399" i="1"/>
  <c r="G4398" i="1"/>
  <c r="G4397" i="1"/>
  <c r="G4396" i="1"/>
  <c r="G4395" i="1"/>
  <c r="G4394" i="1"/>
  <c r="G4393" i="1"/>
  <c r="G4392" i="1"/>
  <c r="G4391" i="1"/>
  <c r="G4390" i="1"/>
  <c r="G4389" i="1"/>
  <c r="G4388" i="1"/>
  <c r="G4387" i="1"/>
  <c r="G4386" i="1"/>
  <c r="G4385" i="1"/>
  <c r="G4384" i="1"/>
  <c r="G4383" i="1"/>
  <c r="G4382" i="1"/>
  <c r="G4381" i="1"/>
  <c r="G4380" i="1"/>
  <c r="G4379" i="1"/>
  <c r="G4378" i="1"/>
  <c r="G4377" i="1"/>
  <c r="G4376" i="1"/>
  <c r="G4375" i="1"/>
  <c r="G4374" i="1"/>
  <c r="G4373" i="1"/>
  <c r="G4372" i="1"/>
  <c r="G4371" i="1"/>
  <c r="G4370" i="1"/>
  <c r="G4369" i="1"/>
  <c r="G4368" i="1"/>
  <c r="G4367" i="1"/>
  <c r="G4366" i="1"/>
  <c r="G4365" i="1"/>
  <c r="G4364" i="1"/>
  <c r="G4363" i="1"/>
  <c r="G4362" i="1"/>
  <c r="G4361" i="1"/>
  <c r="G4360" i="1"/>
  <c r="G4359" i="1"/>
  <c r="G4358" i="1"/>
  <c r="G4357" i="1"/>
  <c r="G4356" i="1"/>
  <c r="G4355" i="1"/>
  <c r="G4354" i="1"/>
  <c r="G4353" i="1"/>
  <c r="G4352" i="1"/>
  <c r="G4351" i="1"/>
  <c r="G4350" i="1"/>
  <c r="G4349" i="1"/>
  <c r="G4348" i="1"/>
  <c r="G4347" i="1"/>
  <c r="G4346" i="1"/>
  <c r="G4345" i="1"/>
  <c r="G4344" i="1"/>
  <c r="G4343" i="1"/>
  <c r="G4342" i="1"/>
  <c r="G4341" i="1"/>
  <c r="G4340" i="1"/>
  <c r="G4339" i="1"/>
  <c r="G4338" i="1"/>
  <c r="G4337" i="1"/>
  <c r="G4336" i="1"/>
  <c r="G4335" i="1"/>
  <c r="G4334" i="1"/>
  <c r="G4333" i="1"/>
  <c r="G4332" i="1"/>
  <c r="G4331" i="1"/>
  <c r="G4330" i="1"/>
  <c r="G4329" i="1"/>
  <c r="G4328" i="1"/>
  <c r="G4327" i="1"/>
  <c r="G4326" i="1"/>
  <c r="G4325" i="1"/>
  <c r="G4324" i="1"/>
  <c r="G4323" i="1"/>
  <c r="G4322" i="1"/>
  <c r="G4321" i="1"/>
  <c r="G4320" i="1"/>
  <c r="G4319" i="1"/>
  <c r="G4318" i="1"/>
  <c r="G4317" i="1"/>
  <c r="G4316" i="1"/>
  <c r="G4315" i="1"/>
  <c r="G4314" i="1"/>
  <c r="G4313" i="1"/>
  <c r="G4312" i="1"/>
  <c r="G4311" i="1"/>
  <c r="G4310" i="1"/>
  <c r="G4309" i="1"/>
  <c r="G4308" i="1"/>
  <c r="G4307" i="1"/>
  <c r="G4306" i="1"/>
  <c r="G4305" i="1"/>
  <c r="G4304" i="1"/>
  <c r="G4303" i="1"/>
  <c r="G4302" i="1"/>
  <c r="G4301" i="1"/>
  <c r="G4300" i="1"/>
  <c r="G4299" i="1"/>
  <c r="G4298" i="1"/>
  <c r="G4297" i="1"/>
  <c r="G4296" i="1"/>
  <c r="G4295" i="1"/>
  <c r="G4294" i="1"/>
  <c r="G4293" i="1"/>
  <c r="G4292" i="1"/>
  <c r="G4291" i="1"/>
  <c r="G4290" i="1"/>
  <c r="G4289" i="1"/>
  <c r="G4288" i="1"/>
  <c r="G4287" i="1"/>
  <c r="G4286" i="1"/>
  <c r="G4285" i="1"/>
  <c r="G4284" i="1"/>
  <c r="G4283" i="1"/>
  <c r="G4282" i="1"/>
  <c r="G4281" i="1"/>
  <c r="G4280" i="1"/>
  <c r="G4279" i="1"/>
  <c r="G4278" i="1"/>
  <c r="G4277" i="1"/>
  <c r="G4276" i="1"/>
  <c r="G4275" i="1"/>
  <c r="G4274" i="1"/>
  <c r="G4273" i="1"/>
  <c r="G4272" i="1"/>
  <c r="G4271" i="1"/>
  <c r="G4270" i="1"/>
  <c r="G4269" i="1"/>
  <c r="G4268" i="1"/>
  <c r="G4267" i="1"/>
  <c r="G4266" i="1"/>
  <c r="G4265" i="1"/>
  <c r="G4264" i="1"/>
  <c r="G4263" i="1"/>
  <c r="G4262" i="1"/>
  <c r="G4261" i="1"/>
  <c r="G4260" i="1"/>
  <c r="G4259" i="1"/>
  <c r="G4258" i="1"/>
  <c r="G4257" i="1"/>
  <c r="G4256" i="1"/>
  <c r="G4255" i="1"/>
  <c r="G4254" i="1"/>
  <c r="G4253" i="1"/>
  <c r="G4252" i="1"/>
  <c r="G4251" i="1"/>
  <c r="G4250" i="1"/>
  <c r="G4249" i="1"/>
  <c r="G4248" i="1"/>
  <c r="G4247" i="1"/>
  <c r="G4246" i="1"/>
  <c r="G4245" i="1"/>
  <c r="G4244" i="1"/>
  <c r="G4243" i="1"/>
  <c r="G4242" i="1"/>
  <c r="G4241" i="1"/>
  <c r="G4240" i="1"/>
  <c r="G4239" i="1"/>
  <c r="G4238" i="1"/>
  <c r="G4237" i="1"/>
  <c r="G4236" i="1"/>
  <c r="G4235" i="1"/>
  <c r="G4234" i="1"/>
  <c r="G4233" i="1"/>
  <c r="G4232" i="1"/>
  <c r="G4231" i="1"/>
  <c r="G4230" i="1"/>
  <c r="G4229" i="1"/>
  <c r="G4228" i="1"/>
  <c r="G4227" i="1"/>
  <c r="G4226" i="1"/>
  <c r="G4225" i="1"/>
  <c r="G4224" i="1"/>
  <c r="G4223" i="1"/>
  <c r="G4222" i="1"/>
  <c r="G4221" i="1"/>
  <c r="G4220" i="1"/>
  <c r="G4219" i="1"/>
  <c r="G4218" i="1"/>
  <c r="G4217" i="1"/>
  <c r="G4216" i="1"/>
  <c r="G4215" i="1"/>
  <c r="G4214" i="1"/>
  <c r="G4213" i="1"/>
  <c r="G4212" i="1"/>
  <c r="G4211" i="1"/>
  <c r="G4210" i="1"/>
  <c r="G4209" i="1"/>
  <c r="G4208" i="1"/>
  <c r="G4207" i="1"/>
  <c r="G4206" i="1"/>
  <c r="G4205" i="1"/>
  <c r="G4204" i="1"/>
  <c r="G4203" i="1"/>
  <c r="G4202" i="1"/>
  <c r="G4201" i="1"/>
  <c r="G4200" i="1"/>
  <c r="G4199" i="1"/>
  <c r="G4198" i="1"/>
  <c r="G4197" i="1"/>
  <c r="G4196" i="1"/>
  <c r="G4195" i="1"/>
  <c r="G4194" i="1"/>
  <c r="G4193" i="1"/>
  <c r="G4192" i="1"/>
  <c r="G4191" i="1"/>
  <c r="G4190" i="1"/>
  <c r="G4189" i="1"/>
  <c r="G4188" i="1"/>
  <c r="G4187" i="1"/>
  <c r="G4186" i="1"/>
  <c r="G4185" i="1"/>
  <c r="G4184" i="1"/>
  <c r="G4183" i="1"/>
  <c r="G4182" i="1"/>
  <c r="G4181" i="1"/>
  <c r="G4180" i="1"/>
  <c r="G4179" i="1"/>
  <c r="G4178" i="1"/>
  <c r="G4177" i="1"/>
  <c r="G4176" i="1"/>
  <c r="G4175" i="1"/>
  <c r="G4174" i="1"/>
  <c r="G4173" i="1"/>
  <c r="G4172" i="1"/>
  <c r="G4171" i="1"/>
  <c r="G4170" i="1"/>
  <c r="G4169" i="1"/>
  <c r="G4168" i="1"/>
  <c r="G4167" i="1"/>
  <c r="G4166" i="1"/>
  <c r="G4165" i="1"/>
  <c r="G4164" i="1"/>
  <c r="G4163" i="1"/>
  <c r="G4162" i="1"/>
  <c r="G4161" i="1"/>
  <c r="G4160" i="1"/>
  <c r="G4159" i="1"/>
  <c r="G4158" i="1"/>
  <c r="G4157" i="1"/>
  <c r="G4156" i="1"/>
  <c r="G4155" i="1"/>
  <c r="G4154" i="1"/>
  <c r="G4153" i="1"/>
  <c r="G4152" i="1"/>
  <c r="G4151" i="1"/>
  <c r="G4150" i="1"/>
  <c r="G4149" i="1"/>
  <c r="G4148" i="1"/>
  <c r="G4147" i="1"/>
  <c r="G4146" i="1"/>
  <c r="G4145" i="1"/>
  <c r="G4144" i="1"/>
  <c r="G4143" i="1"/>
  <c r="G4142" i="1"/>
  <c r="G4141" i="1"/>
  <c r="G4140" i="1"/>
  <c r="G4139" i="1"/>
  <c r="G4138" i="1"/>
  <c r="G4137" i="1"/>
  <c r="G4136" i="1"/>
  <c r="G4135" i="1"/>
  <c r="G4134" i="1"/>
  <c r="G4133" i="1"/>
  <c r="G4132" i="1"/>
  <c r="G4131" i="1"/>
  <c r="G4130" i="1"/>
  <c r="G4129" i="1"/>
  <c r="G4128" i="1"/>
  <c r="G4127" i="1"/>
  <c r="G4126" i="1"/>
  <c r="G4125" i="1"/>
  <c r="G4124" i="1"/>
  <c r="G4123" i="1"/>
  <c r="G4122" i="1"/>
  <c r="G4121" i="1"/>
  <c r="G4120" i="1"/>
  <c r="G4119" i="1"/>
  <c r="G4118" i="1"/>
  <c r="G4117" i="1"/>
  <c r="G4116" i="1"/>
  <c r="G4115" i="1"/>
  <c r="G4114" i="1"/>
  <c r="G4113" i="1"/>
  <c r="G4112" i="1"/>
  <c r="G4111" i="1"/>
  <c r="G4110" i="1"/>
  <c r="G4109" i="1"/>
  <c r="G4108" i="1"/>
  <c r="G4107" i="1"/>
  <c r="G4106" i="1"/>
  <c r="G4105" i="1"/>
  <c r="G4104" i="1"/>
  <c r="G4103" i="1"/>
  <c r="G4102" i="1"/>
  <c r="G4101" i="1"/>
  <c r="G4100" i="1"/>
  <c r="G4099" i="1"/>
  <c r="G4098" i="1"/>
  <c r="G4097" i="1"/>
  <c r="G4096" i="1"/>
  <c r="G4095" i="1"/>
  <c r="G4094" i="1"/>
  <c r="G4093" i="1"/>
  <c r="G4092" i="1"/>
  <c r="G4091" i="1"/>
  <c r="G4090" i="1"/>
  <c r="G4089" i="1"/>
  <c r="G4088" i="1"/>
  <c r="G4087" i="1"/>
  <c r="G4086" i="1"/>
  <c r="G4085" i="1"/>
  <c r="G4084" i="1"/>
  <c r="G4083" i="1"/>
  <c r="G4082" i="1"/>
  <c r="G4081" i="1"/>
  <c r="G4080" i="1"/>
  <c r="G4079" i="1"/>
  <c r="G4078" i="1"/>
  <c r="G4077" i="1"/>
  <c r="G4076" i="1"/>
  <c r="G4075" i="1"/>
  <c r="G4074" i="1"/>
  <c r="G4073" i="1"/>
  <c r="G4072" i="1"/>
  <c r="G4071" i="1"/>
  <c r="G4070" i="1"/>
  <c r="G4069" i="1"/>
  <c r="G4068" i="1"/>
  <c r="G4067" i="1"/>
  <c r="G4066" i="1"/>
  <c r="G4065" i="1"/>
  <c r="G4064" i="1"/>
  <c r="G4063" i="1"/>
  <c r="G4062" i="1"/>
  <c r="G4061" i="1"/>
  <c r="G4060" i="1"/>
  <c r="G4059" i="1"/>
  <c r="G4058" i="1"/>
  <c r="G4057" i="1"/>
  <c r="G4056" i="1"/>
  <c r="G4055" i="1"/>
  <c r="G4054" i="1"/>
  <c r="G4053" i="1"/>
  <c r="G4052" i="1"/>
  <c r="G4051" i="1"/>
  <c r="G4050" i="1"/>
  <c r="G4049" i="1"/>
  <c r="G4048" i="1"/>
  <c r="G4047" i="1"/>
  <c r="G4046" i="1"/>
  <c r="G4045" i="1"/>
  <c r="G4044" i="1"/>
  <c r="G4043" i="1"/>
  <c r="G4042" i="1"/>
  <c r="G4041" i="1"/>
  <c r="G4040" i="1"/>
  <c r="G4039" i="1"/>
  <c r="G4038" i="1"/>
  <c r="G4037" i="1"/>
  <c r="G4036" i="1"/>
  <c r="G4035" i="1"/>
  <c r="G4034" i="1"/>
  <c r="G4033" i="1"/>
  <c r="G4032" i="1"/>
  <c r="G4031" i="1"/>
  <c r="G4030" i="1"/>
  <c r="G4029" i="1"/>
  <c r="G4028" i="1"/>
  <c r="G4027" i="1"/>
  <c r="G4026" i="1"/>
  <c r="G4025" i="1"/>
  <c r="G4024" i="1"/>
  <c r="G4023" i="1"/>
  <c r="G4022" i="1"/>
  <c r="G4021" i="1"/>
  <c r="G4020" i="1"/>
  <c r="G4019" i="1"/>
  <c r="G4018" i="1"/>
  <c r="G4017" i="1"/>
  <c r="G4016" i="1"/>
  <c r="G4015" i="1"/>
  <c r="G4014" i="1"/>
  <c r="G4013" i="1"/>
  <c r="G4012" i="1"/>
  <c r="G4011" i="1"/>
  <c r="G4010" i="1"/>
  <c r="G4009" i="1"/>
  <c r="G4008" i="1"/>
  <c r="G4007" i="1"/>
  <c r="G4006" i="1"/>
  <c r="G4005" i="1"/>
  <c r="G4004" i="1"/>
  <c r="G4003" i="1"/>
  <c r="G4002" i="1"/>
  <c r="G4001" i="1"/>
  <c r="G4000" i="1"/>
  <c r="G3999" i="1"/>
  <c r="G3998" i="1"/>
  <c r="G3997" i="1"/>
  <c r="G3996" i="1"/>
  <c r="G3995" i="1"/>
  <c r="G3994" i="1"/>
  <c r="G3993" i="1"/>
  <c r="G3992" i="1"/>
  <c r="G3991" i="1"/>
  <c r="G3990" i="1"/>
  <c r="G3989" i="1"/>
  <c r="G3988" i="1"/>
  <c r="G3987" i="1"/>
  <c r="G3986" i="1"/>
  <c r="G3985" i="1"/>
  <c r="G3984" i="1"/>
  <c r="G3983" i="1"/>
  <c r="G3982" i="1"/>
  <c r="G3981" i="1"/>
  <c r="G3980" i="1"/>
  <c r="G3979" i="1"/>
  <c r="G3978" i="1"/>
  <c r="G3977" i="1"/>
  <c r="G3976" i="1"/>
  <c r="G3975" i="1"/>
  <c r="G3974" i="1"/>
  <c r="G3973" i="1"/>
  <c r="G3972" i="1"/>
  <c r="G3971" i="1"/>
  <c r="G3970" i="1"/>
  <c r="G3969" i="1"/>
  <c r="G3968" i="1"/>
  <c r="G3967" i="1"/>
  <c r="G3966" i="1"/>
  <c r="G3965" i="1"/>
  <c r="G3964" i="1"/>
  <c r="G3963" i="1"/>
  <c r="G3962" i="1"/>
  <c r="G3961" i="1"/>
  <c r="G3960" i="1"/>
  <c r="G3959" i="1"/>
  <c r="G3958" i="1"/>
  <c r="G3957" i="1"/>
  <c r="G3956" i="1"/>
  <c r="G3955" i="1"/>
  <c r="G3954" i="1"/>
  <c r="G3953" i="1"/>
  <c r="G3952" i="1"/>
  <c r="G3951" i="1"/>
  <c r="G3950" i="1"/>
  <c r="G3949" i="1"/>
  <c r="G3948" i="1"/>
  <c r="G3947" i="1"/>
  <c r="G3946" i="1"/>
  <c r="G3945" i="1"/>
  <c r="G3944" i="1"/>
  <c r="G3943" i="1"/>
  <c r="G3942" i="1"/>
  <c r="G3941" i="1"/>
  <c r="G3940" i="1"/>
  <c r="G3939" i="1"/>
  <c r="G3938" i="1"/>
  <c r="G3937" i="1"/>
  <c r="G3936" i="1"/>
  <c r="G3935" i="1"/>
  <c r="G3934" i="1"/>
  <c r="G3933" i="1"/>
  <c r="G3932" i="1"/>
  <c r="G3931" i="1"/>
  <c r="G3930" i="1"/>
  <c r="G3929" i="1"/>
  <c r="G3928" i="1"/>
  <c r="G3927" i="1"/>
  <c r="G3926" i="1"/>
  <c r="G3925" i="1"/>
  <c r="G3924" i="1"/>
  <c r="G3923" i="1"/>
  <c r="G3922" i="1"/>
  <c r="G3921" i="1"/>
  <c r="G3920" i="1"/>
  <c r="G3919" i="1"/>
  <c r="G3918" i="1"/>
  <c r="G3917" i="1"/>
  <c r="G3916" i="1"/>
  <c r="G3915" i="1"/>
  <c r="G3914" i="1"/>
  <c r="G3913" i="1"/>
  <c r="G3912" i="1"/>
  <c r="G3911" i="1"/>
  <c r="G3910" i="1"/>
  <c r="G3909" i="1"/>
  <c r="G3908" i="1"/>
  <c r="G3907" i="1"/>
  <c r="G3906" i="1"/>
  <c r="G3905" i="1"/>
  <c r="G3904" i="1"/>
  <c r="G3903" i="1"/>
  <c r="G3902" i="1"/>
  <c r="G3901" i="1"/>
  <c r="G3900" i="1"/>
  <c r="G3899" i="1"/>
  <c r="G3898" i="1"/>
  <c r="G3897" i="1"/>
  <c r="G3896" i="1"/>
  <c r="G3895" i="1"/>
  <c r="G3894" i="1"/>
  <c r="G3893" i="1"/>
  <c r="G3892" i="1"/>
  <c r="G3891" i="1"/>
  <c r="G3890" i="1"/>
  <c r="G3889" i="1"/>
  <c r="G3888" i="1"/>
  <c r="G3887" i="1"/>
  <c r="G3886" i="1"/>
  <c r="G3885" i="1"/>
  <c r="G3884" i="1"/>
  <c r="G3883" i="1"/>
  <c r="G3882" i="1"/>
  <c r="G3881" i="1"/>
  <c r="G3880" i="1"/>
  <c r="G3879" i="1"/>
  <c r="G3878" i="1"/>
  <c r="G3877" i="1"/>
  <c r="G3876" i="1"/>
  <c r="G3875" i="1"/>
  <c r="G3874" i="1"/>
  <c r="G3873" i="1"/>
  <c r="G3872" i="1"/>
  <c r="G3871" i="1"/>
  <c r="G3870" i="1"/>
  <c r="G3869" i="1"/>
  <c r="G3868" i="1"/>
  <c r="G3867" i="1"/>
  <c r="G3866" i="1"/>
  <c r="G3865" i="1"/>
  <c r="G3864" i="1"/>
  <c r="G3863" i="1"/>
  <c r="G3862" i="1"/>
  <c r="G3861" i="1"/>
  <c r="G3860" i="1"/>
  <c r="G3859" i="1"/>
  <c r="G3858" i="1"/>
  <c r="G3857" i="1"/>
  <c r="G3856" i="1"/>
  <c r="G3855" i="1"/>
  <c r="G3854" i="1"/>
  <c r="G3853" i="1"/>
  <c r="G3852" i="1"/>
  <c r="G3851" i="1"/>
  <c r="G3850" i="1"/>
  <c r="G3849" i="1"/>
  <c r="G3848" i="1"/>
  <c r="G3847" i="1"/>
  <c r="G3846" i="1"/>
  <c r="G3845" i="1"/>
  <c r="G3844" i="1"/>
  <c r="G3843" i="1"/>
  <c r="G3842" i="1"/>
  <c r="G3841" i="1"/>
  <c r="G3840" i="1"/>
  <c r="G3839" i="1"/>
  <c r="G3838" i="1"/>
  <c r="G3837" i="1"/>
  <c r="G3836" i="1"/>
  <c r="G3835" i="1"/>
  <c r="G3834" i="1"/>
  <c r="G3833" i="1"/>
  <c r="G3832" i="1"/>
  <c r="G3831" i="1"/>
  <c r="G3830" i="1"/>
  <c r="G3829" i="1"/>
  <c r="G3828" i="1"/>
  <c r="G3827" i="1"/>
  <c r="G3826" i="1"/>
  <c r="G3825" i="1"/>
  <c r="G3824" i="1"/>
  <c r="G3823" i="1"/>
  <c r="G3822" i="1"/>
  <c r="G3821" i="1"/>
  <c r="G3820" i="1"/>
  <c r="G3819" i="1"/>
  <c r="G3818" i="1"/>
  <c r="G3817" i="1"/>
  <c r="G3816" i="1"/>
  <c r="G3815" i="1"/>
  <c r="G3814" i="1"/>
  <c r="G3813" i="1"/>
  <c r="G3812" i="1"/>
  <c r="G3811" i="1"/>
  <c r="G3810" i="1"/>
  <c r="G3809" i="1"/>
  <c r="G3808" i="1"/>
  <c r="G3807" i="1"/>
  <c r="G3806" i="1"/>
  <c r="G3805" i="1"/>
  <c r="G3804" i="1"/>
  <c r="G3803" i="1"/>
  <c r="G3802" i="1"/>
  <c r="G3801" i="1"/>
  <c r="G3800" i="1"/>
  <c r="G3799" i="1"/>
  <c r="G3798" i="1"/>
  <c r="G3797" i="1"/>
  <c r="G3796" i="1"/>
  <c r="G3795" i="1"/>
  <c r="G3794" i="1"/>
  <c r="G3793" i="1"/>
  <c r="G3792" i="1"/>
  <c r="G3791" i="1"/>
  <c r="G3790" i="1"/>
  <c r="G3789" i="1"/>
  <c r="G3788" i="1"/>
  <c r="G3787" i="1"/>
  <c r="G3786" i="1"/>
  <c r="G3785" i="1"/>
  <c r="G3784" i="1"/>
  <c r="G3783" i="1"/>
  <c r="G3782" i="1"/>
  <c r="G3781" i="1"/>
  <c r="G3780" i="1"/>
  <c r="G3779" i="1"/>
  <c r="G3778" i="1"/>
  <c r="G3777" i="1"/>
  <c r="G3776" i="1"/>
  <c r="G3775" i="1"/>
  <c r="G3774" i="1"/>
  <c r="G3773" i="1"/>
  <c r="G3772" i="1"/>
  <c r="G3771" i="1"/>
  <c r="G3770" i="1"/>
  <c r="G3769" i="1"/>
  <c r="G3768" i="1"/>
  <c r="G3767" i="1"/>
  <c r="G3766" i="1"/>
  <c r="G3765" i="1"/>
  <c r="G3764" i="1"/>
  <c r="G3763" i="1"/>
  <c r="G3762" i="1"/>
  <c r="G3761" i="1"/>
  <c r="G3760" i="1"/>
  <c r="G3759" i="1"/>
  <c r="G3758" i="1"/>
  <c r="G3757" i="1"/>
  <c r="G3756" i="1"/>
  <c r="G3755" i="1"/>
  <c r="G3754" i="1"/>
  <c r="G3753" i="1"/>
  <c r="G3752" i="1"/>
  <c r="G3751" i="1"/>
  <c r="G3750" i="1"/>
  <c r="G3749" i="1"/>
  <c r="G3748" i="1"/>
  <c r="G3747" i="1"/>
  <c r="G3746" i="1"/>
  <c r="G3745" i="1"/>
  <c r="G3744" i="1"/>
  <c r="G3743" i="1"/>
  <c r="G3742" i="1"/>
  <c r="G3741" i="1"/>
  <c r="G3740" i="1"/>
  <c r="G3739" i="1"/>
  <c r="G3738" i="1"/>
  <c r="G3737" i="1"/>
  <c r="G3736" i="1"/>
  <c r="G3735" i="1"/>
  <c r="G3734" i="1"/>
  <c r="G3733" i="1"/>
  <c r="G3732" i="1"/>
  <c r="G3731" i="1"/>
  <c r="G3730" i="1"/>
  <c r="G3729" i="1"/>
  <c r="G3728" i="1"/>
  <c r="G3727" i="1"/>
  <c r="G3726" i="1"/>
  <c r="G3725" i="1"/>
  <c r="G3724" i="1"/>
  <c r="G3723" i="1"/>
  <c r="G3722" i="1"/>
  <c r="G3721" i="1"/>
  <c r="G3720" i="1"/>
  <c r="G3719" i="1"/>
  <c r="G3718" i="1"/>
  <c r="G3717" i="1"/>
  <c r="G3716" i="1"/>
  <c r="G3715" i="1"/>
  <c r="G3714" i="1"/>
  <c r="G3713" i="1"/>
  <c r="G3712" i="1"/>
  <c r="G3711" i="1"/>
  <c r="G3710" i="1"/>
  <c r="G3709" i="1"/>
  <c r="G3708" i="1"/>
  <c r="G3707" i="1"/>
  <c r="G3706" i="1"/>
  <c r="G3705" i="1"/>
  <c r="G3704" i="1"/>
  <c r="G3703" i="1"/>
  <c r="G3702" i="1"/>
  <c r="G3701" i="1"/>
  <c r="G3700" i="1"/>
  <c r="G3699" i="1"/>
  <c r="G3698" i="1"/>
  <c r="G3697" i="1"/>
  <c r="G3696" i="1"/>
  <c r="G3695" i="1"/>
  <c r="G3694" i="1"/>
  <c r="G3693" i="1"/>
  <c r="G3692" i="1"/>
  <c r="G3691" i="1"/>
  <c r="G3690" i="1"/>
  <c r="G3689" i="1"/>
  <c r="G3688" i="1"/>
  <c r="G3687" i="1"/>
  <c r="G3686" i="1"/>
  <c r="G3685" i="1"/>
  <c r="G3684" i="1"/>
  <c r="G3683" i="1"/>
  <c r="G3682" i="1"/>
  <c r="G3681" i="1"/>
  <c r="G3680" i="1"/>
  <c r="G3679" i="1"/>
  <c r="G3678" i="1"/>
  <c r="G3677" i="1"/>
  <c r="G3676" i="1"/>
  <c r="G3675" i="1"/>
  <c r="G3674" i="1"/>
  <c r="G3673" i="1"/>
  <c r="G3672" i="1"/>
  <c r="G3671" i="1"/>
  <c r="G3670" i="1"/>
  <c r="G3669" i="1"/>
  <c r="G3668" i="1"/>
  <c r="G3667" i="1"/>
  <c r="G3666" i="1"/>
  <c r="G3665" i="1"/>
  <c r="G3664" i="1"/>
  <c r="G3663" i="1"/>
  <c r="G3662" i="1"/>
  <c r="G3661" i="1"/>
  <c r="G3660" i="1"/>
  <c r="G3659" i="1"/>
  <c r="G3658" i="1"/>
  <c r="G3657" i="1"/>
  <c r="G3656" i="1"/>
  <c r="G3655" i="1"/>
  <c r="G3654" i="1"/>
  <c r="G3653" i="1"/>
  <c r="G3652" i="1"/>
  <c r="G3651" i="1"/>
  <c r="G3650" i="1"/>
  <c r="G3649" i="1"/>
  <c r="G3648" i="1"/>
  <c r="G3647" i="1"/>
  <c r="G3646" i="1"/>
  <c r="G3645" i="1"/>
  <c r="G3644" i="1"/>
  <c r="G3643" i="1"/>
  <c r="G3642" i="1"/>
  <c r="G3641" i="1"/>
  <c r="G3640" i="1"/>
  <c r="G3639" i="1"/>
  <c r="G3638" i="1"/>
  <c r="G3637" i="1"/>
  <c r="G3636" i="1"/>
  <c r="G3635" i="1"/>
  <c r="G3634" i="1"/>
  <c r="G3633" i="1"/>
  <c r="G3632" i="1"/>
  <c r="G3631" i="1"/>
  <c r="G3630" i="1"/>
  <c r="G3629" i="1"/>
  <c r="G3628" i="1"/>
  <c r="G3627" i="1"/>
  <c r="G3626" i="1"/>
  <c r="G3625" i="1"/>
  <c r="G3624" i="1"/>
  <c r="G3623" i="1"/>
  <c r="G3622" i="1"/>
  <c r="G3621" i="1"/>
  <c r="G3620" i="1"/>
  <c r="G3619" i="1"/>
  <c r="G3618" i="1"/>
  <c r="G3617" i="1"/>
  <c r="G3616" i="1"/>
  <c r="G3615" i="1"/>
  <c r="G3614" i="1"/>
  <c r="G3613" i="1"/>
  <c r="G3612" i="1"/>
  <c r="G3611" i="1"/>
  <c r="G3610" i="1"/>
  <c r="G3609" i="1"/>
  <c r="G3608" i="1"/>
  <c r="G3607" i="1"/>
  <c r="G3606" i="1"/>
  <c r="G3605" i="1"/>
  <c r="G3604" i="1"/>
  <c r="G3603" i="1"/>
  <c r="G3602" i="1"/>
  <c r="G3601" i="1"/>
  <c r="G3600" i="1"/>
  <c r="G3599" i="1"/>
  <c r="G3598" i="1"/>
  <c r="G3597" i="1"/>
  <c r="G3596" i="1"/>
  <c r="G3595" i="1"/>
  <c r="G3594" i="1"/>
  <c r="G3593" i="1"/>
  <c r="G3592" i="1"/>
  <c r="G3591" i="1"/>
  <c r="G3590" i="1"/>
  <c r="G3589" i="1"/>
  <c r="G3588" i="1"/>
  <c r="G3587" i="1"/>
  <c r="G3586" i="1"/>
  <c r="G3585" i="1"/>
  <c r="G3584" i="1"/>
  <c r="G3583" i="1"/>
  <c r="G3582" i="1"/>
  <c r="G3581" i="1"/>
  <c r="G3580" i="1"/>
  <c r="G3579" i="1"/>
  <c r="G3578" i="1"/>
  <c r="G3577" i="1"/>
  <c r="G3576" i="1"/>
  <c r="G3575" i="1"/>
  <c r="G3574" i="1"/>
  <c r="G3573" i="1"/>
  <c r="G3572" i="1"/>
  <c r="G3571" i="1"/>
  <c r="G3570" i="1"/>
  <c r="G3569" i="1"/>
  <c r="G3568" i="1"/>
  <c r="G3567" i="1"/>
  <c r="G3566" i="1"/>
  <c r="G3565" i="1"/>
  <c r="G3564" i="1"/>
  <c r="G3563" i="1"/>
  <c r="G3562" i="1"/>
  <c r="G3561" i="1"/>
  <c r="G3560" i="1"/>
  <c r="G3559" i="1"/>
  <c r="G3558" i="1"/>
  <c r="G3557" i="1"/>
  <c r="G3556" i="1"/>
  <c r="G3555" i="1"/>
  <c r="G3554" i="1"/>
  <c r="G3553" i="1"/>
  <c r="G3552" i="1"/>
  <c r="G3551" i="1"/>
  <c r="G3550" i="1"/>
  <c r="G3549" i="1"/>
  <c r="G3548" i="1"/>
  <c r="G3547" i="1"/>
  <c r="G3546" i="1"/>
  <c r="G3545" i="1"/>
  <c r="G3544" i="1"/>
  <c r="G3543" i="1"/>
  <c r="G3542" i="1"/>
  <c r="G3541" i="1"/>
  <c r="G3540" i="1"/>
  <c r="G3539" i="1"/>
  <c r="G3538" i="1"/>
  <c r="G3537" i="1"/>
  <c r="G3536" i="1"/>
  <c r="G3535" i="1"/>
  <c r="G3534" i="1"/>
  <c r="G3533" i="1"/>
  <c r="G3532" i="1"/>
  <c r="G3531" i="1"/>
  <c r="G3530" i="1"/>
  <c r="G3529" i="1"/>
  <c r="G3528" i="1"/>
  <c r="G3527" i="1"/>
  <c r="G3526" i="1"/>
  <c r="G3525" i="1"/>
  <c r="G3524" i="1"/>
  <c r="G3523" i="1"/>
  <c r="G3522" i="1"/>
  <c r="G3521" i="1"/>
  <c r="G3520" i="1"/>
  <c r="G3519" i="1"/>
  <c r="G3518" i="1"/>
  <c r="G3517" i="1"/>
  <c r="G3516" i="1"/>
  <c r="G3515" i="1"/>
  <c r="G3514" i="1"/>
  <c r="G3513" i="1"/>
  <c r="G3512" i="1"/>
  <c r="G3511" i="1"/>
  <c r="G3510" i="1"/>
  <c r="G3509" i="1"/>
  <c r="G3508" i="1"/>
  <c r="G3507" i="1"/>
  <c r="G3506" i="1"/>
  <c r="G3505" i="1"/>
  <c r="G3504" i="1"/>
  <c r="G3503" i="1"/>
  <c r="G3502" i="1"/>
  <c r="G3501" i="1"/>
  <c r="G3500" i="1"/>
  <c r="G3499" i="1"/>
  <c r="G3498" i="1"/>
  <c r="G3497" i="1"/>
  <c r="G3496" i="1"/>
  <c r="G3495" i="1"/>
  <c r="G3494" i="1"/>
  <c r="G3493" i="1"/>
  <c r="G3492" i="1"/>
  <c r="G3491" i="1"/>
  <c r="G3490" i="1"/>
  <c r="G3489" i="1"/>
  <c r="G3488" i="1"/>
  <c r="G3487" i="1"/>
  <c r="G3486" i="1"/>
  <c r="G3485" i="1"/>
  <c r="G3484" i="1"/>
  <c r="G3483" i="1"/>
  <c r="G3482" i="1"/>
  <c r="G3481" i="1"/>
  <c r="G3480" i="1"/>
  <c r="G3479" i="1"/>
  <c r="G3478" i="1"/>
  <c r="G3477" i="1"/>
  <c r="G3476" i="1"/>
  <c r="G3475" i="1"/>
  <c r="G3474" i="1"/>
  <c r="G3473" i="1"/>
  <c r="G3472" i="1"/>
  <c r="G3471" i="1"/>
  <c r="G3470" i="1"/>
  <c r="G3469" i="1"/>
  <c r="G3468" i="1"/>
  <c r="G3467" i="1"/>
  <c r="G3466" i="1"/>
  <c r="G3465" i="1"/>
  <c r="G3464" i="1"/>
  <c r="G3463" i="1"/>
  <c r="G3462" i="1"/>
  <c r="G3461" i="1"/>
  <c r="G3460" i="1"/>
  <c r="G3459" i="1"/>
  <c r="G3458" i="1"/>
  <c r="G3457" i="1"/>
  <c r="G3456" i="1"/>
  <c r="G3455" i="1"/>
  <c r="G3454" i="1"/>
  <c r="G3453" i="1"/>
  <c r="G3452" i="1"/>
  <c r="G3451" i="1"/>
  <c r="G3450" i="1"/>
  <c r="G3449" i="1"/>
  <c r="G3448" i="1"/>
  <c r="G3447" i="1"/>
  <c r="G3446" i="1"/>
  <c r="G3445" i="1"/>
  <c r="G3444" i="1"/>
  <c r="G3443" i="1"/>
  <c r="G3442" i="1"/>
  <c r="G3441" i="1"/>
  <c r="G3440" i="1"/>
  <c r="G3439" i="1"/>
  <c r="G3438" i="1"/>
  <c r="G3437" i="1"/>
  <c r="G3436" i="1"/>
  <c r="G3435" i="1"/>
  <c r="G3434" i="1"/>
  <c r="G3433" i="1"/>
  <c r="G3432" i="1"/>
  <c r="G3431" i="1"/>
  <c r="G3430" i="1"/>
  <c r="G3429" i="1"/>
  <c r="G3428" i="1"/>
  <c r="G3427" i="1"/>
  <c r="G3426" i="1"/>
  <c r="G3425" i="1"/>
  <c r="G3424" i="1"/>
  <c r="G3423" i="1"/>
  <c r="G3422" i="1"/>
  <c r="G3421" i="1"/>
  <c r="G3420" i="1"/>
  <c r="G3419" i="1"/>
  <c r="G3418" i="1"/>
  <c r="G3417" i="1"/>
  <c r="G3416" i="1"/>
  <c r="G3415" i="1"/>
  <c r="G3414" i="1"/>
  <c r="G3413" i="1"/>
  <c r="G3412" i="1"/>
  <c r="G3411" i="1"/>
  <c r="G3410" i="1"/>
  <c r="G3409" i="1"/>
  <c r="G3408" i="1"/>
  <c r="G3407" i="1"/>
  <c r="G3406" i="1"/>
  <c r="G3405" i="1"/>
  <c r="G3404" i="1"/>
  <c r="G3403" i="1"/>
  <c r="G3402" i="1"/>
  <c r="G3401" i="1"/>
  <c r="G3400" i="1"/>
  <c r="G3399" i="1"/>
  <c r="G3398" i="1"/>
  <c r="G3397" i="1"/>
  <c r="G3396" i="1"/>
  <c r="G3395" i="1"/>
  <c r="G3394" i="1"/>
  <c r="G3393" i="1"/>
  <c r="G3392" i="1"/>
  <c r="G3391" i="1"/>
  <c r="G3390" i="1"/>
  <c r="G3389" i="1"/>
  <c r="G3388" i="1"/>
  <c r="G3387" i="1"/>
  <c r="G3386" i="1"/>
  <c r="G3385" i="1"/>
  <c r="G3384" i="1"/>
  <c r="G3383" i="1"/>
  <c r="G3382" i="1"/>
  <c r="G3381" i="1"/>
  <c r="G3380" i="1"/>
  <c r="G3379" i="1"/>
  <c r="G3378" i="1"/>
  <c r="G3377" i="1"/>
  <c r="G3376" i="1"/>
  <c r="G3375" i="1"/>
  <c r="G3374" i="1"/>
  <c r="G3373" i="1"/>
  <c r="G3372" i="1"/>
  <c r="G3371" i="1"/>
  <c r="G3370" i="1"/>
  <c r="G3369" i="1"/>
  <c r="G3368" i="1"/>
  <c r="G3367" i="1"/>
  <c r="G3366" i="1"/>
  <c r="G3365" i="1"/>
  <c r="G3364" i="1"/>
  <c r="G3363" i="1"/>
  <c r="G3362" i="1"/>
  <c r="G3361" i="1"/>
  <c r="G3360" i="1"/>
  <c r="G3359" i="1"/>
  <c r="G3358" i="1"/>
  <c r="G3357" i="1"/>
  <c r="G3356" i="1"/>
  <c r="G3355" i="1"/>
  <c r="G3354" i="1"/>
  <c r="G3353" i="1"/>
  <c r="G3352" i="1"/>
  <c r="G3351" i="1"/>
  <c r="G3350" i="1"/>
  <c r="G3349" i="1"/>
  <c r="G3348" i="1"/>
  <c r="G3347" i="1"/>
  <c r="G3346" i="1"/>
  <c r="G3345" i="1"/>
  <c r="G3344" i="1"/>
  <c r="G3343" i="1"/>
  <c r="G3342" i="1"/>
  <c r="G3341" i="1"/>
  <c r="G3340" i="1"/>
  <c r="G3339" i="1"/>
  <c r="G3338" i="1"/>
  <c r="G3337" i="1"/>
  <c r="G3336" i="1"/>
  <c r="G3335" i="1"/>
  <c r="G3334" i="1"/>
  <c r="G3333" i="1"/>
  <c r="G3332" i="1"/>
  <c r="G3331" i="1"/>
  <c r="G3330" i="1"/>
  <c r="G3329" i="1"/>
  <c r="G3328" i="1"/>
  <c r="G3327" i="1"/>
  <c r="G3326" i="1"/>
  <c r="G3325" i="1"/>
  <c r="G3324" i="1"/>
  <c r="G3323" i="1"/>
  <c r="G3322" i="1"/>
  <c r="G3321" i="1"/>
  <c r="G3320" i="1"/>
  <c r="G3319" i="1"/>
  <c r="G3318" i="1"/>
  <c r="G3317" i="1"/>
  <c r="G3316" i="1"/>
  <c r="G3315" i="1"/>
  <c r="G3314" i="1"/>
  <c r="G3313" i="1"/>
  <c r="G3312" i="1"/>
  <c r="G3311" i="1"/>
  <c r="G3310" i="1"/>
  <c r="G3309" i="1"/>
  <c r="G3308" i="1"/>
  <c r="G3307" i="1"/>
  <c r="G3306" i="1"/>
  <c r="G3305" i="1"/>
  <c r="G3304" i="1"/>
  <c r="G3303" i="1"/>
  <c r="G3302" i="1"/>
  <c r="G3301" i="1"/>
  <c r="G3300" i="1"/>
  <c r="G3299" i="1"/>
  <c r="G3298" i="1"/>
  <c r="G3297" i="1"/>
  <c r="G3296" i="1"/>
  <c r="G3295" i="1"/>
  <c r="G3294" i="1"/>
  <c r="G3293" i="1"/>
  <c r="G3292" i="1"/>
  <c r="G3291" i="1"/>
  <c r="G3290" i="1"/>
  <c r="G3289" i="1"/>
  <c r="G3288" i="1"/>
  <c r="G3287" i="1"/>
  <c r="G3286" i="1"/>
  <c r="G3285" i="1"/>
  <c r="G3284" i="1"/>
  <c r="G3283" i="1"/>
  <c r="G3282" i="1"/>
  <c r="G3281" i="1"/>
  <c r="G3280" i="1"/>
  <c r="G3279" i="1"/>
  <c r="G3278" i="1"/>
  <c r="G3277" i="1"/>
  <c r="G3276" i="1"/>
  <c r="G3275" i="1"/>
  <c r="G3274" i="1"/>
  <c r="G3273" i="1"/>
  <c r="G3272" i="1"/>
  <c r="G3271" i="1"/>
  <c r="G3270" i="1"/>
  <c r="G3269" i="1"/>
  <c r="G3268" i="1"/>
  <c r="G3267" i="1"/>
  <c r="G3266" i="1"/>
  <c r="G3265" i="1"/>
  <c r="G3264" i="1"/>
  <c r="G3263" i="1"/>
  <c r="G3262" i="1"/>
  <c r="G3261" i="1"/>
  <c r="G3260" i="1"/>
  <c r="G3259" i="1"/>
  <c r="G3258" i="1"/>
  <c r="G3257" i="1"/>
  <c r="G3256" i="1"/>
  <c r="G3255" i="1"/>
  <c r="G3254" i="1"/>
  <c r="G3253" i="1"/>
  <c r="G3252" i="1"/>
  <c r="G3251" i="1"/>
  <c r="G3250" i="1"/>
  <c r="G3249" i="1"/>
  <c r="G3248" i="1"/>
  <c r="G3247" i="1"/>
  <c r="G3246" i="1"/>
  <c r="G3245" i="1"/>
  <c r="G3244" i="1"/>
  <c r="G3243" i="1"/>
  <c r="G3242" i="1"/>
  <c r="G3241" i="1"/>
  <c r="G3240" i="1"/>
  <c r="G3239" i="1"/>
  <c r="G3238" i="1"/>
  <c r="G3237" i="1"/>
  <c r="G3236" i="1"/>
  <c r="G3235" i="1"/>
  <c r="G3234" i="1"/>
  <c r="G3233" i="1"/>
  <c r="G3232" i="1"/>
  <c r="G3231" i="1"/>
  <c r="G3230" i="1"/>
  <c r="G3229" i="1"/>
  <c r="G3228" i="1"/>
  <c r="G3227" i="1"/>
  <c r="G3226" i="1"/>
  <c r="G3225" i="1"/>
  <c r="G3224" i="1"/>
  <c r="G3223" i="1"/>
  <c r="G3222" i="1"/>
  <c r="G3221" i="1"/>
  <c r="G3220" i="1"/>
  <c r="G3219" i="1"/>
  <c r="G3218" i="1"/>
  <c r="G3217" i="1"/>
  <c r="G3216" i="1"/>
  <c r="G3215" i="1"/>
  <c r="G3214" i="1"/>
  <c r="G3213" i="1"/>
  <c r="G3212" i="1"/>
  <c r="G3211" i="1"/>
  <c r="G3210" i="1"/>
  <c r="G3209" i="1"/>
  <c r="G3208" i="1"/>
  <c r="G3207" i="1"/>
  <c r="G3206" i="1"/>
  <c r="G3205" i="1"/>
  <c r="G3204" i="1"/>
  <c r="G3203" i="1"/>
  <c r="G3202" i="1"/>
  <c r="G3201" i="1"/>
  <c r="G3200" i="1"/>
  <c r="G3199" i="1"/>
  <c r="G3198" i="1"/>
  <c r="G3197" i="1"/>
  <c r="G3196" i="1"/>
  <c r="G3195" i="1"/>
  <c r="G3194" i="1"/>
  <c r="G3193" i="1"/>
  <c r="G3192" i="1"/>
  <c r="G3191" i="1"/>
  <c r="G3190" i="1"/>
  <c r="G3189" i="1"/>
  <c r="G3188" i="1"/>
  <c r="G3187" i="1"/>
  <c r="G3186" i="1"/>
  <c r="G3185" i="1"/>
  <c r="G3184" i="1"/>
  <c r="G3183" i="1"/>
  <c r="G3182" i="1"/>
  <c r="G3181" i="1"/>
  <c r="G3180" i="1"/>
  <c r="G3179" i="1"/>
  <c r="G3178" i="1"/>
  <c r="G3177" i="1"/>
  <c r="G3176" i="1"/>
  <c r="G3175" i="1"/>
  <c r="G3174" i="1"/>
  <c r="G3173" i="1"/>
  <c r="G3172" i="1"/>
  <c r="G3171" i="1"/>
  <c r="G3170" i="1"/>
  <c r="G3169" i="1"/>
  <c r="G3168" i="1"/>
  <c r="G3167" i="1"/>
  <c r="G3166" i="1"/>
  <c r="G3165" i="1"/>
  <c r="G3164" i="1"/>
  <c r="G3163" i="1"/>
  <c r="G3162" i="1"/>
  <c r="G3161" i="1"/>
  <c r="G3160" i="1"/>
  <c r="G3159" i="1"/>
  <c r="G3158" i="1"/>
  <c r="G3157" i="1"/>
  <c r="G3156" i="1"/>
  <c r="G3155" i="1"/>
  <c r="G3154" i="1"/>
  <c r="G3153" i="1"/>
  <c r="G3152" i="1"/>
  <c r="G3151" i="1"/>
  <c r="G3150" i="1"/>
  <c r="G3149" i="1"/>
  <c r="G3148" i="1"/>
  <c r="G3147" i="1"/>
  <c r="G3146" i="1"/>
  <c r="G3145" i="1"/>
  <c r="G3144" i="1"/>
  <c r="G3143" i="1"/>
  <c r="G3142" i="1"/>
  <c r="G3141" i="1"/>
  <c r="G3140" i="1"/>
  <c r="G3139" i="1"/>
  <c r="G3138" i="1"/>
  <c r="G3137" i="1"/>
  <c r="G3136" i="1"/>
  <c r="G3135" i="1"/>
  <c r="G3134" i="1"/>
  <c r="G3133" i="1"/>
  <c r="G3132" i="1"/>
  <c r="G3131" i="1"/>
  <c r="G3130" i="1"/>
  <c r="G3129" i="1"/>
  <c r="G3128" i="1"/>
  <c r="G3127" i="1"/>
  <c r="G3126" i="1"/>
  <c r="G3125" i="1"/>
  <c r="G3124" i="1"/>
  <c r="G3123" i="1"/>
  <c r="G3122" i="1"/>
  <c r="G3121" i="1"/>
  <c r="G3120" i="1"/>
  <c r="G3119" i="1"/>
  <c r="G3118" i="1"/>
  <c r="G3117" i="1"/>
  <c r="G3116" i="1"/>
  <c r="G3115" i="1"/>
  <c r="G3114" i="1"/>
  <c r="G3113" i="1"/>
  <c r="G3112" i="1"/>
  <c r="G3111" i="1"/>
  <c r="G3110" i="1"/>
  <c r="G3109" i="1"/>
  <c r="G3108" i="1"/>
  <c r="G3107" i="1"/>
  <c r="G3106" i="1"/>
  <c r="G3105" i="1"/>
  <c r="G3104" i="1"/>
  <c r="G3103" i="1"/>
  <c r="G3102" i="1"/>
  <c r="G3101" i="1"/>
  <c r="G3100" i="1"/>
  <c r="G3099" i="1"/>
  <c r="G3098" i="1"/>
  <c r="G3097" i="1"/>
  <c r="G3096" i="1"/>
  <c r="G3095" i="1"/>
  <c r="G3094" i="1"/>
  <c r="G3093" i="1"/>
  <c r="G3092" i="1"/>
  <c r="G3091" i="1"/>
  <c r="G3090" i="1"/>
  <c r="G3089" i="1"/>
  <c r="G3088" i="1"/>
  <c r="G3087" i="1"/>
  <c r="G3086" i="1"/>
  <c r="G3085" i="1"/>
  <c r="G3084" i="1"/>
  <c r="G3083" i="1"/>
  <c r="G3082" i="1"/>
  <c r="G3081" i="1"/>
  <c r="G3080" i="1"/>
  <c r="G3079" i="1"/>
  <c r="G3078" i="1"/>
  <c r="G3077" i="1"/>
  <c r="G3076" i="1"/>
  <c r="G3075" i="1"/>
  <c r="G3074" i="1"/>
  <c r="G3073" i="1"/>
  <c r="G3072" i="1"/>
  <c r="G3071" i="1"/>
  <c r="G3070" i="1"/>
  <c r="G3069" i="1"/>
  <c r="G3068" i="1"/>
  <c r="G3067" i="1"/>
  <c r="G3066" i="1"/>
  <c r="G3065" i="1"/>
  <c r="G3064" i="1"/>
  <c r="G3063" i="1"/>
  <c r="G3062" i="1"/>
  <c r="G3061" i="1"/>
  <c r="G3060" i="1"/>
  <c r="G3059" i="1"/>
  <c r="G3058" i="1"/>
  <c r="G3057" i="1"/>
  <c r="G3056" i="1"/>
  <c r="G3055" i="1"/>
  <c r="G3054" i="1"/>
  <c r="G3053" i="1"/>
  <c r="G3052" i="1"/>
  <c r="G3051" i="1"/>
  <c r="G3050" i="1"/>
  <c r="G3049" i="1"/>
  <c r="G3048" i="1"/>
  <c r="G3047" i="1"/>
  <c r="G3046" i="1"/>
  <c r="G3045" i="1"/>
  <c r="G3044" i="1"/>
  <c r="G3043" i="1"/>
  <c r="G3042" i="1"/>
  <c r="G3041" i="1"/>
  <c r="G3040" i="1"/>
  <c r="G3039" i="1"/>
  <c r="G3038" i="1"/>
  <c r="G3037" i="1"/>
  <c r="G3036" i="1"/>
  <c r="G3035" i="1"/>
  <c r="G3034" i="1"/>
  <c r="G3033" i="1"/>
  <c r="G3032" i="1"/>
  <c r="G3031" i="1"/>
  <c r="G3030" i="1"/>
  <c r="G3029" i="1"/>
  <c r="G3028" i="1"/>
  <c r="G3027" i="1"/>
  <c r="G3026" i="1"/>
  <c r="G3025" i="1"/>
  <c r="G3024" i="1"/>
  <c r="G3023" i="1"/>
  <c r="G3022" i="1"/>
  <c r="G3021" i="1"/>
  <c r="G3020" i="1"/>
  <c r="G3019" i="1"/>
  <c r="G3018" i="1"/>
  <c r="G3017" i="1"/>
  <c r="G3016" i="1"/>
  <c r="G3015" i="1"/>
  <c r="G3014" i="1"/>
  <c r="G3013" i="1"/>
  <c r="G3012" i="1"/>
  <c r="G3011" i="1"/>
  <c r="G3010" i="1"/>
  <c r="G3009" i="1"/>
  <c r="G3008" i="1"/>
  <c r="G3007" i="1"/>
  <c r="G3006" i="1"/>
  <c r="G3005" i="1"/>
  <c r="G3004" i="1"/>
  <c r="G3003" i="1"/>
  <c r="G3002" i="1"/>
  <c r="G3001" i="1"/>
  <c r="G3000" i="1"/>
  <c r="G2999" i="1"/>
  <c r="G2998" i="1"/>
  <c r="G2997" i="1"/>
  <c r="G2996" i="1"/>
  <c r="G2995" i="1"/>
  <c r="G2994" i="1"/>
  <c r="G2993" i="1"/>
  <c r="G2992" i="1"/>
  <c r="G2991" i="1"/>
  <c r="G2990" i="1"/>
  <c r="G2989" i="1"/>
  <c r="G2988" i="1"/>
  <c r="G2987" i="1"/>
  <c r="G2986" i="1"/>
  <c r="G2985" i="1"/>
  <c r="G2984" i="1"/>
  <c r="G2983" i="1"/>
  <c r="G2982" i="1"/>
  <c r="G2981" i="1"/>
  <c r="G2980" i="1"/>
  <c r="G2979" i="1"/>
  <c r="G2978" i="1"/>
  <c r="G2977" i="1"/>
  <c r="G2976" i="1"/>
  <c r="G2975" i="1"/>
  <c r="G2974" i="1"/>
  <c r="G2973" i="1"/>
  <c r="G2972" i="1"/>
  <c r="G2971" i="1"/>
  <c r="G2970" i="1"/>
  <c r="G2969" i="1"/>
  <c r="G2968" i="1"/>
  <c r="G2967" i="1"/>
  <c r="G2966" i="1"/>
  <c r="G2965" i="1"/>
  <c r="G2964" i="1"/>
  <c r="G2963" i="1"/>
  <c r="G2962" i="1"/>
  <c r="G2961" i="1"/>
  <c r="G2960" i="1"/>
  <c r="G2959" i="1"/>
  <c r="G2958" i="1"/>
  <c r="G2957" i="1"/>
  <c r="G2956" i="1"/>
  <c r="G2955" i="1"/>
  <c r="G2954" i="1"/>
  <c r="G2953" i="1"/>
  <c r="G2952" i="1"/>
  <c r="G2951" i="1"/>
  <c r="G2950" i="1"/>
  <c r="G2949" i="1"/>
  <c r="G2948" i="1"/>
  <c r="G2947" i="1"/>
  <c r="G2946" i="1"/>
  <c r="G2945" i="1"/>
  <c r="G2944" i="1"/>
  <c r="G2943" i="1"/>
  <c r="G2942" i="1"/>
  <c r="G2941" i="1"/>
  <c r="G2940" i="1"/>
  <c r="G2939" i="1"/>
  <c r="G2938" i="1"/>
  <c r="G2937" i="1"/>
  <c r="G2936" i="1"/>
  <c r="G2935" i="1"/>
  <c r="G2934" i="1"/>
  <c r="G2933" i="1"/>
  <c r="G2932" i="1"/>
  <c r="G2931" i="1"/>
  <c r="G2930" i="1"/>
  <c r="G2929" i="1"/>
  <c r="G2928" i="1"/>
  <c r="G2927" i="1"/>
  <c r="G2926" i="1"/>
  <c r="G2925" i="1"/>
  <c r="G2924" i="1"/>
  <c r="G2923" i="1"/>
  <c r="G2922" i="1"/>
  <c r="G2921" i="1"/>
  <c r="G2920" i="1"/>
  <c r="G2919" i="1"/>
  <c r="G2918" i="1"/>
  <c r="G2917" i="1"/>
  <c r="G2916" i="1"/>
  <c r="G2915" i="1"/>
  <c r="G2914" i="1"/>
  <c r="G2913" i="1"/>
  <c r="G2912" i="1"/>
  <c r="G2911" i="1"/>
  <c r="G2910" i="1"/>
  <c r="G2909" i="1"/>
  <c r="G2908" i="1"/>
  <c r="G2907" i="1"/>
  <c r="G2906" i="1"/>
  <c r="G2905" i="1"/>
  <c r="G2904" i="1"/>
  <c r="G2903" i="1"/>
  <c r="G2902" i="1"/>
  <c r="G2901" i="1"/>
  <c r="G2900" i="1"/>
  <c r="G2899" i="1"/>
  <c r="G2898" i="1"/>
  <c r="G2897" i="1"/>
  <c r="G2896" i="1"/>
  <c r="G2895" i="1"/>
  <c r="G2894" i="1"/>
  <c r="G2893" i="1"/>
  <c r="G2892" i="1"/>
  <c r="G2891" i="1"/>
  <c r="G2890" i="1"/>
  <c r="G2889" i="1"/>
  <c r="G2888" i="1"/>
  <c r="G2887" i="1"/>
  <c r="G2886" i="1"/>
  <c r="G2885" i="1"/>
  <c r="G2884" i="1"/>
  <c r="G2883" i="1"/>
  <c r="G2882" i="1"/>
  <c r="G2881" i="1"/>
  <c r="G2880" i="1"/>
  <c r="G2879" i="1"/>
  <c r="G2878" i="1"/>
  <c r="G2877" i="1"/>
  <c r="G2876" i="1"/>
  <c r="G2875" i="1"/>
  <c r="G2874" i="1"/>
  <c r="G2873" i="1"/>
  <c r="G2872" i="1"/>
  <c r="G2871" i="1"/>
  <c r="G2870" i="1"/>
  <c r="G2869" i="1"/>
  <c r="G2868" i="1"/>
  <c r="G2867" i="1"/>
  <c r="G2866" i="1"/>
  <c r="G2865" i="1"/>
  <c r="G2864" i="1"/>
  <c r="G2863" i="1"/>
  <c r="G2862" i="1"/>
  <c r="G2861" i="1"/>
  <c r="G2860" i="1"/>
  <c r="G2859" i="1"/>
  <c r="G2858" i="1"/>
  <c r="G2857" i="1"/>
  <c r="G2856" i="1"/>
  <c r="G2855" i="1"/>
  <c r="G2854" i="1"/>
  <c r="G2853" i="1"/>
  <c r="G2852" i="1"/>
  <c r="G2851" i="1"/>
  <c r="G2850" i="1"/>
  <c r="G2849" i="1"/>
  <c r="G2848" i="1"/>
  <c r="G2847" i="1"/>
  <c r="G2846" i="1"/>
  <c r="G2845" i="1"/>
  <c r="G2844" i="1"/>
  <c r="G2843" i="1"/>
  <c r="G2842" i="1"/>
  <c r="G2841" i="1"/>
  <c r="G2840" i="1"/>
  <c r="G2839" i="1"/>
  <c r="G2838" i="1"/>
  <c r="G2837" i="1"/>
  <c r="G2836" i="1"/>
  <c r="G2835" i="1"/>
  <c r="G2834" i="1"/>
  <c r="G2833" i="1"/>
  <c r="G2832" i="1"/>
  <c r="G2831" i="1"/>
  <c r="G2830" i="1"/>
  <c r="G2829" i="1"/>
  <c r="G2828" i="1"/>
  <c r="G2827" i="1"/>
  <c r="G2826" i="1"/>
  <c r="G2825" i="1"/>
  <c r="G2824" i="1"/>
  <c r="G2823" i="1"/>
  <c r="G2822" i="1"/>
  <c r="G2821" i="1"/>
  <c r="G2820" i="1"/>
  <c r="G2819" i="1"/>
  <c r="G2818" i="1"/>
  <c r="G2817" i="1"/>
  <c r="G2816" i="1"/>
  <c r="G2815" i="1"/>
  <c r="G2814" i="1"/>
  <c r="G2813" i="1"/>
  <c r="G2812" i="1"/>
  <c r="G2811" i="1"/>
  <c r="G2810" i="1"/>
  <c r="G2809" i="1"/>
  <c r="G2808" i="1"/>
  <c r="G2807" i="1"/>
  <c r="G2806" i="1"/>
  <c r="G2805" i="1"/>
  <c r="G2804" i="1"/>
  <c r="G2803" i="1"/>
  <c r="G2802" i="1"/>
  <c r="G2801" i="1"/>
  <c r="G2800" i="1"/>
  <c r="G2799" i="1"/>
  <c r="G2798" i="1"/>
  <c r="G2797" i="1"/>
  <c r="G2796" i="1"/>
  <c r="G2795" i="1"/>
  <c r="G2794" i="1"/>
  <c r="G2793" i="1"/>
  <c r="G2792" i="1"/>
  <c r="G2791" i="1"/>
  <c r="G2790" i="1"/>
  <c r="G2789" i="1"/>
  <c r="G2788" i="1"/>
  <c r="G2787" i="1"/>
  <c r="G2786" i="1"/>
  <c r="G2785" i="1"/>
  <c r="G2784" i="1"/>
  <c r="G2783" i="1"/>
  <c r="G2782" i="1"/>
  <c r="G2781" i="1"/>
  <c r="G2780" i="1"/>
  <c r="G2779" i="1"/>
  <c r="G2778" i="1"/>
  <c r="G2777" i="1"/>
  <c r="G2776" i="1"/>
  <c r="G2775" i="1"/>
  <c r="G2774" i="1"/>
  <c r="G2773" i="1"/>
  <c r="G2772" i="1"/>
  <c r="G2771" i="1"/>
  <c r="G2770" i="1"/>
  <c r="G2769" i="1"/>
  <c r="G2768" i="1"/>
  <c r="G2767" i="1"/>
  <c r="G2766" i="1"/>
  <c r="G2765" i="1"/>
  <c r="G2764" i="1"/>
  <c r="G2763" i="1"/>
  <c r="G2762" i="1"/>
  <c r="G2761" i="1"/>
  <c r="G2760" i="1"/>
  <c r="G2759" i="1"/>
  <c r="G2758" i="1"/>
  <c r="G2757" i="1"/>
  <c r="G2756" i="1"/>
  <c r="G2755" i="1"/>
  <c r="G2754" i="1"/>
  <c r="G2753" i="1"/>
  <c r="G2752" i="1"/>
  <c r="G2751" i="1"/>
  <c r="G2750" i="1"/>
  <c r="G2749" i="1"/>
  <c r="G2748" i="1"/>
  <c r="G2747" i="1"/>
  <c r="G2746" i="1"/>
  <c r="G2745" i="1"/>
  <c r="G2744" i="1"/>
  <c r="G2743" i="1"/>
  <c r="G2742" i="1"/>
  <c r="G2741" i="1"/>
  <c r="G2740" i="1"/>
  <c r="G2739" i="1"/>
  <c r="G2738" i="1"/>
  <c r="G2737" i="1"/>
  <c r="G2736" i="1"/>
  <c r="G2735" i="1"/>
  <c r="G2734" i="1"/>
  <c r="G2733" i="1"/>
  <c r="G2732" i="1"/>
  <c r="G2731" i="1"/>
  <c r="G2730" i="1"/>
  <c r="G2729" i="1"/>
  <c r="G2728" i="1"/>
  <c r="G2727" i="1"/>
  <c r="G2726" i="1"/>
  <c r="G2725" i="1"/>
  <c r="G2724" i="1"/>
  <c r="G2723" i="1"/>
  <c r="G2722" i="1"/>
  <c r="G2721" i="1"/>
  <c r="G2720" i="1"/>
  <c r="G2719" i="1"/>
  <c r="G2718" i="1"/>
  <c r="G2717" i="1"/>
  <c r="G2716" i="1"/>
  <c r="G2715" i="1"/>
  <c r="G2714" i="1"/>
  <c r="G2713" i="1"/>
  <c r="G2712" i="1"/>
  <c r="G2711" i="1"/>
  <c r="G2710" i="1"/>
  <c r="G2709" i="1"/>
  <c r="G2708" i="1"/>
  <c r="G2707" i="1"/>
  <c r="G2706" i="1"/>
  <c r="G2705" i="1"/>
  <c r="G2704" i="1"/>
  <c r="G2703" i="1"/>
  <c r="G2702" i="1"/>
  <c r="G2701" i="1"/>
  <c r="G2700" i="1"/>
  <c r="G2699" i="1"/>
  <c r="G2698" i="1"/>
  <c r="G2697" i="1"/>
  <c r="G2696" i="1"/>
  <c r="G2695" i="1"/>
  <c r="G2694" i="1"/>
  <c r="G2693" i="1"/>
  <c r="G2692" i="1"/>
  <c r="G2691" i="1"/>
  <c r="G2690" i="1"/>
  <c r="G2689" i="1"/>
  <c r="G2688" i="1"/>
  <c r="G2687" i="1"/>
  <c r="G2686" i="1"/>
  <c r="G2685" i="1"/>
  <c r="G2684" i="1"/>
  <c r="G2683" i="1"/>
  <c r="G2682" i="1"/>
  <c r="G2681" i="1"/>
  <c r="G2680" i="1"/>
  <c r="G2679" i="1"/>
  <c r="G2678" i="1"/>
  <c r="G2677" i="1"/>
  <c r="G2676" i="1"/>
  <c r="G2675" i="1"/>
  <c r="G2674" i="1"/>
  <c r="G2673" i="1"/>
  <c r="G2672" i="1"/>
  <c r="G2671" i="1"/>
  <c r="G2670" i="1"/>
  <c r="G2669" i="1"/>
  <c r="G2668" i="1"/>
  <c r="G2667" i="1"/>
  <c r="G2666" i="1"/>
  <c r="G2665" i="1"/>
  <c r="G2664" i="1"/>
  <c r="G2663" i="1"/>
  <c r="G2662" i="1"/>
  <c r="G2661" i="1"/>
  <c r="G2660" i="1"/>
  <c r="G2659" i="1"/>
  <c r="G2658" i="1"/>
  <c r="G2657" i="1"/>
  <c r="G2656" i="1"/>
  <c r="G2655" i="1"/>
  <c r="G2654" i="1"/>
  <c r="G2653" i="1"/>
  <c r="G2652" i="1"/>
  <c r="G2651" i="1"/>
  <c r="G2650" i="1"/>
  <c r="G2649" i="1"/>
  <c r="G2648" i="1"/>
  <c r="G2647" i="1"/>
  <c r="G2646" i="1"/>
  <c r="G2645" i="1"/>
  <c r="G2644" i="1"/>
  <c r="G2643" i="1"/>
  <c r="G2642" i="1"/>
  <c r="G2641" i="1"/>
  <c r="G2640" i="1"/>
  <c r="G2639" i="1"/>
  <c r="G2638" i="1"/>
  <c r="G2637" i="1"/>
  <c r="G2636" i="1"/>
  <c r="G2635" i="1"/>
  <c r="G2634" i="1"/>
  <c r="G2633" i="1"/>
  <c r="G2632" i="1"/>
  <c r="G2631" i="1"/>
  <c r="G2630" i="1"/>
  <c r="G2629" i="1"/>
  <c r="G2628" i="1"/>
  <c r="G2627" i="1"/>
  <c r="G2626" i="1"/>
  <c r="G2625" i="1"/>
  <c r="G2624" i="1"/>
  <c r="G2623" i="1"/>
  <c r="G2622" i="1"/>
  <c r="G2621" i="1"/>
  <c r="G2620" i="1"/>
  <c r="G2619" i="1"/>
  <c r="G2618" i="1"/>
  <c r="G2617" i="1"/>
  <c r="G2616" i="1"/>
  <c r="G2615" i="1"/>
  <c r="G2614" i="1"/>
  <c r="G2613" i="1"/>
  <c r="G2612" i="1"/>
  <c r="G2611" i="1"/>
  <c r="G2610" i="1"/>
  <c r="G2609" i="1"/>
  <c r="G2608" i="1"/>
  <c r="G2607" i="1"/>
  <c r="G2606" i="1"/>
  <c r="G2605" i="1"/>
  <c r="G2604" i="1"/>
  <c r="G2603" i="1"/>
  <c r="G2602" i="1"/>
  <c r="G2601" i="1"/>
  <c r="G2600" i="1"/>
  <c r="G2599" i="1"/>
  <c r="G2598" i="1"/>
  <c r="G2597" i="1"/>
  <c r="G2596" i="1"/>
  <c r="G2595" i="1"/>
  <c r="G2594" i="1"/>
  <c r="G2593" i="1"/>
  <c r="G2592" i="1"/>
  <c r="G2591" i="1"/>
  <c r="G2590" i="1"/>
  <c r="G2589" i="1"/>
  <c r="G2588" i="1"/>
  <c r="G2587" i="1"/>
  <c r="G2586" i="1"/>
  <c r="G2585" i="1"/>
  <c r="G2584" i="1"/>
  <c r="G2583" i="1"/>
  <c r="G2582" i="1"/>
  <c r="G2581" i="1"/>
  <c r="G2580" i="1"/>
  <c r="G2579" i="1"/>
  <c r="G2578" i="1"/>
  <c r="G2577" i="1"/>
  <c r="G2576" i="1"/>
  <c r="G2575" i="1"/>
  <c r="G2574" i="1"/>
  <c r="G2573" i="1"/>
  <c r="G2572" i="1"/>
  <c r="G2571" i="1"/>
  <c r="G2570" i="1"/>
  <c r="G2569" i="1"/>
  <c r="G2568" i="1"/>
  <c r="G2567" i="1"/>
  <c r="G2566" i="1"/>
  <c r="G2565" i="1"/>
  <c r="G2564" i="1"/>
  <c r="G2563" i="1"/>
  <c r="G2562" i="1"/>
  <c r="G2561" i="1"/>
  <c r="G2560" i="1"/>
  <c r="G2559" i="1"/>
  <c r="G2558" i="1"/>
  <c r="G2557" i="1"/>
  <c r="G2556" i="1"/>
  <c r="G2555" i="1"/>
  <c r="G2554" i="1"/>
  <c r="G2553" i="1"/>
  <c r="G2552" i="1"/>
  <c r="G2551" i="1"/>
  <c r="G2550" i="1"/>
  <c r="G2549" i="1"/>
  <c r="G2548" i="1"/>
  <c r="G2547" i="1"/>
  <c r="G2546" i="1"/>
  <c r="G2545" i="1"/>
  <c r="G2544" i="1"/>
  <c r="G2543" i="1"/>
  <c r="G2542" i="1"/>
  <c r="G2541" i="1"/>
  <c r="G2540" i="1"/>
  <c r="G2539" i="1"/>
  <c r="G2538" i="1"/>
  <c r="G2537" i="1"/>
  <c r="G2536" i="1"/>
  <c r="G2535" i="1"/>
  <c r="G2534" i="1"/>
  <c r="G2533" i="1"/>
  <c r="G2532" i="1"/>
  <c r="G2531" i="1"/>
  <c r="G2530" i="1"/>
  <c r="G2529" i="1"/>
  <c r="G2528" i="1"/>
  <c r="G2527" i="1"/>
  <c r="G2526" i="1"/>
  <c r="G2525" i="1"/>
  <c r="G2524" i="1"/>
  <c r="G2523" i="1"/>
  <c r="G2522" i="1"/>
  <c r="G2521" i="1"/>
  <c r="G2520" i="1"/>
  <c r="G2519" i="1"/>
  <c r="G2518" i="1"/>
  <c r="G2517" i="1"/>
  <c r="G2516" i="1"/>
  <c r="G2515" i="1"/>
  <c r="G2514" i="1"/>
  <c r="G2513" i="1"/>
  <c r="G2512" i="1"/>
  <c r="G2511" i="1"/>
  <c r="G2510" i="1"/>
  <c r="G2509" i="1"/>
  <c r="G2508" i="1"/>
  <c r="G2507" i="1"/>
  <c r="G2506" i="1"/>
  <c r="G2505" i="1"/>
  <c r="G2504" i="1"/>
  <c r="G2503" i="1"/>
  <c r="G2502" i="1"/>
  <c r="G2501" i="1"/>
  <c r="G2500" i="1"/>
  <c r="G2499" i="1"/>
  <c r="G2498" i="1"/>
  <c r="G2497" i="1"/>
  <c r="G2496" i="1"/>
  <c r="G2495" i="1"/>
  <c r="G2494" i="1"/>
  <c r="G2493" i="1"/>
  <c r="G2492" i="1"/>
  <c r="G2491" i="1"/>
  <c r="G2490" i="1"/>
  <c r="G2489" i="1"/>
  <c r="G2488" i="1"/>
  <c r="G2487" i="1"/>
  <c r="G2486" i="1"/>
  <c r="G2485" i="1"/>
  <c r="G2484" i="1"/>
  <c r="G2483" i="1"/>
  <c r="G2482" i="1"/>
  <c r="G2481" i="1"/>
  <c r="G2480" i="1"/>
  <c r="G2479" i="1"/>
  <c r="G2478" i="1"/>
  <c r="G2477" i="1"/>
  <c r="G2476" i="1"/>
  <c r="G2475" i="1"/>
  <c r="G2474" i="1"/>
  <c r="G2473" i="1"/>
  <c r="G2472" i="1"/>
  <c r="G2471" i="1"/>
  <c r="G2470" i="1"/>
  <c r="G2469" i="1"/>
  <c r="G2468" i="1"/>
  <c r="G2467" i="1"/>
  <c r="G2466" i="1"/>
  <c r="G2465" i="1"/>
  <c r="G2464" i="1"/>
  <c r="G2463" i="1"/>
  <c r="G2462" i="1"/>
  <c r="G2461" i="1"/>
  <c r="G2460" i="1"/>
  <c r="G2459" i="1"/>
  <c r="G2458" i="1"/>
  <c r="G2457" i="1"/>
  <c r="G2456" i="1"/>
  <c r="G2455" i="1"/>
  <c r="G2454" i="1"/>
  <c r="G2453" i="1"/>
  <c r="G2452" i="1"/>
  <c r="G2451" i="1"/>
  <c r="G2450" i="1"/>
  <c r="G2449" i="1"/>
  <c r="G2448" i="1"/>
  <c r="G2447" i="1"/>
  <c r="G2446" i="1"/>
  <c r="G2445" i="1"/>
  <c r="G2444" i="1"/>
  <c r="G2443" i="1"/>
  <c r="G2442" i="1"/>
  <c r="G2441" i="1"/>
  <c r="G2440" i="1"/>
  <c r="G2439" i="1"/>
  <c r="G2438" i="1"/>
  <c r="G2437" i="1"/>
  <c r="G2436" i="1"/>
  <c r="G2435" i="1"/>
  <c r="G2434" i="1"/>
  <c r="G2433" i="1"/>
  <c r="G2432" i="1"/>
  <c r="G2431" i="1"/>
  <c r="G2430" i="1"/>
  <c r="G2429" i="1"/>
  <c r="G2428" i="1"/>
  <c r="G2427" i="1"/>
  <c r="G2426" i="1"/>
  <c r="G2425" i="1"/>
  <c r="G2424" i="1"/>
  <c r="G2423" i="1"/>
  <c r="G2422" i="1"/>
  <c r="G2421" i="1"/>
  <c r="G2420" i="1"/>
  <c r="G2419" i="1"/>
  <c r="G2418" i="1"/>
  <c r="G2417" i="1"/>
  <c r="G2416" i="1"/>
  <c r="G2415" i="1"/>
  <c r="G2414" i="1"/>
  <c r="G2413" i="1"/>
  <c r="G2412" i="1"/>
  <c r="G2411" i="1"/>
  <c r="G2410" i="1"/>
  <c r="G2409" i="1"/>
  <c r="G2408" i="1"/>
  <c r="G2407" i="1"/>
  <c r="G2406" i="1"/>
  <c r="G2405" i="1"/>
  <c r="G2404" i="1"/>
  <c r="G2403" i="1"/>
  <c r="G2402" i="1"/>
  <c r="G2401" i="1"/>
  <c r="G2400" i="1"/>
  <c r="G2399" i="1"/>
  <c r="G2398" i="1"/>
  <c r="G2397" i="1"/>
  <c r="G2396" i="1"/>
  <c r="G2395" i="1"/>
  <c r="G2394" i="1"/>
  <c r="G2393" i="1"/>
  <c r="G2392" i="1"/>
  <c r="G2391" i="1"/>
  <c r="G2390" i="1"/>
  <c r="G2389" i="1"/>
  <c r="G2388" i="1"/>
  <c r="G2387" i="1"/>
  <c r="G2386" i="1"/>
  <c r="G2385" i="1"/>
  <c r="G2384" i="1"/>
  <c r="G2383" i="1"/>
  <c r="G2382" i="1"/>
  <c r="G2381" i="1"/>
  <c r="G2380" i="1"/>
  <c r="G2379" i="1"/>
  <c r="G2378" i="1"/>
  <c r="G2377" i="1"/>
  <c r="G2376" i="1"/>
  <c r="G2375" i="1"/>
  <c r="G2374" i="1"/>
  <c r="G2373" i="1"/>
  <c r="G2372" i="1"/>
  <c r="G2371" i="1"/>
  <c r="G2370" i="1"/>
  <c r="G2369" i="1"/>
  <c r="G2368" i="1"/>
  <c r="G2367" i="1"/>
  <c r="G2366" i="1"/>
  <c r="G2365" i="1"/>
  <c r="G2364" i="1"/>
  <c r="G2363" i="1"/>
  <c r="G2362" i="1"/>
  <c r="G2361" i="1"/>
  <c r="G2360" i="1"/>
  <c r="G2359" i="1"/>
  <c r="G2358" i="1"/>
  <c r="G2357" i="1"/>
  <c r="G2356" i="1"/>
  <c r="G2355" i="1"/>
  <c r="G2354" i="1"/>
  <c r="G2353" i="1"/>
  <c r="G2352" i="1"/>
  <c r="G2351" i="1"/>
  <c r="G2350" i="1"/>
  <c r="G2349" i="1"/>
  <c r="G2348" i="1"/>
  <c r="G2347" i="1"/>
  <c r="G2346" i="1"/>
  <c r="G2345" i="1"/>
  <c r="G2344" i="1"/>
  <c r="G2343" i="1"/>
  <c r="G2342" i="1"/>
  <c r="G2341" i="1"/>
  <c r="G2340" i="1"/>
  <c r="G2339" i="1"/>
  <c r="G2338" i="1"/>
  <c r="G2337" i="1"/>
  <c r="G2336" i="1"/>
  <c r="G2335" i="1"/>
  <c r="G2334" i="1"/>
  <c r="G2333" i="1"/>
  <c r="G2332" i="1"/>
  <c r="G2331" i="1"/>
  <c r="G2330" i="1"/>
  <c r="G2329" i="1"/>
  <c r="G2328" i="1"/>
  <c r="G2327" i="1"/>
  <c r="G2326" i="1"/>
  <c r="G2325" i="1"/>
  <c r="G2324" i="1"/>
  <c r="G2323" i="1"/>
  <c r="G2322" i="1"/>
  <c r="G2321" i="1"/>
  <c r="G2320" i="1"/>
  <c r="G2319" i="1"/>
  <c r="G2318" i="1"/>
  <c r="G2317" i="1"/>
  <c r="G2316" i="1"/>
  <c r="G2315" i="1"/>
  <c r="G2314" i="1"/>
  <c r="G2313" i="1"/>
  <c r="G2312" i="1"/>
  <c r="G2311" i="1"/>
  <c r="G2310" i="1"/>
  <c r="G2309" i="1"/>
  <c r="G2308" i="1"/>
  <c r="G2307" i="1"/>
  <c r="G2306" i="1"/>
  <c r="G2305" i="1"/>
  <c r="G2304" i="1"/>
  <c r="G2303" i="1"/>
  <c r="G2302" i="1"/>
  <c r="G2301" i="1"/>
  <c r="G2300" i="1"/>
  <c r="G2299" i="1"/>
  <c r="G2298" i="1"/>
  <c r="G2297" i="1"/>
  <c r="G2296" i="1"/>
  <c r="G2295" i="1"/>
  <c r="G2294" i="1"/>
  <c r="G2293" i="1"/>
  <c r="G2292" i="1"/>
  <c r="G2291" i="1"/>
  <c r="G2290" i="1"/>
  <c r="G2289" i="1"/>
  <c r="G2288" i="1"/>
  <c r="G2287" i="1"/>
  <c r="G2286" i="1"/>
  <c r="G2285" i="1"/>
  <c r="G2284" i="1"/>
  <c r="G2283" i="1"/>
  <c r="G2282" i="1"/>
  <c r="G2281" i="1"/>
  <c r="G2280" i="1"/>
  <c r="G2279" i="1"/>
  <c r="G2278" i="1"/>
  <c r="G2277" i="1"/>
  <c r="G2276" i="1"/>
  <c r="G2275" i="1"/>
  <c r="G2274" i="1"/>
  <c r="G2273" i="1"/>
  <c r="G2272" i="1"/>
  <c r="G2271" i="1"/>
  <c r="G2270" i="1"/>
  <c r="G2269" i="1"/>
  <c r="G2268" i="1"/>
  <c r="G2267" i="1"/>
  <c r="G2266" i="1"/>
  <c r="G2265" i="1"/>
  <c r="G2264" i="1"/>
  <c r="G2263" i="1"/>
  <c r="G2262" i="1"/>
  <c r="G2261" i="1"/>
  <c r="G2260" i="1"/>
  <c r="G2259" i="1"/>
  <c r="G2258" i="1"/>
  <c r="G2257" i="1"/>
  <c r="G2256" i="1"/>
  <c r="G2255" i="1"/>
  <c r="G2254" i="1"/>
  <c r="G2253" i="1"/>
  <c r="G2252" i="1"/>
  <c r="G2251" i="1"/>
  <c r="G2250" i="1"/>
  <c r="G2249" i="1"/>
  <c r="G2248" i="1"/>
  <c r="G2247" i="1"/>
  <c r="G2246" i="1"/>
  <c r="G2245" i="1"/>
  <c r="G2244" i="1"/>
  <c r="G2243" i="1"/>
  <c r="G2242" i="1"/>
  <c r="G2241" i="1"/>
  <c r="G2240" i="1"/>
  <c r="G2239" i="1"/>
  <c r="G2238" i="1"/>
  <c r="G2237" i="1"/>
  <c r="G2236" i="1"/>
  <c r="G2235" i="1"/>
  <c r="G2234" i="1"/>
  <c r="G2233" i="1"/>
  <c r="G2232" i="1"/>
  <c r="G2231" i="1"/>
  <c r="G2230" i="1"/>
  <c r="G2229" i="1"/>
  <c r="G2228" i="1"/>
  <c r="G2227" i="1"/>
  <c r="G2226" i="1"/>
  <c r="G2225" i="1"/>
  <c r="G2224" i="1"/>
  <c r="G2223" i="1"/>
  <c r="G2222" i="1"/>
  <c r="G2221" i="1"/>
  <c r="G2220" i="1"/>
  <c r="G2219" i="1"/>
  <c r="G2218" i="1"/>
  <c r="G2217" i="1"/>
  <c r="G2216" i="1"/>
  <c r="G2215" i="1"/>
  <c r="G2214" i="1"/>
  <c r="G2213" i="1"/>
  <c r="G2212" i="1"/>
  <c r="G2211" i="1"/>
  <c r="G2210" i="1"/>
  <c r="G2209" i="1"/>
  <c r="G2208" i="1"/>
  <c r="G2207" i="1"/>
  <c r="G2206" i="1"/>
  <c r="G2205" i="1"/>
  <c r="G2204" i="1"/>
  <c r="G2203" i="1"/>
  <c r="G2202" i="1"/>
  <c r="G2201" i="1"/>
  <c r="G2200" i="1"/>
  <c r="G2199" i="1"/>
  <c r="G2198" i="1"/>
  <c r="G2197" i="1"/>
  <c r="G2196" i="1"/>
  <c r="G2195" i="1"/>
  <c r="G2194" i="1"/>
  <c r="G2193" i="1"/>
  <c r="G2192" i="1"/>
  <c r="G2191" i="1"/>
  <c r="G2190" i="1"/>
  <c r="G2189" i="1"/>
  <c r="G2188" i="1"/>
  <c r="G2187" i="1"/>
  <c r="G2186" i="1"/>
  <c r="G2185" i="1"/>
  <c r="G2184" i="1"/>
  <c r="G2183" i="1"/>
  <c r="G2182" i="1"/>
  <c r="G2181" i="1"/>
  <c r="G2180" i="1"/>
  <c r="G2179" i="1"/>
  <c r="G2178" i="1"/>
  <c r="G2177" i="1"/>
  <c r="G2176" i="1"/>
  <c r="G2175" i="1"/>
  <c r="G2174" i="1"/>
  <c r="G2173" i="1"/>
  <c r="G2172" i="1"/>
  <c r="G2171" i="1"/>
  <c r="G2170" i="1"/>
  <c r="G2169" i="1"/>
  <c r="G2168" i="1"/>
  <c r="G2167" i="1"/>
  <c r="G2166" i="1"/>
  <c r="G2165" i="1"/>
  <c r="G2164" i="1"/>
  <c r="G2163" i="1"/>
  <c r="G2162" i="1"/>
  <c r="G2161" i="1"/>
  <c r="G2160" i="1"/>
  <c r="G2159" i="1"/>
  <c r="G2158" i="1"/>
  <c r="G2157" i="1"/>
  <c r="G2156" i="1"/>
  <c r="G2155" i="1"/>
  <c r="G2154" i="1"/>
  <c r="G2153" i="1"/>
  <c r="G2152" i="1"/>
  <c r="G2151" i="1"/>
  <c r="G2150" i="1"/>
  <c r="G2149" i="1"/>
  <c r="G2148" i="1"/>
  <c r="G2147" i="1"/>
  <c r="G2146" i="1"/>
  <c r="G2145" i="1"/>
  <c r="G2144" i="1"/>
  <c r="G2143" i="1"/>
  <c r="G2142" i="1"/>
  <c r="G2141" i="1"/>
  <c r="G2140" i="1"/>
  <c r="G2139" i="1"/>
  <c r="G2138" i="1"/>
  <c r="G2137" i="1"/>
  <c r="G2136" i="1"/>
  <c r="G2135" i="1"/>
  <c r="G2134" i="1"/>
  <c r="G2133" i="1"/>
  <c r="G2132" i="1"/>
  <c r="G2131" i="1"/>
  <c r="G2130" i="1"/>
  <c r="G2129" i="1"/>
  <c r="G2128" i="1"/>
  <c r="G2127" i="1"/>
  <c r="G2126" i="1"/>
  <c r="G2125" i="1"/>
  <c r="G2124" i="1"/>
  <c r="G2123" i="1"/>
  <c r="G2122" i="1"/>
  <c r="G2121" i="1"/>
  <c r="G2120" i="1"/>
  <c r="G2119" i="1"/>
  <c r="G2118" i="1"/>
  <c r="G2117" i="1"/>
  <c r="G2116" i="1"/>
  <c r="G2115" i="1"/>
  <c r="G2114" i="1"/>
  <c r="G2113" i="1"/>
  <c r="G2112" i="1"/>
  <c r="G2111" i="1"/>
  <c r="G2110" i="1"/>
  <c r="G2109" i="1"/>
  <c r="G2108" i="1"/>
  <c r="G2107" i="1"/>
  <c r="G2106" i="1"/>
  <c r="G2105" i="1"/>
  <c r="G2104" i="1"/>
  <c r="G2103" i="1"/>
  <c r="G2102" i="1"/>
  <c r="G2101" i="1"/>
  <c r="G2100" i="1"/>
  <c r="G2099" i="1"/>
  <c r="G2098" i="1"/>
  <c r="G2097" i="1"/>
  <c r="G2096" i="1"/>
  <c r="G2095" i="1"/>
  <c r="G2094" i="1"/>
  <c r="G2093" i="1"/>
  <c r="G2092" i="1"/>
  <c r="G2091" i="1"/>
  <c r="G2090" i="1"/>
  <c r="G2089" i="1"/>
  <c r="G2088" i="1"/>
  <c r="G2087" i="1"/>
  <c r="G2086" i="1"/>
  <c r="G2085" i="1"/>
  <c r="G2084" i="1"/>
  <c r="G2083" i="1"/>
  <c r="G2082" i="1"/>
  <c r="G2081" i="1"/>
  <c r="G2080" i="1"/>
  <c r="G2079" i="1"/>
  <c r="G2078" i="1"/>
  <c r="G2077" i="1"/>
  <c r="G2076" i="1"/>
  <c r="G2075" i="1"/>
  <c r="G2074" i="1"/>
  <c r="G2073" i="1"/>
  <c r="G2072" i="1"/>
  <c r="G2071" i="1"/>
  <c r="G2070" i="1"/>
  <c r="G2069" i="1"/>
  <c r="G2068" i="1"/>
  <c r="G2067" i="1"/>
  <c r="G2066" i="1"/>
  <c r="G2065" i="1"/>
  <c r="G2064" i="1"/>
  <c r="G2063" i="1"/>
  <c r="G2062" i="1"/>
  <c r="G2061" i="1"/>
  <c r="G2060" i="1"/>
  <c r="G2059" i="1"/>
  <c r="G2058" i="1"/>
  <c r="G2057" i="1"/>
  <c r="G2056" i="1"/>
  <c r="G2055" i="1"/>
  <c r="G2054" i="1"/>
  <c r="G2053" i="1"/>
  <c r="G2052" i="1"/>
  <c r="G2051" i="1"/>
  <c r="G2050" i="1"/>
  <c r="G2049" i="1"/>
  <c r="G2048" i="1"/>
  <c r="G2047" i="1"/>
  <c r="G2046" i="1"/>
  <c r="G2045" i="1"/>
  <c r="G2044" i="1"/>
  <c r="G2043" i="1"/>
  <c r="G2042" i="1"/>
  <c r="G2041" i="1"/>
  <c r="G2040" i="1"/>
  <c r="G2039" i="1"/>
  <c r="G2038" i="1"/>
  <c r="G2037" i="1"/>
  <c r="G2036" i="1"/>
  <c r="G2035" i="1"/>
  <c r="G2034" i="1"/>
  <c r="G2033" i="1"/>
  <c r="G2032" i="1"/>
  <c r="G2031" i="1"/>
  <c r="G2030" i="1"/>
  <c r="G2029" i="1"/>
  <c r="G2028" i="1"/>
  <c r="G2027" i="1"/>
  <c r="G2026" i="1"/>
  <c r="G2025" i="1"/>
  <c r="G2024" i="1"/>
  <c r="G2023" i="1"/>
  <c r="G2022" i="1"/>
  <c r="G2021" i="1"/>
  <c r="G2020" i="1"/>
  <c r="G2019" i="1"/>
  <c r="G2018" i="1"/>
  <c r="G2017" i="1"/>
  <c r="G2016" i="1"/>
  <c r="G2015" i="1"/>
  <c r="G2014" i="1"/>
  <c r="G2013" i="1"/>
  <c r="G2012" i="1"/>
  <c r="G2011" i="1"/>
  <c r="G2010" i="1"/>
  <c r="G2009" i="1"/>
  <c r="G2008" i="1"/>
  <c r="G2007" i="1"/>
  <c r="G2006" i="1"/>
  <c r="G2005" i="1"/>
  <c r="G2004" i="1"/>
  <c r="G2003" i="1"/>
  <c r="G2002" i="1"/>
  <c r="G2001" i="1"/>
  <c r="G2000" i="1"/>
  <c r="G1999" i="1"/>
  <c r="G1998" i="1"/>
  <c r="G1997" i="1"/>
  <c r="G1996" i="1"/>
  <c r="G1995" i="1"/>
  <c r="G1994" i="1"/>
  <c r="G1993" i="1"/>
  <c r="G1992" i="1"/>
  <c r="G1991" i="1"/>
  <c r="G1990" i="1"/>
  <c r="G1989" i="1"/>
  <c r="G1988" i="1"/>
  <c r="G1987" i="1"/>
  <c r="G1986" i="1"/>
  <c r="G1985" i="1"/>
  <c r="G1984" i="1"/>
  <c r="G1983" i="1"/>
  <c r="G1982" i="1"/>
  <c r="G1981" i="1"/>
  <c r="G1980" i="1"/>
  <c r="G1979" i="1"/>
  <c r="G1978" i="1"/>
  <c r="G1977" i="1"/>
  <c r="G1976" i="1"/>
  <c r="G1975" i="1"/>
  <c r="G1974" i="1"/>
  <c r="G1973" i="1"/>
  <c r="G1972" i="1"/>
  <c r="G1971" i="1"/>
  <c r="G1970" i="1"/>
  <c r="G1969" i="1"/>
  <c r="G1968" i="1"/>
  <c r="G1967" i="1"/>
  <c r="G1966" i="1"/>
  <c r="G1965" i="1"/>
  <c r="G1964" i="1"/>
  <c r="G1963" i="1"/>
  <c r="G1962" i="1"/>
  <c r="G1961" i="1"/>
  <c r="G1960" i="1"/>
  <c r="G1959" i="1"/>
  <c r="G1958" i="1"/>
  <c r="G1957" i="1"/>
  <c r="G1956" i="1"/>
  <c r="G1955" i="1"/>
  <c r="G1954" i="1"/>
  <c r="G1953" i="1"/>
  <c r="G1952" i="1"/>
  <c r="G1951" i="1"/>
  <c r="G1950" i="1"/>
  <c r="G1949" i="1"/>
  <c r="G1948" i="1"/>
  <c r="G1947" i="1"/>
  <c r="G1946" i="1"/>
  <c r="G1945" i="1"/>
  <c r="G1944" i="1"/>
  <c r="G1943" i="1"/>
  <c r="G1942" i="1"/>
  <c r="G1941" i="1"/>
  <c r="G1940" i="1"/>
  <c r="G1939" i="1"/>
  <c r="G1938" i="1"/>
  <c r="G1937" i="1"/>
  <c r="G1936" i="1"/>
  <c r="G1935" i="1"/>
  <c r="G1934" i="1"/>
  <c r="G1933" i="1"/>
  <c r="G1932" i="1"/>
  <c r="G1931" i="1"/>
  <c r="G1930" i="1"/>
  <c r="G1929" i="1"/>
  <c r="G1928" i="1"/>
  <c r="G1927" i="1"/>
  <c r="G1926" i="1"/>
  <c r="G1925" i="1"/>
  <c r="G1924" i="1"/>
  <c r="G1923" i="1"/>
  <c r="G1922" i="1"/>
  <c r="G1921" i="1"/>
  <c r="G1920" i="1"/>
  <c r="G1919" i="1"/>
  <c r="G1918" i="1"/>
  <c r="G1917" i="1"/>
  <c r="G1916" i="1"/>
  <c r="G1915" i="1"/>
  <c r="G1914" i="1"/>
  <c r="G1913" i="1"/>
  <c r="G1912" i="1"/>
  <c r="G1911" i="1"/>
  <c r="G1910" i="1"/>
  <c r="G1909" i="1"/>
  <c r="G1908" i="1"/>
  <c r="G1907" i="1"/>
  <c r="G1906" i="1"/>
  <c r="G1905" i="1"/>
  <c r="G1904" i="1"/>
  <c r="G1903" i="1"/>
  <c r="G1902" i="1"/>
  <c r="G1901" i="1"/>
  <c r="G1900" i="1"/>
  <c r="G1899" i="1"/>
  <c r="G1898" i="1"/>
  <c r="G1897" i="1"/>
  <c r="G1896" i="1"/>
  <c r="G1895" i="1"/>
  <c r="G1894" i="1"/>
  <c r="G1893" i="1"/>
  <c r="G1892" i="1"/>
  <c r="G1891" i="1"/>
  <c r="G1890" i="1"/>
  <c r="G1889" i="1"/>
  <c r="G1888" i="1"/>
  <c r="G1887" i="1"/>
  <c r="G1886" i="1"/>
  <c r="G1885" i="1"/>
  <c r="G1884" i="1"/>
  <c r="G1883" i="1"/>
  <c r="G1882" i="1"/>
  <c r="G1881" i="1"/>
  <c r="G1880" i="1"/>
  <c r="G1879" i="1"/>
  <c r="G1878" i="1"/>
  <c r="G1877" i="1"/>
  <c r="G1876" i="1"/>
  <c r="G1875" i="1"/>
  <c r="G1874" i="1"/>
  <c r="G1873" i="1"/>
  <c r="G1872" i="1"/>
  <c r="G1871" i="1"/>
  <c r="G1870" i="1"/>
  <c r="G1869" i="1"/>
  <c r="G1868" i="1"/>
  <c r="G1867" i="1"/>
  <c r="G1866" i="1"/>
  <c r="G1865" i="1"/>
  <c r="G1864" i="1"/>
  <c r="G1863" i="1"/>
  <c r="G1862" i="1"/>
  <c r="G1861" i="1"/>
  <c r="G1860" i="1"/>
  <c r="G1859" i="1"/>
  <c r="G1858" i="1"/>
  <c r="G1857" i="1"/>
  <c r="G1856" i="1"/>
  <c r="G1855" i="1"/>
  <c r="G1854" i="1"/>
  <c r="G1853" i="1"/>
  <c r="G1852" i="1"/>
  <c r="G1851" i="1"/>
  <c r="G1850" i="1"/>
  <c r="G1849" i="1"/>
  <c r="G1848" i="1"/>
  <c r="G1847" i="1"/>
  <c r="G1846" i="1"/>
  <c r="G1845" i="1"/>
  <c r="G1844" i="1"/>
  <c r="G1843" i="1"/>
  <c r="G1842" i="1"/>
  <c r="G1841" i="1"/>
  <c r="G1840" i="1"/>
  <c r="G1839" i="1"/>
  <c r="G1838" i="1"/>
  <c r="G1837" i="1"/>
  <c r="G1836" i="1"/>
  <c r="G1835" i="1"/>
  <c r="G1834" i="1"/>
  <c r="G1833" i="1"/>
  <c r="G1832" i="1"/>
  <c r="G1831" i="1"/>
  <c r="G1830" i="1"/>
  <c r="G1829" i="1"/>
  <c r="G1828" i="1"/>
  <c r="G1827" i="1"/>
  <c r="G1826" i="1"/>
  <c r="G1825" i="1"/>
  <c r="G1824" i="1"/>
  <c r="G1823" i="1"/>
  <c r="G1822" i="1"/>
  <c r="G1821" i="1"/>
  <c r="G1820" i="1"/>
  <c r="G1819" i="1"/>
  <c r="G1818" i="1"/>
  <c r="G1817" i="1"/>
  <c r="G1816" i="1"/>
  <c r="G1815" i="1"/>
  <c r="G1814" i="1"/>
  <c r="G1813" i="1"/>
  <c r="G1812" i="1"/>
  <c r="G1811" i="1"/>
  <c r="G1810" i="1"/>
  <c r="G1809" i="1"/>
  <c r="G1808" i="1"/>
  <c r="G1807" i="1"/>
  <c r="G1806" i="1"/>
  <c r="G1805" i="1"/>
  <c r="G1804" i="1"/>
  <c r="G1803" i="1"/>
  <c r="G1802" i="1"/>
  <c r="G1801" i="1"/>
  <c r="G1800" i="1"/>
  <c r="G1799" i="1"/>
  <c r="G1798" i="1"/>
  <c r="G1797" i="1"/>
  <c r="G1796" i="1"/>
  <c r="G1795" i="1"/>
  <c r="G1794" i="1"/>
  <c r="G1793" i="1"/>
  <c r="G1792" i="1"/>
  <c r="G1791" i="1"/>
  <c r="G1790" i="1"/>
  <c r="G1789" i="1"/>
  <c r="G1788" i="1"/>
  <c r="G1787" i="1"/>
  <c r="G1786" i="1"/>
  <c r="G1785" i="1"/>
  <c r="G1784" i="1"/>
  <c r="G1783" i="1"/>
  <c r="G1782" i="1"/>
  <c r="G1781" i="1"/>
  <c r="G1780" i="1"/>
  <c r="G1779" i="1"/>
  <c r="G1778" i="1"/>
  <c r="G1777" i="1"/>
  <c r="G1776" i="1"/>
  <c r="G1775" i="1"/>
  <c r="G1774" i="1"/>
  <c r="G1773" i="1"/>
  <c r="G1772" i="1"/>
  <c r="G1771" i="1"/>
  <c r="G1770" i="1"/>
  <c r="G1769" i="1"/>
  <c r="G1768" i="1"/>
  <c r="G1767" i="1"/>
  <c r="G1766" i="1"/>
  <c r="G1765" i="1"/>
  <c r="G1764" i="1"/>
  <c r="G1763" i="1"/>
  <c r="G1762" i="1"/>
  <c r="G1761" i="1"/>
  <c r="G1760" i="1"/>
  <c r="G1759" i="1"/>
  <c r="G1758" i="1"/>
  <c r="G1757" i="1"/>
  <c r="G1756" i="1"/>
  <c r="G1755" i="1"/>
  <c r="G1754" i="1"/>
  <c r="G1753" i="1"/>
  <c r="G1752" i="1"/>
  <c r="G1751" i="1"/>
  <c r="G1750" i="1"/>
  <c r="G1749" i="1"/>
  <c r="G1748" i="1"/>
  <c r="G1747" i="1"/>
  <c r="G1746" i="1"/>
  <c r="G1745" i="1"/>
  <c r="G1744" i="1"/>
  <c r="G1743" i="1"/>
  <c r="G1742" i="1"/>
  <c r="G1741" i="1"/>
  <c r="G1740" i="1"/>
  <c r="G1739" i="1"/>
  <c r="G1738" i="1"/>
  <c r="G1737" i="1"/>
  <c r="G1736" i="1"/>
  <c r="G1735" i="1"/>
  <c r="G1734" i="1"/>
  <c r="G1733" i="1"/>
  <c r="G1732" i="1"/>
  <c r="G1731" i="1"/>
  <c r="G1730" i="1"/>
  <c r="G1729" i="1"/>
  <c r="G1728" i="1"/>
  <c r="G1727" i="1"/>
  <c r="G1726" i="1"/>
  <c r="G1725" i="1"/>
  <c r="G1724" i="1"/>
  <c r="G1723" i="1"/>
  <c r="G1722" i="1"/>
  <c r="G1721" i="1"/>
  <c r="G1720" i="1"/>
  <c r="G1719" i="1"/>
  <c r="G1718" i="1"/>
  <c r="G1717" i="1"/>
  <c r="G1716" i="1"/>
  <c r="G1715" i="1"/>
  <c r="G1714" i="1"/>
  <c r="G1713" i="1"/>
  <c r="G1712" i="1"/>
  <c r="G1711" i="1"/>
  <c r="G1710" i="1"/>
  <c r="G1709" i="1"/>
  <c r="G1708" i="1"/>
  <c r="G1707" i="1"/>
  <c r="G1706" i="1"/>
  <c r="G1705" i="1"/>
  <c r="G1704" i="1"/>
  <c r="G1703" i="1"/>
  <c r="G1702" i="1"/>
  <c r="G1701" i="1"/>
  <c r="G1700" i="1"/>
  <c r="G1699" i="1"/>
  <c r="G1698" i="1"/>
  <c r="G1697" i="1"/>
  <c r="G1696" i="1"/>
  <c r="G1695" i="1"/>
  <c r="G1694" i="1"/>
  <c r="G1693" i="1"/>
  <c r="G1692" i="1"/>
  <c r="G1691" i="1"/>
  <c r="G1690" i="1"/>
  <c r="G1689" i="1"/>
  <c r="G1688" i="1"/>
  <c r="G1687" i="1"/>
  <c r="G1686" i="1"/>
  <c r="G1685" i="1"/>
  <c r="G1684" i="1"/>
  <c r="G1683" i="1"/>
  <c r="G1682" i="1"/>
  <c r="G1681" i="1"/>
  <c r="G1680" i="1"/>
  <c r="G1679" i="1"/>
  <c r="G1678" i="1"/>
  <c r="G1677" i="1"/>
  <c r="G1676" i="1"/>
  <c r="G1675" i="1"/>
  <c r="G1674" i="1"/>
  <c r="G1673" i="1"/>
  <c r="G1672" i="1"/>
  <c r="G1671" i="1"/>
  <c r="G1670" i="1"/>
  <c r="G1669" i="1"/>
  <c r="G1668" i="1"/>
  <c r="G1667" i="1"/>
  <c r="G1666" i="1"/>
  <c r="G1665" i="1"/>
  <c r="G1664" i="1"/>
  <c r="G1663" i="1"/>
  <c r="G1662" i="1"/>
  <c r="G1661" i="1"/>
  <c r="G1660" i="1"/>
  <c r="G1659" i="1"/>
  <c r="G1658" i="1"/>
  <c r="G1657" i="1"/>
  <c r="G1656" i="1"/>
  <c r="G1655" i="1"/>
  <c r="G1654" i="1"/>
  <c r="G1653" i="1"/>
  <c r="G1652" i="1"/>
  <c r="G1651" i="1"/>
  <c r="G1650" i="1"/>
  <c r="G1649" i="1"/>
  <c r="G1648" i="1"/>
  <c r="G1647" i="1"/>
  <c r="G1646" i="1"/>
  <c r="G1645" i="1"/>
  <c r="G1644" i="1"/>
  <c r="G1643" i="1"/>
  <c r="G1642" i="1"/>
  <c r="G1641" i="1"/>
  <c r="G1640" i="1"/>
  <c r="G1639" i="1"/>
  <c r="G1638" i="1"/>
  <c r="G1637" i="1"/>
  <c r="G1636" i="1"/>
  <c r="G1635" i="1"/>
  <c r="G1634" i="1"/>
  <c r="G1633" i="1"/>
  <c r="G1632" i="1"/>
  <c r="G1631" i="1"/>
  <c r="G1630" i="1"/>
  <c r="G1629" i="1"/>
  <c r="G1628" i="1"/>
  <c r="G1627" i="1"/>
  <c r="G1626" i="1"/>
  <c r="G1625" i="1"/>
  <c r="G1624" i="1"/>
  <c r="G1623" i="1"/>
  <c r="G1622" i="1"/>
  <c r="G1621" i="1"/>
  <c r="G1620" i="1"/>
  <c r="G1619" i="1"/>
  <c r="G1618" i="1"/>
  <c r="G1617" i="1"/>
  <c r="G1616" i="1"/>
  <c r="G1615" i="1"/>
  <c r="G1614" i="1"/>
  <c r="G1613" i="1"/>
  <c r="G1612" i="1"/>
  <c r="G1611" i="1"/>
  <c r="G1610" i="1"/>
  <c r="G1609" i="1"/>
  <c r="G1608" i="1"/>
  <c r="G1607" i="1"/>
  <c r="G1606" i="1"/>
  <c r="G1605" i="1"/>
  <c r="G1604" i="1"/>
  <c r="G1603" i="1"/>
  <c r="G1602" i="1"/>
  <c r="G1601" i="1"/>
  <c r="G1600" i="1"/>
  <c r="G1599" i="1"/>
  <c r="G1598" i="1"/>
  <c r="G1597" i="1"/>
  <c r="G1596" i="1"/>
  <c r="G1595" i="1"/>
  <c r="G1594" i="1"/>
  <c r="G1593" i="1"/>
  <c r="G1592" i="1"/>
  <c r="G1591" i="1"/>
  <c r="G1590" i="1"/>
  <c r="G1589" i="1"/>
  <c r="G1588" i="1"/>
  <c r="G1587" i="1"/>
  <c r="G1586" i="1"/>
  <c r="G1585" i="1"/>
  <c r="G1584" i="1"/>
  <c r="G1583" i="1"/>
  <c r="G1582" i="1"/>
  <c r="G1581" i="1"/>
  <c r="G1580" i="1"/>
  <c r="G1579" i="1"/>
  <c r="G1578" i="1"/>
  <c r="G1577" i="1"/>
  <c r="G1576" i="1"/>
  <c r="G1575" i="1"/>
  <c r="G1574" i="1"/>
  <c r="G1573" i="1"/>
  <c r="G1572" i="1"/>
  <c r="G1571" i="1"/>
  <c r="G1570" i="1"/>
  <c r="G1569" i="1"/>
  <c r="G1568" i="1"/>
  <c r="G1567" i="1"/>
  <c r="G1566" i="1"/>
  <c r="G1565" i="1"/>
  <c r="G1564" i="1"/>
  <c r="G1563" i="1"/>
  <c r="G1562" i="1"/>
  <c r="G1561" i="1"/>
  <c r="G1560" i="1"/>
  <c r="G1559" i="1"/>
  <c r="G1558" i="1"/>
  <c r="G1557" i="1"/>
  <c r="G1556" i="1"/>
  <c r="G1555" i="1"/>
  <c r="G1554" i="1"/>
  <c r="G1553" i="1"/>
  <c r="G1552" i="1"/>
  <c r="G1551" i="1"/>
  <c r="G1550" i="1"/>
  <c r="G1549" i="1"/>
  <c r="G1548" i="1"/>
  <c r="G1547" i="1"/>
  <c r="G1546" i="1"/>
  <c r="G1545" i="1"/>
  <c r="G1544" i="1"/>
  <c r="G1543" i="1"/>
  <c r="G1542" i="1"/>
  <c r="G1541" i="1"/>
  <c r="G1540" i="1"/>
  <c r="G1539" i="1"/>
  <c r="G1538" i="1"/>
  <c r="G1537" i="1"/>
  <c r="G1536" i="1"/>
  <c r="G1535" i="1"/>
  <c r="G1534" i="1"/>
  <c r="G1533" i="1"/>
  <c r="G1532" i="1"/>
  <c r="G1531" i="1"/>
  <c r="G1530" i="1"/>
  <c r="G1529" i="1"/>
  <c r="G1528" i="1"/>
  <c r="G1527" i="1"/>
  <c r="G1526" i="1"/>
  <c r="G1525" i="1"/>
  <c r="G1524" i="1"/>
  <c r="G1523" i="1"/>
  <c r="G1522" i="1"/>
  <c r="G1521" i="1"/>
  <c r="G1520" i="1"/>
  <c r="G1519" i="1"/>
  <c r="G1518" i="1"/>
  <c r="G1517" i="1"/>
  <c r="G1516" i="1"/>
  <c r="G1515" i="1"/>
  <c r="G1514" i="1"/>
  <c r="G1513" i="1"/>
  <c r="G1512" i="1"/>
  <c r="G1511" i="1"/>
  <c r="G1510" i="1"/>
  <c r="G1509" i="1"/>
  <c r="G1508" i="1"/>
  <c r="G1507" i="1"/>
  <c r="G1506" i="1"/>
  <c r="G1505" i="1"/>
  <c r="G1504" i="1"/>
  <c r="G1503" i="1"/>
  <c r="G1502" i="1"/>
  <c r="G1501" i="1"/>
  <c r="G1500" i="1"/>
  <c r="G1499" i="1"/>
  <c r="G1498" i="1"/>
  <c r="G1497" i="1"/>
  <c r="G1496" i="1"/>
  <c r="G1495" i="1"/>
  <c r="G1494" i="1"/>
  <c r="G1493" i="1"/>
  <c r="G1492" i="1"/>
  <c r="G1491" i="1"/>
  <c r="G1490" i="1"/>
  <c r="G1489" i="1"/>
  <c r="G1488" i="1"/>
  <c r="G1487" i="1"/>
  <c r="G1486" i="1"/>
  <c r="G1485" i="1"/>
  <c r="G1484" i="1"/>
  <c r="G1483" i="1"/>
  <c r="G1482" i="1"/>
  <c r="G1481" i="1"/>
  <c r="G1480" i="1"/>
  <c r="G1479" i="1"/>
  <c r="G1478" i="1"/>
  <c r="G1477" i="1"/>
  <c r="G1476" i="1"/>
  <c r="G1475" i="1"/>
  <c r="G1474" i="1"/>
  <c r="G1473" i="1"/>
  <c r="G1472" i="1"/>
  <c r="G1471" i="1"/>
  <c r="G1470" i="1"/>
  <c r="G1469" i="1"/>
  <c r="G1468" i="1"/>
  <c r="G1467" i="1"/>
  <c r="G1466" i="1"/>
  <c r="G1465" i="1"/>
  <c r="G1464" i="1"/>
  <c r="G1463" i="1"/>
  <c r="G1462" i="1"/>
  <c r="G1461" i="1"/>
  <c r="G1460" i="1"/>
  <c r="G1459" i="1"/>
  <c r="G1458" i="1"/>
  <c r="G1457" i="1"/>
  <c r="G1456" i="1"/>
  <c r="G1455" i="1"/>
  <c r="G1454" i="1"/>
  <c r="G1453" i="1"/>
  <c r="G1452" i="1"/>
  <c r="G1451" i="1"/>
  <c r="G1450" i="1"/>
  <c r="G1449" i="1"/>
  <c r="G1448" i="1"/>
  <c r="G1447" i="1"/>
  <c r="G1446" i="1"/>
  <c r="G1445" i="1"/>
  <c r="G1444" i="1"/>
  <c r="G1443" i="1"/>
  <c r="G1442" i="1"/>
  <c r="G1441" i="1"/>
  <c r="G1440" i="1"/>
  <c r="G1439" i="1"/>
  <c r="G1438" i="1"/>
  <c r="G1437" i="1"/>
  <c r="G1436" i="1"/>
  <c r="G1435" i="1"/>
  <c r="G1434" i="1"/>
  <c r="G1433" i="1"/>
  <c r="G1432" i="1"/>
  <c r="G1431" i="1"/>
  <c r="G1430" i="1"/>
  <c r="G1429" i="1"/>
  <c r="G1428" i="1"/>
  <c r="G1427" i="1"/>
  <c r="G1426" i="1"/>
  <c r="G1425" i="1"/>
  <c r="G1424" i="1"/>
  <c r="G1423" i="1"/>
  <c r="G1422" i="1"/>
  <c r="G1421" i="1"/>
  <c r="G1420" i="1"/>
  <c r="G1419" i="1"/>
  <c r="G1418" i="1"/>
  <c r="G1417" i="1"/>
  <c r="G1416" i="1"/>
  <c r="G1415" i="1"/>
  <c r="G1414" i="1"/>
  <c r="G1413" i="1"/>
  <c r="G1412" i="1"/>
  <c r="G1411" i="1"/>
  <c r="G1410" i="1"/>
  <c r="G1409" i="1"/>
  <c r="G1408" i="1"/>
  <c r="G1407" i="1"/>
  <c r="G1406" i="1"/>
  <c r="G1405" i="1"/>
  <c r="G1404" i="1"/>
  <c r="G1403" i="1"/>
  <c r="G1402" i="1"/>
  <c r="G1401" i="1"/>
  <c r="G1400" i="1"/>
  <c r="G1399" i="1"/>
  <c r="G1398" i="1"/>
  <c r="G1397" i="1"/>
  <c r="G1396" i="1"/>
  <c r="G1395" i="1"/>
  <c r="G1394" i="1"/>
  <c r="G1393" i="1"/>
  <c r="G1392" i="1"/>
  <c r="G1391" i="1"/>
  <c r="G1390" i="1"/>
  <c r="G1389" i="1"/>
  <c r="G1388" i="1"/>
  <c r="G1387" i="1"/>
  <c r="G1386" i="1"/>
  <c r="G1385" i="1"/>
  <c r="G1384" i="1"/>
  <c r="G1383" i="1"/>
  <c r="G1382" i="1"/>
  <c r="G1381" i="1"/>
  <c r="G1380" i="1"/>
  <c r="G1379" i="1"/>
  <c r="G1378" i="1"/>
  <c r="G1377" i="1"/>
  <c r="G1376" i="1"/>
  <c r="G1375" i="1"/>
  <c r="G1374" i="1"/>
  <c r="G1373" i="1"/>
  <c r="G1372" i="1"/>
  <c r="G1371" i="1"/>
  <c r="G1370" i="1"/>
  <c r="G1369" i="1"/>
  <c r="G1368" i="1"/>
  <c r="G1367" i="1"/>
  <c r="G1366" i="1"/>
  <c r="G1365" i="1"/>
  <c r="G1364" i="1"/>
  <c r="G1363" i="1"/>
  <c r="G1362" i="1"/>
  <c r="G1361" i="1"/>
  <c r="G1360" i="1"/>
  <c r="G1359" i="1"/>
  <c r="G1358" i="1"/>
  <c r="G1357" i="1"/>
  <c r="G1356" i="1"/>
  <c r="G1355" i="1"/>
  <c r="G1354" i="1"/>
  <c r="G1353" i="1"/>
  <c r="G1352" i="1"/>
  <c r="G1351" i="1"/>
  <c r="G1350" i="1"/>
  <c r="G1349" i="1"/>
  <c r="G1348" i="1"/>
  <c r="G1347" i="1"/>
  <c r="G1346" i="1"/>
  <c r="G1345" i="1"/>
  <c r="G1344" i="1"/>
  <c r="G1343" i="1"/>
  <c r="G1342" i="1"/>
  <c r="G1341" i="1"/>
  <c r="G1340" i="1"/>
  <c r="G1339" i="1"/>
  <c r="G1338" i="1"/>
  <c r="G1337" i="1"/>
  <c r="G1336" i="1"/>
  <c r="G1335" i="1"/>
  <c r="G1334" i="1"/>
  <c r="G1333" i="1"/>
  <c r="G1332" i="1"/>
  <c r="G1331" i="1"/>
  <c r="G1330" i="1"/>
  <c r="G1329" i="1"/>
  <c r="G1328" i="1"/>
  <c r="G1327" i="1"/>
  <c r="G1326" i="1"/>
  <c r="G1325" i="1"/>
  <c r="G1324" i="1"/>
  <c r="G1323" i="1"/>
  <c r="G1322" i="1"/>
  <c r="G1321" i="1"/>
  <c r="G1320" i="1"/>
  <c r="G1319" i="1"/>
  <c r="G1318" i="1"/>
  <c r="G1317" i="1"/>
  <c r="G1316" i="1"/>
  <c r="G1315" i="1"/>
  <c r="G1314" i="1"/>
  <c r="G1313" i="1"/>
  <c r="G1312" i="1"/>
  <c r="G1311" i="1"/>
  <c r="G1310" i="1"/>
  <c r="G1309" i="1"/>
  <c r="G1308" i="1"/>
  <c r="G1307" i="1"/>
  <c r="G1306" i="1"/>
  <c r="G1305" i="1"/>
  <c r="G1304" i="1"/>
  <c r="G1303" i="1"/>
  <c r="G1302" i="1"/>
  <c r="G1301" i="1"/>
  <c r="G1300" i="1"/>
  <c r="G1299" i="1"/>
  <c r="G1298" i="1"/>
  <c r="G1297" i="1"/>
  <c r="G1296" i="1"/>
  <c r="G1295" i="1"/>
  <c r="G1294" i="1"/>
  <c r="G1293" i="1"/>
  <c r="G1292" i="1"/>
  <c r="G1291" i="1"/>
  <c r="G1290" i="1"/>
  <c r="G1289" i="1"/>
  <c r="G1288" i="1"/>
  <c r="G1287" i="1"/>
  <c r="G1286" i="1"/>
  <c r="G1285" i="1"/>
  <c r="G1284" i="1"/>
  <c r="G1283" i="1"/>
  <c r="G1282" i="1"/>
  <c r="G1281" i="1"/>
  <c r="G1280" i="1"/>
  <c r="G1279" i="1"/>
  <c r="G1278" i="1"/>
  <c r="G1277" i="1"/>
  <c r="G1276" i="1"/>
  <c r="G1275" i="1"/>
  <c r="G1274" i="1"/>
  <c r="G1273" i="1"/>
  <c r="G1272" i="1"/>
  <c r="G1271" i="1"/>
  <c r="G1270" i="1"/>
  <c r="G1269" i="1"/>
  <c r="G1268" i="1"/>
  <c r="G1267" i="1"/>
  <c r="G1266" i="1"/>
  <c r="G1265" i="1"/>
  <c r="G1264" i="1"/>
  <c r="G1263" i="1"/>
  <c r="G1262" i="1"/>
  <c r="G1261" i="1"/>
  <c r="G1260" i="1"/>
  <c r="G1259" i="1"/>
  <c r="G1258" i="1"/>
  <c r="G1257" i="1"/>
  <c r="G1256" i="1"/>
  <c r="G1255" i="1"/>
  <c r="G1254" i="1"/>
  <c r="G1253" i="1"/>
  <c r="G1252" i="1"/>
  <c r="G1251" i="1"/>
  <c r="G1250" i="1"/>
  <c r="G1249" i="1"/>
  <c r="G1248" i="1"/>
  <c r="G1247" i="1"/>
  <c r="G1246" i="1"/>
  <c r="G1245" i="1"/>
  <c r="G1244" i="1"/>
  <c r="G1243" i="1"/>
  <c r="G1242" i="1"/>
  <c r="G1241" i="1"/>
  <c r="G1240" i="1"/>
  <c r="G1239" i="1"/>
  <c r="G1238" i="1"/>
  <c r="G1237" i="1"/>
  <c r="G1236" i="1"/>
  <c r="G1235" i="1"/>
  <c r="G1234" i="1"/>
  <c r="G1233" i="1"/>
  <c r="G1232" i="1"/>
  <c r="G1231" i="1"/>
  <c r="G1230" i="1"/>
  <c r="G1229" i="1"/>
  <c r="G1228" i="1"/>
  <c r="G1227" i="1"/>
  <c r="G1226" i="1"/>
  <c r="G1225" i="1"/>
  <c r="G1224" i="1"/>
  <c r="G1223" i="1"/>
  <c r="G1222" i="1"/>
  <c r="G1221" i="1"/>
  <c r="G1220" i="1"/>
  <c r="G1219" i="1"/>
  <c r="G1218" i="1"/>
  <c r="G1217" i="1"/>
  <c r="G1216" i="1"/>
  <c r="G1215" i="1"/>
  <c r="G1214" i="1"/>
  <c r="G1213" i="1"/>
  <c r="G1212" i="1"/>
  <c r="G1211" i="1"/>
  <c r="G1210" i="1"/>
  <c r="G1209" i="1"/>
  <c r="G1208" i="1"/>
  <c r="G1207" i="1"/>
  <c r="G1206" i="1"/>
  <c r="G1205" i="1"/>
  <c r="G1204" i="1"/>
  <c r="G1203" i="1"/>
  <c r="G1202" i="1"/>
  <c r="G1201" i="1"/>
  <c r="G1200" i="1"/>
  <c r="G1199" i="1"/>
  <c r="G1198" i="1"/>
  <c r="G1197" i="1"/>
  <c r="G1196" i="1"/>
  <c r="G1195" i="1"/>
  <c r="G1194" i="1"/>
  <c r="G1193" i="1"/>
  <c r="G1192" i="1"/>
  <c r="G1191" i="1"/>
  <c r="G1190" i="1"/>
  <c r="G1189" i="1"/>
  <c r="G1188" i="1"/>
  <c r="G1187" i="1"/>
  <c r="G1186" i="1"/>
  <c r="G1185" i="1"/>
  <c r="G1184" i="1"/>
  <c r="G1183" i="1"/>
  <c r="G1182" i="1"/>
  <c r="G1181" i="1"/>
  <c r="G1180" i="1"/>
  <c r="G1179" i="1"/>
  <c r="G1178" i="1"/>
  <c r="G1177" i="1"/>
  <c r="G1176" i="1"/>
  <c r="G1175" i="1"/>
  <c r="G1174" i="1"/>
  <c r="G1173" i="1"/>
  <c r="G1172" i="1"/>
  <c r="G1171" i="1"/>
  <c r="G1170" i="1"/>
  <c r="G1169" i="1"/>
  <c r="G1168" i="1"/>
  <c r="G1167" i="1"/>
  <c r="G1166" i="1"/>
  <c r="G1165" i="1"/>
  <c r="G1164" i="1"/>
  <c r="G1163" i="1"/>
  <c r="G1162" i="1"/>
  <c r="G1161" i="1"/>
  <c r="G1160" i="1"/>
  <c r="G1159" i="1"/>
  <c r="G1158" i="1"/>
  <c r="G1157" i="1"/>
  <c r="G1156" i="1"/>
  <c r="G1155" i="1"/>
  <c r="G1154" i="1"/>
  <c r="G1153" i="1"/>
  <c r="G1152" i="1"/>
  <c r="G1151" i="1"/>
  <c r="G1150" i="1"/>
  <c r="G1149" i="1"/>
  <c r="G1148" i="1"/>
  <c r="G1147" i="1"/>
  <c r="G1146" i="1"/>
  <c r="G1145" i="1"/>
  <c r="G1144" i="1"/>
  <c r="G1143" i="1"/>
  <c r="G1142" i="1"/>
  <c r="G1141" i="1"/>
  <c r="G1140" i="1"/>
  <c r="G1139" i="1"/>
  <c r="G1138" i="1"/>
  <c r="G1137" i="1"/>
  <c r="G1136" i="1"/>
  <c r="G1135" i="1"/>
  <c r="G1134" i="1"/>
  <c r="G1133" i="1"/>
  <c r="G1132" i="1"/>
  <c r="G1131" i="1"/>
  <c r="G1130" i="1"/>
  <c r="G1129" i="1"/>
  <c r="G1128" i="1"/>
  <c r="G1127" i="1"/>
  <c r="G1126" i="1"/>
  <c r="G1125" i="1"/>
  <c r="G1124" i="1"/>
  <c r="G1123" i="1"/>
  <c r="G1122" i="1"/>
  <c r="G1121" i="1"/>
  <c r="G1120" i="1"/>
  <c r="G1119" i="1"/>
  <c r="G1118" i="1"/>
  <c r="G1117" i="1"/>
  <c r="G1116" i="1"/>
  <c r="G1115" i="1"/>
  <c r="G1114" i="1"/>
  <c r="G1113" i="1"/>
  <c r="G1112" i="1"/>
  <c r="G1111" i="1"/>
  <c r="G1110" i="1"/>
  <c r="G1109" i="1"/>
  <c r="G1108" i="1"/>
  <c r="G1107" i="1"/>
  <c r="G1106" i="1"/>
  <c r="G1105" i="1"/>
  <c r="G1104" i="1"/>
  <c r="G1103" i="1"/>
  <c r="G1102" i="1"/>
  <c r="G1101" i="1"/>
  <c r="G1100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15" i="1" l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14" i="1" l="1"/>
  <c r="R3" i="1" l="1"/>
  <c r="Q4" i="1" s="1"/>
  <c r="L3" i="1"/>
  <c r="K4" i="1" l="1"/>
  <c r="B6" i="1"/>
  <c r="I21" i="1" l="1"/>
  <c r="I6" i="1"/>
  <c r="I36" i="1"/>
  <c r="I71" i="1"/>
  <c r="I64" i="1"/>
  <c r="I50" i="1"/>
  <c r="I61" i="1"/>
  <c r="I32" i="1"/>
  <c r="I22" i="1"/>
  <c r="I42" i="1"/>
  <c r="I47" i="1"/>
  <c r="I11" i="1"/>
  <c r="I29" i="1"/>
  <c r="I16" i="1"/>
  <c r="I59" i="1"/>
  <c r="I66" i="1"/>
  <c r="I34" i="1"/>
  <c r="I80" i="1"/>
  <c r="I72" i="1"/>
  <c r="I39" i="1"/>
  <c r="I62" i="1"/>
  <c r="I67" i="1"/>
  <c r="I26" i="1"/>
  <c r="I76" i="1"/>
  <c r="I70" i="1"/>
  <c r="I57" i="1"/>
  <c r="I41" i="1"/>
  <c r="I25" i="1"/>
  <c r="I9" i="1"/>
  <c r="I60" i="1"/>
  <c r="I44" i="1"/>
  <c r="I28" i="1"/>
  <c r="I12" i="1"/>
  <c r="I54" i="1"/>
  <c r="I43" i="1"/>
  <c r="I58" i="1"/>
  <c r="I18" i="1"/>
  <c r="I79" i="1"/>
  <c r="I63" i="1"/>
  <c r="I31" i="1"/>
  <c r="I46" i="1"/>
  <c r="I51" i="1"/>
  <c r="I83" i="1"/>
  <c r="I74" i="1"/>
  <c r="I69" i="1"/>
  <c r="I53" i="1"/>
  <c r="I37" i="1"/>
  <c r="I5" i="1"/>
  <c r="I56" i="1"/>
  <c r="I40" i="1"/>
  <c r="I24" i="1"/>
  <c r="I8" i="1"/>
  <c r="I38" i="1"/>
  <c r="I27" i="1"/>
  <c r="I10" i="1"/>
  <c r="I77" i="1"/>
  <c r="I55" i="1"/>
  <c r="I23" i="1"/>
  <c r="I30" i="1"/>
  <c r="I35" i="1"/>
  <c r="I81" i="1"/>
  <c r="I73" i="1"/>
  <c r="I65" i="1"/>
  <c r="I49" i="1"/>
  <c r="I33" i="1"/>
  <c r="I17" i="1"/>
  <c r="I68" i="1"/>
  <c r="I52" i="1"/>
  <c r="I20" i="1"/>
  <c r="I7" i="1"/>
  <c r="I19" i="1"/>
  <c r="I82" i="1"/>
  <c r="I75" i="1"/>
  <c r="I15" i="1"/>
  <c r="I14" i="1"/>
  <c r="I78" i="1"/>
  <c r="I45" i="1"/>
  <c r="I13" i="1"/>
  <c r="I48" i="1"/>
  <c r="R4" i="1" l="1"/>
  <c r="Q5" i="1" s="1"/>
  <c r="P4" i="1" l="1"/>
  <c r="P5" i="1"/>
  <c r="R5" i="1" l="1"/>
  <c r="Q6" i="1" s="1"/>
  <c r="P6" i="1" l="1"/>
  <c r="R6" i="1" l="1"/>
  <c r="Q7" i="1" s="1"/>
  <c r="P7" i="1" l="1"/>
  <c r="R7" i="1" l="1"/>
  <c r="Q8" i="1" s="1"/>
  <c r="P8" i="1" l="1"/>
  <c r="R8" i="1" l="1"/>
  <c r="Q9" i="1" s="1"/>
  <c r="P9" i="1" l="1"/>
  <c r="R9" i="1" l="1"/>
  <c r="Q10" i="1" s="1"/>
  <c r="P10" i="1" l="1"/>
  <c r="R10" i="1" l="1"/>
  <c r="Q11" i="1" s="1"/>
  <c r="P11" i="1" l="1"/>
  <c r="R11" i="1" l="1"/>
  <c r="Q12" i="1" l="1"/>
  <c r="P12" i="1" s="1"/>
  <c r="R12" i="1" l="1"/>
  <c r="Q13" i="1" s="1"/>
  <c r="P13" i="1" s="1"/>
  <c r="R13" i="1" l="1"/>
  <c r="Q14" i="1" l="1"/>
  <c r="P14" i="1" s="1"/>
  <c r="R14" i="1" l="1"/>
  <c r="Q15" i="1" s="1"/>
  <c r="P15" i="1" s="1"/>
  <c r="R15" i="1" l="1"/>
  <c r="Q16" i="1" s="1"/>
  <c r="R16" i="1" l="1"/>
  <c r="Q17" i="1" l="1"/>
  <c r="P17" i="1" s="1"/>
  <c r="P16" i="1"/>
  <c r="R17" i="1" l="1"/>
  <c r="Q18" i="1" s="1"/>
  <c r="P18" i="1" s="1"/>
  <c r="R18" i="1" l="1"/>
  <c r="Q19" i="1" s="1"/>
  <c r="P19" i="1" l="1"/>
  <c r="R19" i="1" l="1"/>
  <c r="Q20" i="1" s="1"/>
  <c r="P20" i="1" l="1"/>
  <c r="R20" i="1" l="1"/>
  <c r="Q21" i="1" s="1"/>
  <c r="P21" i="1" l="1"/>
  <c r="R21" i="1" l="1"/>
  <c r="Q22" i="1" s="1"/>
  <c r="P22" i="1" l="1"/>
  <c r="R22" i="1" l="1"/>
  <c r="Q23" i="1" s="1"/>
  <c r="P23" i="1" l="1"/>
  <c r="R23" i="1" l="1"/>
  <c r="Q24" i="1" s="1"/>
  <c r="P24" i="1" l="1"/>
  <c r="R24" i="1" l="1"/>
  <c r="Q25" i="1" s="1"/>
  <c r="P25" i="1" l="1"/>
  <c r="R25" i="1" l="1"/>
  <c r="Q26" i="1" s="1"/>
  <c r="P26" i="1" l="1"/>
  <c r="R26" i="1" l="1"/>
  <c r="Q27" i="1" s="1"/>
  <c r="P27" i="1" l="1"/>
  <c r="R27" i="1" l="1"/>
  <c r="Q28" i="1" s="1"/>
  <c r="P28" i="1" l="1"/>
  <c r="R28" i="1" l="1"/>
  <c r="Q29" i="1" s="1"/>
  <c r="P29" i="1" l="1"/>
  <c r="R29" i="1" l="1"/>
  <c r="Q30" i="1" l="1"/>
  <c r="P30" i="1" s="1"/>
  <c r="R30" i="1" l="1"/>
  <c r="Q31" i="1" l="1"/>
  <c r="P31" i="1" s="1"/>
  <c r="R31" i="1" l="1"/>
  <c r="Q32" i="1" s="1"/>
  <c r="P32" i="1" s="1"/>
  <c r="R32" i="1" l="1"/>
  <c r="Q33" i="1" l="1"/>
  <c r="P33" i="1" s="1"/>
  <c r="R33" i="1" l="1"/>
  <c r="Q34" i="1" s="1"/>
  <c r="P34" i="1" s="1"/>
  <c r="R34" i="1" l="1"/>
  <c r="Q35" i="1" s="1"/>
  <c r="P35" i="1" l="1"/>
  <c r="R35" i="1" l="1"/>
  <c r="Q36" i="1" s="1"/>
  <c r="P36" i="1" l="1"/>
  <c r="R36" i="1" l="1"/>
  <c r="Q37" i="1" s="1"/>
  <c r="P37" i="1" l="1"/>
  <c r="R37" i="1" l="1"/>
  <c r="Q38" i="1" s="1"/>
  <c r="P38" i="1" l="1"/>
  <c r="R38" i="1" l="1"/>
  <c r="Q39" i="1" s="1"/>
  <c r="P39" i="1" l="1"/>
  <c r="R39" i="1" l="1"/>
  <c r="Q40" i="1" s="1"/>
  <c r="P40" i="1" l="1"/>
  <c r="R40" i="1" l="1"/>
  <c r="Q41" i="1" s="1"/>
  <c r="P41" i="1" l="1"/>
  <c r="R41" i="1" l="1"/>
  <c r="Q42" i="1" s="1"/>
  <c r="P42" i="1" l="1"/>
  <c r="R42" i="1" l="1"/>
  <c r="Q43" i="1" s="1"/>
  <c r="P43" i="1" l="1"/>
  <c r="R43" i="1" l="1"/>
  <c r="Q44" i="1" s="1"/>
  <c r="P44" i="1" l="1"/>
  <c r="R44" i="1" l="1"/>
  <c r="Q45" i="1" s="1"/>
  <c r="P45" i="1" l="1"/>
  <c r="R45" i="1" l="1"/>
  <c r="Q46" i="1" s="1"/>
  <c r="P46" i="1" l="1"/>
  <c r="R46" i="1" l="1"/>
  <c r="Q47" i="1" s="1"/>
  <c r="P47" i="1" l="1"/>
  <c r="R47" i="1" l="1"/>
  <c r="Q48" i="1" s="1"/>
  <c r="P48" i="1" l="1"/>
  <c r="R48" i="1" l="1"/>
  <c r="Q49" i="1" s="1"/>
  <c r="P49" i="1" l="1"/>
  <c r="R49" i="1" l="1"/>
  <c r="Q50" i="1" s="1"/>
  <c r="P50" i="1" l="1"/>
  <c r="R50" i="1" l="1"/>
  <c r="Q51" i="1" s="1"/>
  <c r="P51" i="1" l="1"/>
  <c r="R51" i="1" l="1"/>
  <c r="Q52" i="1" s="1"/>
  <c r="P52" i="1" l="1"/>
  <c r="R52" i="1" l="1"/>
  <c r="Q53" i="1" s="1"/>
  <c r="P53" i="1" l="1"/>
  <c r="R53" i="1" l="1"/>
  <c r="Q54" i="1" s="1"/>
  <c r="P54" i="1" l="1"/>
  <c r="R54" i="1" l="1"/>
  <c r="Q55" i="1" s="1"/>
  <c r="P55" i="1" l="1"/>
  <c r="R55" i="1" l="1"/>
  <c r="Q56" i="1" s="1"/>
  <c r="P56" i="1" l="1"/>
  <c r="R56" i="1" l="1"/>
  <c r="Q57" i="1" s="1"/>
  <c r="P57" i="1" l="1"/>
  <c r="R57" i="1" l="1"/>
  <c r="Q58" i="1" s="1"/>
  <c r="P58" i="1" l="1"/>
  <c r="R58" i="1" l="1"/>
  <c r="Q59" i="1" s="1"/>
  <c r="P59" i="1" l="1"/>
  <c r="R59" i="1" l="1"/>
  <c r="Q60" i="1" s="1"/>
  <c r="P60" i="1" l="1"/>
  <c r="R60" i="1" l="1"/>
  <c r="Q61" i="1" s="1"/>
  <c r="P61" i="1" l="1"/>
  <c r="R61" i="1" l="1"/>
  <c r="Q62" i="1" s="1"/>
  <c r="P62" i="1" l="1"/>
  <c r="R62" i="1" l="1"/>
  <c r="Q63" i="1" s="1"/>
  <c r="P63" i="1" l="1"/>
  <c r="R63" i="1" l="1"/>
  <c r="Q64" i="1" s="1"/>
  <c r="P64" i="1" l="1"/>
  <c r="R64" i="1" l="1"/>
  <c r="Q65" i="1" s="1"/>
  <c r="P65" i="1" l="1"/>
  <c r="R65" i="1" l="1"/>
  <c r="Q66" i="1" s="1"/>
  <c r="P66" i="1" l="1"/>
  <c r="R66" i="1" l="1"/>
  <c r="Q67" i="1" s="1"/>
  <c r="P67" i="1" l="1"/>
  <c r="R67" i="1" l="1"/>
  <c r="Q68" i="1" s="1"/>
  <c r="P68" i="1" l="1"/>
  <c r="R68" i="1" l="1"/>
  <c r="Q69" i="1" s="1"/>
  <c r="P69" i="1" l="1"/>
  <c r="R69" i="1" l="1"/>
  <c r="Q70" i="1" s="1"/>
  <c r="P70" i="1" l="1"/>
  <c r="R70" i="1" l="1"/>
  <c r="Q71" i="1" s="1"/>
  <c r="P71" i="1" l="1"/>
  <c r="R71" i="1" l="1"/>
  <c r="Q72" i="1" s="1"/>
  <c r="P72" i="1" l="1"/>
  <c r="R72" i="1" l="1"/>
  <c r="Q73" i="1" s="1"/>
  <c r="P73" i="1" l="1"/>
  <c r="R73" i="1" l="1"/>
  <c r="Q74" i="1" s="1"/>
  <c r="P74" i="1" l="1"/>
  <c r="R74" i="1" l="1"/>
  <c r="Q75" i="1" s="1"/>
  <c r="P75" i="1" l="1"/>
  <c r="R75" i="1" l="1"/>
  <c r="Q76" i="1" s="1"/>
  <c r="P76" i="1" l="1"/>
  <c r="R76" i="1" l="1"/>
  <c r="Q77" i="1" s="1"/>
  <c r="P77" i="1" l="1"/>
  <c r="R77" i="1" l="1"/>
  <c r="Q78" i="1" s="1"/>
  <c r="P78" i="1" l="1"/>
  <c r="R78" i="1" l="1"/>
  <c r="Q79" i="1" s="1"/>
  <c r="P79" i="1" l="1"/>
  <c r="R79" i="1" l="1"/>
  <c r="Q80" i="1" s="1"/>
  <c r="P80" i="1" l="1"/>
  <c r="R80" i="1" l="1"/>
  <c r="Q81" i="1" s="1"/>
  <c r="P81" i="1" l="1"/>
  <c r="R81" i="1" l="1"/>
  <c r="Q82" i="1" s="1"/>
  <c r="P82" i="1" l="1"/>
  <c r="R82" i="1" l="1"/>
  <c r="Q83" i="1" s="1"/>
  <c r="P83" i="1" l="1"/>
  <c r="R83" i="1" l="1"/>
  <c r="Q84" i="1" s="1"/>
  <c r="P84" i="1" l="1"/>
  <c r="R84" i="1" l="1"/>
  <c r="Q85" i="1" s="1"/>
  <c r="P85" i="1" l="1"/>
  <c r="R85" i="1" l="1"/>
  <c r="Q86" i="1" s="1"/>
  <c r="P86" i="1" l="1"/>
  <c r="R86" i="1" l="1"/>
  <c r="Q87" i="1" s="1"/>
  <c r="P87" i="1" l="1"/>
  <c r="R87" i="1" l="1"/>
  <c r="Q88" i="1" s="1"/>
  <c r="P88" i="1" l="1"/>
  <c r="R88" i="1" l="1"/>
  <c r="Q89" i="1" s="1"/>
  <c r="P89" i="1" l="1"/>
  <c r="R89" i="1" l="1"/>
  <c r="Q90" i="1" s="1"/>
  <c r="P90" i="1" l="1"/>
  <c r="R90" i="1" l="1"/>
  <c r="Q91" i="1" s="1"/>
  <c r="P91" i="1" l="1"/>
  <c r="R91" i="1" l="1"/>
  <c r="Q92" i="1" s="1"/>
  <c r="P92" i="1" l="1"/>
  <c r="R92" i="1" l="1"/>
  <c r="Q93" i="1" s="1"/>
  <c r="P93" i="1" l="1"/>
  <c r="R93" i="1" l="1"/>
  <c r="Q94" i="1" s="1"/>
  <c r="P94" i="1" l="1"/>
  <c r="R94" i="1" l="1"/>
  <c r="Q95" i="1" s="1"/>
  <c r="P95" i="1" l="1"/>
  <c r="R95" i="1" l="1"/>
  <c r="Q96" i="1" s="1"/>
  <c r="P96" i="1" l="1"/>
  <c r="R96" i="1" l="1"/>
  <c r="Q97" i="1" s="1"/>
  <c r="P97" i="1" l="1"/>
  <c r="R97" i="1" l="1"/>
  <c r="Q98" i="1" s="1"/>
  <c r="P98" i="1" l="1"/>
  <c r="R98" i="1" l="1"/>
  <c r="Q99" i="1" s="1"/>
  <c r="P99" i="1" l="1"/>
  <c r="R99" i="1" l="1"/>
  <c r="Q100" i="1" s="1"/>
  <c r="P100" i="1" l="1"/>
  <c r="R100" i="1" l="1"/>
  <c r="Q101" i="1" s="1"/>
  <c r="P101" i="1" l="1"/>
  <c r="R101" i="1" l="1"/>
  <c r="Q102" i="1" s="1"/>
  <c r="P102" i="1" l="1"/>
  <c r="R102" i="1" l="1"/>
  <c r="Q103" i="1" s="1"/>
  <c r="P103" i="1" l="1"/>
  <c r="R103" i="1" l="1"/>
  <c r="Q104" i="1" s="1"/>
  <c r="P104" i="1" l="1"/>
  <c r="R104" i="1" l="1"/>
  <c r="Q105" i="1" s="1"/>
  <c r="P105" i="1" l="1"/>
  <c r="R105" i="1" l="1"/>
  <c r="Q106" i="1" s="1"/>
  <c r="P106" i="1" l="1"/>
  <c r="R106" i="1" l="1"/>
  <c r="Q107" i="1" s="1"/>
  <c r="P107" i="1" l="1"/>
  <c r="R107" i="1" l="1"/>
  <c r="Q108" i="1" s="1"/>
  <c r="P108" i="1" l="1"/>
  <c r="R108" i="1" l="1"/>
  <c r="Q109" i="1" s="1"/>
  <c r="P109" i="1" l="1"/>
  <c r="R109" i="1" l="1"/>
  <c r="Q110" i="1" s="1"/>
  <c r="P110" i="1" l="1"/>
  <c r="R110" i="1" l="1"/>
  <c r="Q111" i="1" s="1"/>
  <c r="P111" i="1" l="1"/>
  <c r="R111" i="1" l="1"/>
  <c r="Q112" i="1" s="1"/>
  <c r="P112" i="1" l="1"/>
  <c r="R112" i="1" l="1"/>
  <c r="Q113" i="1" s="1"/>
  <c r="P113" i="1" l="1"/>
  <c r="R113" i="1" l="1"/>
  <c r="Q114" i="1" s="1"/>
  <c r="P114" i="1" l="1"/>
  <c r="R114" i="1" l="1"/>
  <c r="Q115" i="1" s="1"/>
  <c r="P115" i="1" l="1"/>
  <c r="R115" i="1" l="1"/>
  <c r="Q116" i="1" s="1"/>
  <c r="P116" i="1" l="1"/>
  <c r="R116" i="1" l="1"/>
  <c r="Q117" i="1" s="1"/>
  <c r="P117" i="1" l="1"/>
  <c r="R117" i="1" l="1"/>
  <c r="Q118" i="1" s="1"/>
  <c r="P118" i="1" l="1"/>
  <c r="R118" i="1" l="1"/>
  <c r="Q119" i="1" s="1"/>
  <c r="P119" i="1" l="1"/>
  <c r="R119" i="1" l="1"/>
  <c r="Q120" i="1" s="1"/>
  <c r="P120" i="1" l="1"/>
  <c r="R120" i="1" l="1"/>
  <c r="Q121" i="1" s="1"/>
  <c r="P121" i="1" l="1"/>
  <c r="R121" i="1" l="1"/>
  <c r="Q122" i="1" s="1"/>
  <c r="P122" i="1" l="1"/>
  <c r="R122" i="1" l="1"/>
  <c r="Q123" i="1" s="1"/>
  <c r="P123" i="1" l="1"/>
  <c r="R123" i="1" l="1"/>
  <c r="Q124" i="1" s="1"/>
  <c r="P124" i="1" l="1"/>
  <c r="R124" i="1" l="1"/>
  <c r="Q125" i="1" s="1"/>
  <c r="P125" i="1" l="1"/>
  <c r="R125" i="1" l="1"/>
  <c r="Q126" i="1" s="1"/>
  <c r="P126" i="1" l="1"/>
  <c r="R126" i="1" l="1"/>
  <c r="Q127" i="1" s="1"/>
  <c r="P127" i="1" l="1"/>
  <c r="R127" i="1" l="1"/>
  <c r="Q128" i="1" s="1"/>
  <c r="P128" i="1" l="1"/>
  <c r="R128" i="1" l="1"/>
  <c r="Q129" i="1" s="1"/>
  <c r="P129" i="1" l="1"/>
  <c r="R129" i="1" l="1"/>
  <c r="Q130" i="1" s="1"/>
  <c r="P130" i="1" l="1"/>
  <c r="R130" i="1" l="1"/>
  <c r="Q131" i="1" s="1"/>
  <c r="P131" i="1" l="1"/>
  <c r="R131" i="1" l="1"/>
  <c r="Q132" i="1" s="1"/>
  <c r="P132" i="1" l="1"/>
  <c r="R132" i="1" l="1"/>
  <c r="Q133" i="1" s="1"/>
  <c r="P133" i="1" l="1"/>
  <c r="R133" i="1" l="1"/>
  <c r="Q134" i="1" s="1"/>
  <c r="P134" i="1" l="1"/>
  <c r="R134" i="1" l="1"/>
  <c r="Q135" i="1" s="1"/>
  <c r="P135" i="1" l="1"/>
  <c r="R135" i="1" l="1"/>
  <c r="Q136" i="1" s="1"/>
  <c r="P136" i="1" l="1"/>
  <c r="R136" i="1" l="1"/>
  <c r="Q137" i="1" s="1"/>
  <c r="P137" i="1" l="1"/>
  <c r="R137" i="1" l="1"/>
  <c r="Q138" i="1" s="1"/>
  <c r="P138" i="1" l="1"/>
  <c r="R138" i="1" l="1"/>
  <c r="Q139" i="1" s="1"/>
  <c r="P139" i="1" l="1"/>
  <c r="R139" i="1" l="1"/>
  <c r="Q140" i="1" s="1"/>
  <c r="P140" i="1" l="1"/>
  <c r="R140" i="1" l="1"/>
  <c r="Q141" i="1" s="1"/>
  <c r="P141" i="1" l="1"/>
  <c r="R141" i="1" l="1"/>
  <c r="Q142" i="1" s="1"/>
  <c r="P142" i="1" l="1"/>
  <c r="R142" i="1" l="1"/>
  <c r="Q143" i="1" s="1"/>
  <c r="P143" i="1" l="1"/>
  <c r="R143" i="1" l="1"/>
  <c r="Q144" i="1" s="1"/>
  <c r="P144" i="1" l="1"/>
  <c r="R144" i="1" l="1"/>
  <c r="Q145" i="1" s="1"/>
  <c r="P145" i="1" l="1"/>
  <c r="R145" i="1" l="1"/>
  <c r="Q146" i="1" s="1"/>
  <c r="P146" i="1" l="1"/>
  <c r="R146" i="1" l="1"/>
  <c r="Q147" i="1" s="1"/>
  <c r="P147" i="1" l="1"/>
  <c r="R147" i="1" l="1"/>
  <c r="Q148" i="1" s="1"/>
  <c r="P148" i="1" l="1"/>
  <c r="R148" i="1" l="1"/>
  <c r="Q149" i="1" s="1"/>
  <c r="P149" i="1" l="1"/>
  <c r="R149" i="1" l="1"/>
  <c r="Q150" i="1" s="1"/>
  <c r="P150" i="1" l="1"/>
  <c r="R150" i="1" l="1"/>
  <c r="Q151" i="1" s="1"/>
  <c r="P151" i="1" l="1"/>
  <c r="R151" i="1" l="1"/>
  <c r="Q152" i="1" s="1"/>
  <c r="P152" i="1" l="1"/>
  <c r="R152" i="1" l="1"/>
  <c r="Q153" i="1" s="1"/>
  <c r="P153" i="1" l="1"/>
  <c r="R153" i="1" l="1"/>
  <c r="Q154" i="1" s="1"/>
  <c r="P154" i="1" l="1"/>
  <c r="R154" i="1" l="1"/>
  <c r="Q155" i="1" s="1"/>
  <c r="P155" i="1" l="1"/>
  <c r="R155" i="1" l="1"/>
  <c r="Q156" i="1" s="1"/>
  <c r="P156" i="1" l="1"/>
  <c r="R156" i="1" l="1"/>
  <c r="Q157" i="1" s="1"/>
  <c r="P157" i="1" l="1"/>
  <c r="R157" i="1" l="1"/>
  <c r="Q158" i="1" s="1"/>
  <c r="P158" i="1" l="1"/>
  <c r="R158" i="1" l="1"/>
  <c r="Q159" i="1" s="1"/>
  <c r="P159" i="1" l="1"/>
  <c r="R159" i="1" l="1"/>
  <c r="Q160" i="1" s="1"/>
  <c r="P160" i="1" l="1"/>
  <c r="R160" i="1" l="1"/>
  <c r="Q161" i="1" s="1"/>
  <c r="P161" i="1" l="1"/>
  <c r="R161" i="1" l="1"/>
  <c r="Q162" i="1" s="1"/>
  <c r="P162" i="1" l="1"/>
  <c r="R162" i="1" l="1"/>
  <c r="Q163" i="1" s="1"/>
  <c r="P163" i="1" l="1"/>
  <c r="R163" i="1" l="1"/>
  <c r="Q164" i="1" s="1"/>
  <c r="P164" i="1" l="1"/>
  <c r="R164" i="1" l="1"/>
  <c r="Q165" i="1" s="1"/>
  <c r="P165" i="1" l="1"/>
  <c r="R165" i="1" l="1"/>
  <c r="Q166" i="1" s="1"/>
  <c r="P166" i="1" l="1"/>
  <c r="R166" i="1" l="1"/>
  <c r="Q167" i="1" s="1"/>
  <c r="P167" i="1" l="1"/>
  <c r="R167" i="1" l="1"/>
  <c r="Q168" i="1" s="1"/>
  <c r="P168" i="1" l="1"/>
  <c r="R168" i="1" l="1"/>
  <c r="Q169" i="1" s="1"/>
  <c r="P169" i="1" l="1"/>
  <c r="R169" i="1" l="1"/>
  <c r="Q170" i="1" s="1"/>
  <c r="P170" i="1" l="1"/>
  <c r="R170" i="1" l="1"/>
  <c r="Q171" i="1" s="1"/>
  <c r="P171" i="1" l="1"/>
  <c r="R171" i="1" l="1"/>
  <c r="Q172" i="1" s="1"/>
  <c r="P172" i="1" l="1"/>
  <c r="R172" i="1" l="1"/>
  <c r="Q173" i="1" s="1"/>
  <c r="P173" i="1" l="1"/>
  <c r="R173" i="1" l="1"/>
  <c r="Q174" i="1" s="1"/>
  <c r="P174" i="1" l="1"/>
  <c r="R174" i="1" l="1"/>
  <c r="Q175" i="1" s="1"/>
  <c r="P175" i="1" l="1"/>
  <c r="R175" i="1" l="1"/>
  <c r="Q176" i="1" s="1"/>
  <c r="P176" i="1" l="1"/>
  <c r="R176" i="1" l="1"/>
  <c r="Q177" i="1" s="1"/>
  <c r="P177" i="1" l="1"/>
  <c r="R177" i="1" l="1"/>
  <c r="Q178" i="1" s="1"/>
  <c r="P178" i="1" l="1"/>
  <c r="R178" i="1" l="1"/>
  <c r="Q179" i="1" s="1"/>
  <c r="P179" i="1" l="1"/>
  <c r="R179" i="1" l="1"/>
  <c r="Q180" i="1" s="1"/>
  <c r="P180" i="1" l="1"/>
  <c r="R180" i="1" l="1"/>
  <c r="Q181" i="1" s="1"/>
  <c r="P181" i="1" l="1"/>
  <c r="R181" i="1" l="1"/>
  <c r="Q182" i="1" s="1"/>
  <c r="P182" i="1" l="1"/>
  <c r="R182" i="1" l="1"/>
  <c r="Q183" i="1" s="1"/>
  <c r="P183" i="1" l="1"/>
  <c r="R183" i="1" l="1"/>
  <c r="Q184" i="1" s="1"/>
  <c r="P184" i="1" l="1"/>
  <c r="R184" i="1" l="1"/>
  <c r="Q185" i="1" s="1"/>
  <c r="P185" i="1" l="1"/>
  <c r="R185" i="1" l="1"/>
  <c r="Q186" i="1" s="1"/>
  <c r="P186" i="1" l="1"/>
  <c r="R186" i="1" l="1"/>
  <c r="Q187" i="1" s="1"/>
  <c r="P187" i="1" l="1"/>
  <c r="R187" i="1" l="1"/>
  <c r="Q188" i="1" s="1"/>
  <c r="P188" i="1" l="1"/>
  <c r="R188" i="1" l="1"/>
  <c r="Q189" i="1" s="1"/>
  <c r="P189" i="1" l="1"/>
  <c r="R189" i="1" l="1"/>
  <c r="Q190" i="1" s="1"/>
  <c r="P190" i="1" l="1"/>
  <c r="R190" i="1" l="1"/>
  <c r="Q191" i="1" s="1"/>
  <c r="P191" i="1" l="1"/>
  <c r="R191" i="1" l="1"/>
  <c r="Q192" i="1" s="1"/>
  <c r="P192" i="1" l="1"/>
  <c r="R192" i="1" l="1"/>
  <c r="Q193" i="1" s="1"/>
  <c r="P193" i="1" l="1"/>
  <c r="R193" i="1" l="1"/>
  <c r="Q194" i="1" s="1"/>
  <c r="P194" i="1" l="1"/>
  <c r="R194" i="1" l="1"/>
  <c r="Q195" i="1" s="1"/>
  <c r="P195" i="1" l="1"/>
  <c r="R195" i="1" l="1"/>
  <c r="Q196" i="1" s="1"/>
  <c r="P196" i="1" l="1"/>
  <c r="R196" i="1" l="1"/>
  <c r="Q197" i="1" s="1"/>
  <c r="P197" i="1" l="1"/>
  <c r="R197" i="1" l="1"/>
  <c r="Q198" i="1" s="1"/>
  <c r="P198" i="1" l="1"/>
  <c r="R198" i="1" l="1"/>
  <c r="Q199" i="1" s="1"/>
  <c r="P199" i="1" l="1"/>
  <c r="R199" i="1" l="1"/>
  <c r="Q200" i="1" s="1"/>
  <c r="P200" i="1" l="1"/>
  <c r="R200" i="1" l="1"/>
  <c r="Q201" i="1" s="1"/>
  <c r="P201" i="1" l="1"/>
  <c r="R201" i="1" l="1"/>
  <c r="Q202" i="1" s="1"/>
  <c r="P202" i="1" l="1"/>
  <c r="R202" i="1" l="1"/>
  <c r="Q203" i="1" s="1"/>
  <c r="P203" i="1" l="1"/>
  <c r="R203" i="1" l="1"/>
  <c r="Q204" i="1" s="1"/>
  <c r="P204" i="1" l="1"/>
  <c r="R204" i="1" l="1"/>
  <c r="Q205" i="1" s="1"/>
  <c r="P205" i="1" l="1"/>
  <c r="R205" i="1" l="1"/>
  <c r="Q206" i="1" s="1"/>
  <c r="P206" i="1" l="1"/>
  <c r="R206" i="1" l="1"/>
  <c r="Q207" i="1" s="1"/>
  <c r="P207" i="1" l="1"/>
  <c r="R207" i="1" l="1"/>
  <c r="Q208" i="1" s="1"/>
  <c r="P208" i="1" l="1"/>
  <c r="R208" i="1" l="1"/>
  <c r="Q209" i="1" s="1"/>
  <c r="P209" i="1" l="1"/>
  <c r="R209" i="1" l="1"/>
  <c r="Q210" i="1" s="1"/>
  <c r="P210" i="1" l="1"/>
  <c r="R210" i="1" l="1"/>
  <c r="Q211" i="1" s="1"/>
  <c r="P211" i="1" l="1"/>
  <c r="R211" i="1" l="1"/>
  <c r="Q212" i="1" s="1"/>
  <c r="P212" i="1" l="1"/>
  <c r="R212" i="1" l="1"/>
  <c r="Q213" i="1" s="1"/>
  <c r="P213" i="1" l="1"/>
  <c r="R213" i="1" l="1"/>
  <c r="Q214" i="1" s="1"/>
  <c r="P214" i="1" l="1"/>
  <c r="R214" i="1" l="1"/>
  <c r="Q215" i="1" s="1"/>
  <c r="P215" i="1" l="1"/>
  <c r="R215" i="1" l="1"/>
  <c r="Q216" i="1" s="1"/>
  <c r="P216" i="1" l="1"/>
  <c r="R216" i="1" l="1"/>
  <c r="Q217" i="1" s="1"/>
  <c r="P217" i="1" l="1"/>
  <c r="R217" i="1" l="1"/>
  <c r="Q218" i="1" s="1"/>
  <c r="P218" i="1" l="1"/>
  <c r="R218" i="1" l="1"/>
  <c r="Q219" i="1" s="1"/>
  <c r="P219" i="1" l="1"/>
  <c r="R219" i="1" l="1"/>
  <c r="Q220" i="1" s="1"/>
  <c r="P220" i="1" l="1"/>
  <c r="R220" i="1" l="1"/>
  <c r="Q221" i="1" s="1"/>
  <c r="P221" i="1" l="1"/>
  <c r="R221" i="1" l="1"/>
  <c r="Q222" i="1" s="1"/>
  <c r="P222" i="1" l="1"/>
  <c r="R222" i="1" l="1"/>
  <c r="Q223" i="1" s="1"/>
  <c r="P223" i="1" l="1"/>
  <c r="R223" i="1" l="1"/>
  <c r="Q224" i="1" s="1"/>
  <c r="P224" i="1" l="1"/>
  <c r="R224" i="1" l="1"/>
  <c r="Q225" i="1" s="1"/>
  <c r="P225" i="1" l="1"/>
  <c r="R225" i="1" l="1"/>
  <c r="Q226" i="1" s="1"/>
  <c r="P226" i="1" l="1"/>
  <c r="R226" i="1" l="1"/>
  <c r="Q227" i="1" s="1"/>
  <c r="P227" i="1" l="1"/>
  <c r="R227" i="1" l="1"/>
  <c r="Q228" i="1" s="1"/>
  <c r="P228" i="1" l="1"/>
  <c r="R228" i="1" l="1"/>
  <c r="Q229" i="1" s="1"/>
  <c r="P229" i="1" l="1"/>
  <c r="R229" i="1" l="1"/>
  <c r="Q230" i="1" s="1"/>
  <c r="P230" i="1" l="1"/>
  <c r="R230" i="1" l="1"/>
  <c r="Q231" i="1" s="1"/>
  <c r="P231" i="1" l="1"/>
  <c r="R231" i="1" l="1"/>
  <c r="Q232" i="1" s="1"/>
  <c r="P232" i="1" l="1"/>
  <c r="R232" i="1" l="1"/>
  <c r="Q233" i="1" s="1"/>
  <c r="P233" i="1" l="1"/>
  <c r="R233" i="1" l="1"/>
  <c r="Q234" i="1" s="1"/>
  <c r="P234" i="1" l="1"/>
  <c r="R234" i="1" l="1"/>
  <c r="Q235" i="1" s="1"/>
  <c r="P235" i="1" l="1"/>
  <c r="R235" i="1" l="1"/>
  <c r="Q236" i="1" s="1"/>
  <c r="P236" i="1" l="1"/>
  <c r="R236" i="1" l="1"/>
  <c r="Q237" i="1" s="1"/>
  <c r="P237" i="1" l="1"/>
  <c r="R237" i="1" l="1"/>
  <c r="Q238" i="1" s="1"/>
  <c r="P238" i="1" l="1"/>
  <c r="R238" i="1" l="1"/>
  <c r="Q239" i="1" s="1"/>
  <c r="P239" i="1" l="1"/>
  <c r="R239" i="1" l="1"/>
  <c r="Q240" i="1" s="1"/>
  <c r="P240" i="1" l="1"/>
  <c r="R240" i="1" l="1"/>
  <c r="Q241" i="1" s="1"/>
  <c r="P241" i="1" l="1"/>
  <c r="R241" i="1" l="1"/>
  <c r="Q242" i="1" s="1"/>
  <c r="P242" i="1" l="1"/>
  <c r="R242" i="1" l="1"/>
  <c r="Q243" i="1" s="1"/>
  <c r="P243" i="1" l="1"/>
  <c r="R243" i="1" l="1"/>
  <c r="Q244" i="1" s="1"/>
  <c r="P244" i="1" l="1"/>
  <c r="R244" i="1" l="1"/>
  <c r="Q245" i="1" l="1"/>
  <c r="P245" i="1" s="1"/>
  <c r="R245" i="1" l="1"/>
  <c r="Q246" i="1" s="1"/>
  <c r="P246" i="1" s="1"/>
  <c r="R246" i="1" l="1"/>
  <c r="Q247" i="1" s="1"/>
  <c r="P247" i="1" l="1"/>
  <c r="R247" i="1" l="1"/>
  <c r="Q248" i="1" s="1"/>
  <c r="P248" i="1" l="1"/>
  <c r="R248" i="1" l="1"/>
  <c r="Q249" i="1" s="1"/>
  <c r="P249" i="1" l="1"/>
  <c r="R249" i="1" l="1"/>
  <c r="Q250" i="1" s="1"/>
  <c r="P250" i="1" l="1"/>
  <c r="R250" i="1" l="1"/>
  <c r="Q251" i="1" s="1"/>
  <c r="P251" i="1" l="1"/>
  <c r="R251" i="1" l="1"/>
  <c r="Q252" i="1" s="1"/>
  <c r="P252" i="1" l="1"/>
  <c r="R252" i="1" l="1"/>
  <c r="Q253" i="1" s="1"/>
  <c r="P253" i="1" l="1"/>
  <c r="R253" i="1" l="1"/>
  <c r="Q254" i="1" s="1"/>
  <c r="P254" i="1" l="1"/>
  <c r="R254" i="1" l="1"/>
  <c r="Q255" i="1" s="1"/>
  <c r="P255" i="1" l="1"/>
  <c r="R255" i="1" l="1"/>
  <c r="Q256" i="1" s="1"/>
  <c r="P256" i="1" l="1"/>
  <c r="R256" i="1" l="1"/>
  <c r="Q257" i="1" s="1"/>
  <c r="P257" i="1" l="1"/>
  <c r="R257" i="1" l="1"/>
  <c r="Q258" i="1" s="1"/>
  <c r="P258" i="1" l="1"/>
  <c r="R258" i="1" l="1"/>
  <c r="Q259" i="1" s="1"/>
  <c r="P259" i="1" l="1"/>
  <c r="R259" i="1" l="1"/>
  <c r="Q260" i="1" s="1"/>
  <c r="P260" i="1" l="1"/>
  <c r="R260" i="1" l="1"/>
  <c r="Q261" i="1" s="1"/>
  <c r="P261" i="1" l="1"/>
  <c r="R261" i="1" l="1"/>
  <c r="Q262" i="1" s="1"/>
  <c r="P262" i="1" l="1"/>
  <c r="R262" i="1" l="1"/>
  <c r="Q263" i="1" s="1"/>
  <c r="P263" i="1" l="1"/>
  <c r="R263" i="1" l="1"/>
  <c r="Q264" i="1" s="1"/>
  <c r="P264" i="1" l="1"/>
  <c r="R264" i="1" l="1"/>
  <c r="Q265" i="1" s="1"/>
  <c r="P265" i="1" l="1"/>
  <c r="R265" i="1" l="1"/>
  <c r="Q266" i="1" s="1"/>
  <c r="P266" i="1" l="1"/>
  <c r="R266" i="1" l="1"/>
  <c r="Q267" i="1" s="1"/>
  <c r="P267" i="1" l="1"/>
  <c r="R267" i="1" l="1"/>
  <c r="Q268" i="1" s="1"/>
  <c r="P268" i="1" l="1"/>
  <c r="R268" i="1" l="1"/>
  <c r="Q269" i="1" s="1"/>
  <c r="P269" i="1" l="1"/>
  <c r="R269" i="1" l="1"/>
  <c r="Q270" i="1" s="1"/>
  <c r="P270" i="1" l="1"/>
  <c r="R270" i="1" l="1"/>
  <c r="Q271" i="1" s="1"/>
  <c r="P271" i="1" l="1"/>
  <c r="R271" i="1" l="1"/>
  <c r="Q272" i="1" s="1"/>
  <c r="P272" i="1" l="1"/>
  <c r="R272" i="1" l="1"/>
  <c r="Q273" i="1" s="1"/>
  <c r="P273" i="1" l="1"/>
  <c r="R273" i="1" l="1"/>
  <c r="Q274" i="1" s="1"/>
  <c r="P274" i="1" l="1"/>
  <c r="R274" i="1" l="1"/>
  <c r="Q275" i="1" s="1"/>
  <c r="P275" i="1" l="1"/>
  <c r="R275" i="1" l="1"/>
  <c r="Q276" i="1" s="1"/>
  <c r="P276" i="1" l="1"/>
  <c r="R276" i="1" l="1"/>
  <c r="Q277" i="1" s="1"/>
  <c r="P277" i="1" l="1"/>
  <c r="R277" i="1" l="1"/>
  <c r="Q278" i="1" s="1"/>
  <c r="P278" i="1" l="1"/>
  <c r="R278" i="1" l="1"/>
  <c r="Q279" i="1" s="1"/>
  <c r="P279" i="1" l="1"/>
  <c r="R279" i="1" l="1"/>
  <c r="Q280" i="1" s="1"/>
  <c r="P280" i="1" l="1"/>
  <c r="R280" i="1" l="1"/>
  <c r="Q281" i="1" s="1"/>
  <c r="P281" i="1" l="1"/>
  <c r="R281" i="1" l="1"/>
  <c r="Q282" i="1" s="1"/>
  <c r="P282" i="1" l="1"/>
  <c r="R282" i="1" l="1"/>
  <c r="Q283" i="1" s="1"/>
  <c r="P283" i="1" l="1"/>
  <c r="R283" i="1" l="1"/>
  <c r="Q284" i="1" s="1"/>
  <c r="P284" i="1" l="1"/>
  <c r="R284" i="1" l="1"/>
  <c r="Q285" i="1" s="1"/>
  <c r="P285" i="1" l="1"/>
  <c r="R285" i="1" l="1"/>
  <c r="Q286" i="1" s="1"/>
  <c r="P286" i="1" l="1"/>
  <c r="R286" i="1" l="1"/>
  <c r="Q287" i="1" s="1"/>
  <c r="P287" i="1" l="1"/>
  <c r="R287" i="1" l="1"/>
  <c r="Q288" i="1" s="1"/>
  <c r="P288" i="1" l="1"/>
  <c r="R288" i="1" l="1"/>
  <c r="Q289" i="1" s="1"/>
  <c r="P289" i="1" l="1"/>
  <c r="R289" i="1" l="1"/>
  <c r="Q290" i="1" s="1"/>
  <c r="P290" i="1" l="1"/>
  <c r="R290" i="1" l="1"/>
  <c r="Q291" i="1" s="1"/>
  <c r="P291" i="1" l="1"/>
  <c r="R291" i="1" l="1"/>
  <c r="Q292" i="1" s="1"/>
  <c r="P292" i="1" l="1"/>
  <c r="R292" i="1" l="1"/>
  <c r="Q293" i="1" s="1"/>
  <c r="P293" i="1" l="1"/>
  <c r="R293" i="1" l="1"/>
  <c r="Q294" i="1" s="1"/>
  <c r="P294" i="1" l="1"/>
  <c r="R294" i="1" l="1"/>
  <c r="Q295" i="1" s="1"/>
  <c r="P295" i="1" l="1"/>
  <c r="R295" i="1" l="1"/>
  <c r="Q296" i="1" s="1"/>
  <c r="P296" i="1" l="1"/>
  <c r="R296" i="1" l="1"/>
  <c r="Q297" i="1" s="1"/>
  <c r="P297" i="1" l="1"/>
  <c r="R297" i="1" l="1"/>
  <c r="Q298" i="1" s="1"/>
  <c r="P298" i="1" l="1"/>
  <c r="R298" i="1" l="1"/>
  <c r="Q299" i="1" s="1"/>
  <c r="P299" i="1" l="1"/>
  <c r="R299" i="1" l="1"/>
  <c r="Q300" i="1" s="1"/>
  <c r="P300" i="1" l="1"/>
  <c r="R300" i="1" l="1"/>
  <c r="Q301" i="1" s="1"/>
  <c r="P301" i="1" l="1"/>
  <c r="R301" i="1" l="1"/>
  <c r="Q302" i="1" s="1"/>
  <c r="P302" i="1" l="1"/>
  <c r="R302" i="1" l="1"/>
  <c r="Q303" i="1" s="1"/>
  <c r="P303" i="1" l="1"/>
  <c r="R303" i="1" l="1"/>
  <c r="Q304" i="1" s="1"/>
  <c r="P304" i="1" l="1"/>
  <c r="R304" i="1" l="1"/>
  <c r="Q305" i="1" s="1"/>
  <c r="P305" i="1" l="1"/>
  <c r="R305" i="1" l="1"/>
  <c r="Q306" i="1" s="1"/>
  <c r="P306" i="1" l="1"/>
  <c r="R306" i="1" l="1"/>
  <c r="Q307" i="1" s="1"/>
  <c r="P307" i="1" l="1"/>
  <c r="R307" i="1" l="1"/>
  <c r="Q308" i="1" s="1"/>
  <c r="P308" i="1" l="1"/>
  <c r="R308" i="1" l="1"/>
  <c r="Q309" i="1" s="1"/>
  <c r="P309" i="1" l="1"/>
  <c r="R309" i="1" l="1"/>
  <c r="Q310" i="1" s="1"/>
  <c r="P310" i="1" l="1"/>
  <c r="R310" i="1" l="1"/>
  <c r="Q311" i="1" s="1"/>
  <c r="P311" i="1" l="1"/>
  <c r="R311" i="1" l="1"/>
  <c r="Q312" i="1" s="1"/>
  <c r="P312" i="1" l="1"/>
  <c r="R312" i="1" l="1"/>
  <c r="Q313" i="1" s="1"/>
  <c r="P313" i="1" l="1"/>
  <c r="R313" i="1" l="1"/>
  <c r="Q314" i="1" s="1"/>
  <c r="P314" i="1" l="1"/>
  <c r="R314" i="1" l="1"/>
  <c r="Q315" i="1" s="1"/>
  <c r="P315" i="1" l="1"/>
  <c r="R315" i="1" l="1"/>
  <c r="Q316" i="1" s="1"/>
  <c r="P316" i="1" l="1"/>
  <c r="R316" i="1" l="1"/>
  <c r="Q317" i="1" s="1"/>
  <c r="P317" i="1" l="1"/>
  <c r="R317" i="1" l="1"/>
  <c r="Q318" i="1" s="1"/>
  <c r="P318" i="1" l="1"/>
  <c r="R318" i="1" l="1"/>
  <c r="Q319" i="1" s="1"/>
  <c r="P319" i="1" l="1"/>
  <c r="R319" i="1" l="1"/>
  <c r="Q320" i="1" s="1"/>
  <c r="P320" i="1" l="1"/>
  <c r="R320" i="1" l="1"/>
  <c r="Q321" i="1" s="1"/>
  <c r="P321" i="1" l="1"/>
  <c r="R321" i="1" l="1"/>
  <c r="Q322" i="1" s="1"/>
  <c r="P322" i="1" l="1"/>
  <c r="R322" i="1" l="1"/>
  <c r="Q323" i="1" s="1"/>
  <c r="P323" i="1" l="1"/>
  <c r="R323" i="1" l="1"/>
  <c r="Q324" i="1" s="1"/>
  <c r="P324" i="1" l="1"/>
  <c r="R324" i="1" l="1"/>
  <c r="Q325" i="1" s="1"/>
  <c r="P325" i="1" l="1"/>
  <c r="R325" i="1" l="1"/>
  <c r="Q326" i="1" s="1"/>
  <c r="P326" i="1" l="1"/>
  <c r="R326" i="1" l="1"/>
  <c r="Q327" i="1" s="1"/>
  <c r="P327" i="1" l="1"/>
  <c r="R327" i="1" l="1"/>
  <c r="Q328" i="1" s="1"/>
  <c r="P328" i="1" l="1"/>
  <c r="R328" i="1" l="1"/>
  <c r="Q329" i="1" s="1"/>
  <c r="P329" i="1" l="1"/>
  <c r="R329" i="1" l="1"/>
  <c r="Q330" i="1" s="1"/>
  <c r="P330" i="1" l="1"/>
  <c r="R330" i="1" l="1"/>
  <c r="Q331" i="1" s="1"/>
  <c r="P331" i="1" l="1"/>
  <c r="R331" i="1" l="1"/>
  <c r="Q332" i="1" s="1"/>
  <c r="P332" i="1" l="1"/>
  <c r="R332" i="1" l="1"/>
  <c r="Q333" i="1" s="1"/>
  <c r="P333" i="1" l="1"/>
  <c r="R333" i="1" l="1"/>
  <c r="Q334" i="1" s="1"/>
  <c r="P334" i="1" l="1"/>
  <c r="R334" i="1" l="1"/>
  <c r="Q335" i="1" s="1"/>
  <c r="P335" i="1" l="1"/>
  <c r="R335" i="1" l="1"/>
  <c r="Q336" i="1" s="1"/>
  <c r="P336" i="1" l="1"/>
  <c r="R336" i="1" l="1"/>
  <c r="Q337" i="1" s="1"/>
  <c r="P337" i="1" l="1"/>
  <c r="R337" i="1" l="1"/>
  <c r="Q338" i="1" s="1"/>
  <c r="P338" i="1" l="1"/>
  <c r="R338" i="1" l="1"/>
  <c r="Q339" i="1" s="1"/>
  <c r="P339" i="1" l="1"/>
  <c r="R339" i="1" l="1"/>
  <c r="Q340" i="1" s="1"/>
  <c r="P340" i="1" l="1"/>
  <c r="R340" i="1" l="1"/>
  <c r="Q341" i="1" s="1"/>
  <c r="P341" i="1" l="1"/>
  <c r="R341" i="1" l="1"/>
  <c r="Q342" i="1" s="1"/>
  <c r="P342" i="1" l="1"/>
  <c r="R342" i="1" l="1"/>
  <c r="Q343" i="1" s="1"/>
  <c r="P343" i="1" l="1"/>
  <c r="R343" i="1" l="1"/>
  <c r="Q344" i="1" s="1"/>
  <c r="P344" i="1" l="1"/>
  <c r="R344" i="1" l="1"/>
  <c r="Q345" i="1" s="1"/>
  <c r="P345" i="1" l="1"/>
  <c r="R345" i="1" l="1"/>
  <c r="Q346" i="1" s="1"/>
  <c r="P346" i="1" l="1"/>
  <c r="R346" i="1" l="1"/>
  <c r="Q347" i="1" s="1"/>
  <c r="P347" i="1" l="1"/>
  <c r="R347" i="1" l="1"/>
  <c r="Q348" i="1" s="1"/>
  <c r="P348" i="1" l="1"/>
  <c r="R348" i="1" l="1"/>
  <c r="Q349" i="1" s="1"/>
  <c r="P349" i="1" l="1"/>
  <c r="R349" i="1" l="1"/>
  <c r="Q350" i="1" s="1"/>
  <c r="P350" i="1" l="1"/>
  <c r="R350" i="1" l="1"/>
  <c r="Q351" i="1" s="1"/>
  <c r="P351" i="1" l="1"/>
  <c r="R351" i="1" l="1"/>
  <c r="Q352" i="1" s="1"/>
  <c r="P352" i="1" l="1"/>
  <c r="R352" i="1" l="1"/>
  <c r="Q353" i="1" s="1"/>
  <c r="P353" i="1" l="1"/>
  <c r="R353" i="1" l="1"/>
  <c r="Q354" i="1" s="1"/>
  <c r="P354" i="1" l="1"/>
  <c r="R354" i="1" l="1"/>
  <c r="Q355" i="1" s="1"/>
  <c r="P355" i="1" l="1"/>
  <c r="R355" i="1" l="1"/>
  <c r="Q356" i="1" s="1"/>
  <c r="P356" i="1" l="1"/>
  <c r="R356" i="1" l="1"/>
  <c r="Q357" i="1" s="1"/>
  <c r="P357" i="1" l="1"/>
  <c r="R357" i="1" l="1"/>
  <c r="Q358" i="1" s="1"/>
  <c r="P358" i="1" l="1"/>
  <c r="R358" i="1" l="1"/>
  <c r="Q359" i="1" s="1"/>
  <c r="P359" i="1" l="1"/>
  <c r="R359" i="1" l="1"/>
  <c r="Q360" i="1" s="1"/>
  <c r="P360" i="1" l="1"/>
  <c r="R360" i="1" l="1"/>
  <c r="Q361" i="1" s="1"/>
  <c r="P361" i="1" l="1"/>
  <c r="R361" i="1" l="1"/>
  <c r="Q362" i="1" s="1"/>
  <c r="P362" i="1" l="1"/>
  <c r="R362" i="1" l="1"/>
  <c r="Q363" i="1" s="1"/>
  <c r="P363" i="1" l="1"/>
  <c r="R363" i="1" l="1"/>
  <c r="Q364" i="1" s="1"/>
  <c r="P364" i="1" l="1"/>
  <c r="R364" i="1" l="1"/>
  <c r="Q365" i="1" s="1"/>
  <c r="P365" i="1" l="1"/>
  <c r="R365" i="1" l="1"/>
  <c r="Q366" i="1" s="1"/>
  <c r="P366" i="1" l="1"/>
  <c r="R366" i="1" l="1"/>
  <c r="Q367" i="1" s="1"/>
  <c r="P367" i="1" l="1"/>
  <c r="R367" i="1" l="1"/>
  <c r="Q368" i="1" s="1"/>
  <c r="P368" i="1" l="1"/>
  <c r="R368" i="1" l="1"/>
  <c r="Q369" i="1" s="1"/>
  <c r="P369" i="1" l="1"/>
  <c r="R369" i="1" l="1"/>
  <c r="Q370" i="1" s="1"/>
  <c r="P370" i="1" l="1"/>
  <c r="R370" i="1" l="1"/>
  <c r="Q371" i="1" s="1"/>
  <c r="P371" i="1" l="1"/>
  <c r="R371" i="1" l="1"/>
  <c r="Q372" i="1" s="1"/>
  <c r="P372" i="1" l="1"/>
  <c r="R372" i="1" l="1"/>
  <c r="Q373" i="1" s="1"/>
  <c r="P373" i="1" l="1"/>
  <c r="R373" i="1" l="1"/>
  <c r="Q374" i="1" s="1"/>
  <c r="P374" i="1" l="1"/>
  <c r="R374" i="1" l="1"/>
  <c r="Q375" i="1" s="1"/>
  <c r="P375" i="1" l="1"/>
  <c r="R375" i="1" l="1"/>
  <c r="Q376" i="1" s="1"/>
  <c r="P376" i="1" l="1"/>
  <c r="R376" i="1" l="1"/>
  <c r="Q377" i="1" s="1"/>
  <c r="P377" i="1" l="1"/>
  <c r="R377" i="1" l="1"/>
  <c r="Q378" i="1" s="1"/>
  <c r="P378" i="1" l="1"/>
  <c r="R378" i="1" l="1"/>
  <c r="Q379" i="1" s="1"/>
  <c r="P379" i="1" l="1"/>
  <c r="R379" i="1" l="1"/>
  <c r="Q380" i="1" s="1"/>
  <c r="P380" i="1" l="1"/>
  <c r="R380" i="1" l="1"/>
  <c r="Q381" i="1" s="1"/>
  <c r="P381" i="1" l="1"/>
  <c r="R381" i="1" l="1"/>
  <c r="Q382" i="1" s="1"/>
  <c r="P382" i="1" l="1"/>
  <c r="R382" i="1" l="1"/>
  <c r="Q383" i="1" s="1"/>
  <c r="P383" i="1" l="1"/>
  <c r="R383" i="1" l="1"/>
  <c r="Q384" i="1" s="1"/>
  <c r="P384" i="1" l="1"/>
  <c r="R384" i="1" l="1"/>
  <c r="Q385" i="1" s="1"/>
  <c r="P385" i="1" l="1"/>
  <c r="R385" i="1" l="1"/>
  <c r="Q386" i="1" s="1"/>
  <c r="P386" i="1" l="1"/>
  <c r="R386" i="1" l="1"/>
  <c r="Q387" i="1" s="1"/>
  <c r="P387" i="1" l="1"/>
  <c r="R387" i="1" l="1"/>
  <c r="Q388" i="1" s="1"/>
  <c r="P388" i="1" l="1"/>
  <c r="R388" i="1" l="1"/>
  <c r="Q389" i="1" s="1"/>
  <c r="P389" i="1" l="1"/>
  <c r="R389" i="1" l="1"/>
  <c r="Q390" i="1" s="1"/>
  <c r="P390" i="1" l="1"/>
  <c r="R390" i="1" l="1"/>
  <c r="Q391" i="1" s="1"/>
  <c r="P391" i="1" l="1"/>
  <c r="R391" i="1" l="1"/>
  <c r="Q392" i="1" s="1"/>
  <c r="P392" i="1" l="1"/>
  <c r="R392" i="1" l="1"/>
  <c r="Q393" i="1" s="1"/>
  <c r="P393" i="1" l="1"/>
  <c r="R393" i="1" l="1"/>
  <c r="Q394" i="1" s="1"/>
  <c r="P394" i="1" l="1"/>
  <c r="R394" i="1" l="1"/>
  <c r="Q395" i="1" s="1"/>
  <c r="P395" i="1" l="1"/>
  <c r="R395" i="1" l="1"/>
  <c r="Q396" i="1" s="1"/>
  <c r="P396" i="1" l="1"/>
  <c r="R396" i="1" l="1"/>
  <c r="Q397" i="1" s="1"/>
  <c r="P397" i="1" l="1"/>
  <c r="R397" i="1" l="1"/>
  <c r="Q398" i="1" s="1"/>
  <c r="P398" i="1" l="1"/>
  <c r="R398" i="1" l="1"/>
  <c r="Q399" i="1" s="1"/>
  <c r="P399" i="1" l="1"/>
  <c r="R399" i="1" l="1"/>
  <c r="Q400" i="1" s="1"/>
  <c r="P400" i="1" l="1"/>
  <c r="R400" i="1" l="1"/>
  <c r="Q401" i="1" s="1"/>
  <c r="P401" i="1" l="1"/>
  <c r="R401" i="1" l="1"/>
  <c r="Q402" i="1" s="1"/>
  <c r="P402" i="1" l="1"/>
  <c r="R402" i="1" l="1"/>
  <c r="Q403" i="1" s="1"/>
  <c r="P403" i="1" l="1"/>
  <c r="R403" i="1" l="1"/>
  <c r="Q404" i="1" s="1"/>
  <c r="P404" i="1" l="1"/>
  <c r="R404" i="1" l="1"/>
  <c r="Q405" i="1" s="1"/>
  <c r="P405" i="1" l="1"/>
  <c r="R405" i="1" l="1"/>
  <c r="Q406" i="1" s="1"/>
  <c r="P406" i="1" l="1"/>
  <c r="R406" i="1" l="1"/>
  <c r="Q407" i="1" s="1"/>
  <c r="P407" i="1" l="1"/>
  <c r="R407" i="1" l="1"/>
  <c r="Q408" i="1" s="1"/>
  <c r="P408" i="1" l="1"/>
  <c r="R408" i="1" l="1"/>
  <c r="Q409" i="1" s="1"/>
  <c r="P409" i="1" l="1"/>
  <c r="R409" i="1" l="1"/>
  <c r="Q410" i="1" s="1"/>
  <c r="P410" i="1" l="1"/>
  <c r="R410" i="1" l="1"/>
  <c r="Q411" i="1" s="1"/>
  <c r="P411" i="1" l="1"/>
  <c r="R411" i="1" l="1"/>
  <c r="Q412" i="1" s="1"/>
  <c r="P412" i="1" l="1"/>
  <c r="R412" i="1" l="1"/>
  <c r="Q413" i="1" s="1"/>
  <c r="P413" i="1" l="1"/>
  <c r="R413" i="1" l="1"/>
  <c r="Q414" i="1" s="1"/>
  <c r="P414" i="1" l="1"/>
  <c r="R414" i="1" l="1"/>
  <c r="Q415" i="1" s="1"/>
  <c r="P415" i="1" l="1"/>
  <c r="R415" i="1" l="1"/>
  <c r="Q416" i="1" s="1"/>
  <c r="P416" i="1" l="1"/>
  <c r="R416" i="1" l="1"/>
  <c r="Q417" i="1" s="1"/>
  <c r="P417" i="1" l="1"/>
  <c r="R417" i="1" l="1"/>
  <c r="Q418" i="1" s="1"/>
  <c r="P418" i="1" l="1"/>
  <c r="R418" i="1" l="1"/>
  <c r="Q419" i="1" s="1"/>
  <c r="P419" i="1" l="1"/>
  <c r="R419" i="1" l="1"/>
  <c r="Q420" i="1" s="1"/>
  <c r="P420" i="1" l="1"/>
  <c r="R420" i="1" l="1"/>
  <c r="Q421" i="1" s="1"/>
  <c r="P421" i="1" l="1"/>
  <c r="R421" i="1" l="1"/>
  <c r="Q422" i="1" s="1"/>
  <c r="P422" i="1" l="1"/>
  <c r="R422" i="1" l="1"/>
  <c r="Q423" i="1" s="1"/>
  <c r="P423" i="1" l="1"/>
  <c r="R423" i="1" l="1"/>
  <c r="Q424" i="1" s="1"/>
  <c r="P424" i="1" l="1"/>
  <c r="R424" i="1" l="1"/>
  <c r="Q425" i="1" s="1"/>
  <c r="P425" i="1" l="1"/>
  <c r="R425" i="1" l="1"/>
  <c r="Q426" i="1" s="1"/>
  <c r="P426" i="1" l="1"/>
  <c r="R426" i="1" l="1"/>
  <c r="Q427" i="1" s="1"/>
  <c r="P427" i="1" l="1"/>
  <c r="R427" i="1" l="1"/>
  <c r="Q428" i="1" s="1"/>
  <c r="P428" i="1" l="1"/>
  <c r="R428" i="1" l="1"/>
  <c r="Q429" i="1" s="1"/>
  <c r="P429" i="1" l="1"/>
  <c r="R429" i="1" l="1"/>
  <c r="Q430" i="1" s="1"/>
  <c r="P430" i="1" l="1"/>
  <c r="R430" i="1" l="1"/>
  <c r="Q431" i="1" s="1"/>
  <c r="P431" i="1" l="1"/>
  <c r="R431" i="1" l="1"/>
  <c r="Q432" i="1" s="1"/>
  <c r="P432" i="1" l="1"/>
  <c r="R432" i="1" l="1"/>
  <c r="Q433" i="1" s="1"/>
  <c r="P433" i="1" l="1"/>
  <c r="R433" i="1" l="1"/>
  <c r="Q434" i="1" s="1"/>
  <c r="P434" i="1" l="1"/>
  <c r="R434" i="1" l="1"/>
  <c r="Q435" i="1" s="1"/>
  <c r="P435" i="1" l="1"/>
  <c r="R435" i="1" l="1"/>
  <c r="Q436" i="1" s="1"/>
  <c r="P436" i="1" l="1"/>
  <c r="R436" i="1" l="1"/>
  <c r="Q437" i="1" s="1"/>
  <c r="P437" i="1" l="1"/>
  <c r="R437" i="1" l="1"/>
  <c r="Q438" i="1" s="1"/>
  <c r="P438" i="1" l="1"/>
  <c r="R438" i="1" l="1"/>
  <c r="Q439" i="1" s="1"/>
  <c r="P439" i="1" l="1"/>
  <c r="R439" i="1" l="1"/>
  <c r="Q440" i="1" s="1"/>
  <c r="P440" i="1" l="1"/>
  <c r="R440" i="1" l="1"/>
  <c r="Q441" i="1" s="1"/>
  <c r="P441" i="1" l="1"/>
  <c r="R441" i="1" l="1"/>
  <c r="Q442" i="1" s="1"/>
  <c r="P442" i="1" l="1"/>
  <c r="R442" i="1" l="1"/>
  <c r="Q443" i="1" s="1"/>
  <c r="P443" i="1" l="1"/>
  <c r="R443" i="1" l="1"/>
  <c r="Q444" i="1" s="1"/>
  <c r="P444" i="1" l="1"/>
  <c r="R444" i="1" l="1"/>
  <c r="Q445" i="1" s="1"/>
  <c r="P445" i="1" l="1"/>
  <c r="R445" i="1" l="1"/>
  <c r="Q446" i="1" s="1"/>
  <c r="P446" i="1" l="1"/>
  <c r="R446" i="1" l="1"/>
  <c r="Q447" i="1" s="1"/>
  <c r="P447" i="1" l="1"/>
  <c r="R447" i="1" l="1"/>
  <c r="Q448" i="1" s="1"/>
  <c r="P448" i="1" l="1"/>
  <c r="R448" i="1" l="1"/>
  <c r="Q449" i="1" s="1"/>
  <c r="P449" i="1" l="1"/>
  <c r="R449" i="1" l="1"/>
  <c r="Q450" i="1" s="1"/>
  <c r="P450" i="1" l="1"/>
  <c r="R450" i="1" l="1"/>
  <c r="Q451" i="1" s="1"/>
  <c r="P451" i="1" l="1"/>
  <c r="R451" i="1" l="1"/>
  <c r="Q452" i="1" s="1"/>
  <c r="P452" i="1" l="1"/>
  <c r="R452" i="1" l="1"/>
  <c r="Q453" i="1" s="1"/>
  <c r="P453" i="1" l="1"/>
  <c r="R453" i="1" l="1"/>
  <c r="Q454" i="1" s="1"/>
  <c r="P454" i="1" l="1"/>
  <c r="R454" i="1" l="1"/>
  <c r="Q455" i="1" s="1"/>
  <c r="P455" i="1" l="1"/>
  <c r="R455" i="1" l="1"/>
  <c r="Q456" i="1" s="1"/>
  <c r="P456" i="1" l="1"/>
  <c r="R456" i="1" l="1"/>
  <c r="Q457" i="1" s="1"/>
  <c r="P457" i="1" l="1"/>
  <c r="R457" i="1" l="1"/>
  <c r="Q458" i="1" s="1"/>
  <c r="P458" i="1" l="1"/>
  <c r="R458" i="1" l="1"/>
  <c r="Q459" i="1" s="1"/>
  <c r="P459" i="1" l="1"/>
  <c r="R459" i="1" l="1"/>
  <c r="Q460" i="1" s="1"/>
  <c r="P460" i="1" l="1"/>
  <c r="R460" i="1" l="1"/>
  <c r="Q461" i="1" s="1"/>
  <c r="P461" i="1" l="1"/>
  <c r="R461" i="1" l="1"/>
  <c r="Q462" i="1" s="1"/>
  <c r="P462" i="1" l="1"/>
  <c r="R462" i="1" l="1"/>
  <c r="Q463" i="1" s="1"/>
  <c r="P463" i="1" l="1"/>
  <c r="R463" i="1" l="1"/>
  <c r="Q464" i="1" s="1"/>
  <c r="P464" i="1" l="1"/>
  <c r="R464" i="1" l="1"/>
  <c r="Q465" i="1" s="1"/>
  <c r="P465" i="1" l="1"/>
  <c r="R465" i="1" l="1"/>
  <c r="Q466" i="1" s="1"/>
  <c r="P466" i="1" l="1"/>
  <c r="R466" i="1" l="1"/>
  <c r="Q467" i="1" s="1"/>
  <c r="P467" i="1" l="1"/>
  <c r="R467" i="1" l="1"/>
  <c r="Q468" i="1" s="1"/>
  <c r="P468" i="1" l="1"/>
  <c r="R468" i="1" l="1"/>
  <c r="Q469" i="1" s="1"/>
  <c r="P469" i="1" l="1"/>
  <c r="R469" i="1" l="1"/>
  <c r="Q470" i="1" s="1"/>
  <c r="P470" i="1" l="1"/>
  <c r="R470" i="1" l="1"/>
  <c r="Q471" i="1" s="1"/>
  <c r="P471" i="1" l="1"/>
  <c r="R471" i="1" l="1"/>
  <c r="Q472" i="1" s="1"/>
  <c r="P472" i="1" l="1"/>
  <c r="R472" i="1" l="1"/>
  <c r="Q473" i="1" s="1"/>
  <c r="P473" i="1" l="1"/>
  <c r="R473" i="1" l="1"/>
  <c r="Q474" i="1" s="1"/>
  <c r="P474" i="1" l="1"/>
  <c r="R474" i="1" l="1"/>
  <c r="Q475" i="1" s="1"/>
  <c r="P475" i="1" l="1"/>
  <c r="R475" i="1" l="1"/>
  <c r="Q476" i="1" s="1"/>
  <c r="P476" i="1" l="1"/>
  <c r="R476" i="1" l="1"/>
  <c r="Q477" i="1" s="1"/>
  <c r="P477" i="1" l="1"/>
  <c r="R477" i="1" l="1"/>
  <c r="Q478" i="1" s="1"/>
  <c r="P478" i="1" l="1"/>
  <c r="R478" i="1" l="1"/>
  <c r="Q479" i="1" s="1"/>
  <c r="P479" i="1" l="1"/>
  <c r="R479" i="1" l="1"/>
  <c r="Q480" i="1" s="1"/>
  <c r="P480" i="1" l="1"/>
  <c r="R480" i="1" l="1"/>
  <c r="Q481" i="1" s="1"/>
  <c r="P481" i="1" l="1"/>
  <c r="R481" i="1" l="1"/>
  <c r="Q482" i="1" s="1"/>
  <c r="P482" i="1" l="1"/>
  <c r="R482" i="1" l="1"/>
  <c r="Q483" i="1" s="1"/>
  <c r="P483" i="1" l="1"/>
  <c r="R483" i="1" l="1"/>
  <c r="Q484" i="1" s="1"/>
  <c r="P484" i="1" l="1"/>
  <c r="R484" i="1" l="1"/>
  <c r="Q485" i="1" s="1"/>
  <c r="P485" i="1" l="1"/>
  <c r="R485" i="1" l="1"/>
  <c r="Q486" i="1" s="1"/>
  <c r="P486" i="1" l="1"/>
  <c r="R486" i="1" l="1"/>
  <c r="Q487" i="1" s="1"/>
  <c r="P487" i="1" l="1"/>
  <c r="R487" i="1" l="1"/>
  <c r="Q488" i="1" s="1"/>
  <c r="P488" i="1" l="1"/>
  <c r="R488" i="1" l="1"/>
  <c r="Q489" i="1" s="1"/>
  <c r="P489" i="1" l="1"/>
  <c r="R489" i="1" l="1"/>
  <c r="Q490" i="1" s="1"/>
  <c r="P490" i="1" l="1"/>
  <c r="R490" i="1" l="1"/>
  <c r="Q491" i="1" s="1"/>
  <c r="P491" i="1" l="1"/>
  <c r="R491" i="1" l="1"/>
  <c r="Q492" i="1" s="1"/>
  <c r="P492" i="1" l="1"/>
  <c r="R492" i="1" l="1"/>
  <c r="Q493" i="1" s="1"/>
  <c r="P493" i="1" l="1"/>
  <c r="R493" i="1" l="1"/>
  <c r="Q494" i="1" s="1"/>
  <c r="P494" i="1" l="1"/>
  <c r="R494" i="1" l="1"/>
  <c r="Q495" i="1" s="1"/>
  <c r="P495" i="1" l="1"/>
  <c r="R495" i="1" l="1"/>
  <c r="Q496" i="1" s="1"/>
  <c r="P496" i="1" l="1"/>
  <c r="R496" i="1" l="1"/>
  <c r="Q497" i="1" s="1"/>
  <c r="P497" i="1" l="1"/>
  <c r="R497" i="1" l="1"/>
  <c r="Q498" i="1" s="1"/>
  <c r="P498" i="1" l="1"/>
  <c r="R498" i="1" l="1"/>
  <c r="Q499" i="1" s="1"/>
  <c r="P499" i="1" l="1"/>
  <c r="R499" i="1" l="1"/>
  <c r="Q500" i="1" s="1"/>
  <c r="P500" i="1" l="1"/>
  <c r="R500" i="1" l="1"/>
  <c r="Q501" i="1" s="1"/>
  <c r="P501" i="1" l="1"/>
  <c r="R501" i="1" l="1"/>
  <c r="Q502" i="1" s="1"/>
  <c r="P502" i="1" l="1"/>
  <c r="R502" i="1" l="1"/>
  <c r="Q503" i="1" s="1"/>
  <c r="P503" i="1" l="1"/>
  <c r="R503" i="1" l="1"/>
  <c r="Q504" i="1" s="1"/>
  <c r="P504" i="1" l="1"/>
  <c r="R504" i="1" l="1"/>
  <c r="Q505" i="1" s="1"/>
  <c r="P505" i="1" l="1"/>
  <c r="R505" i="1" l="1"/>
  <c r="Q506" i="1" s="1"/>
  <c r="P506" i="1" l="1"/>
  <c r="R506" i="1" l="1"/>
  <c r="Q507" i="1" s="1"/>
  <c r="P507" i="1" l="1"/>
  <c r="R507" i="1" l="1"/>
  <c r="Q508" i="1" s="1"/>
  <c r="P508" i="1" l="1"/>
  <c r="R508" i="1" l="1"/>
  <c r="Q509" i="1" s="1"/>
  <c r="P509" i="1" l="1"/>
  <c r="R509" i="1" l="1"/>
  <c r="Q510" i="1" s="1"/>
  <c r="P510" i="1" l="1"/>
  <c r="R510" i="1" l="1"/>
  <c r="Q511" i="1" s="1"/>
  <c r="P511" i="1" l="1"/>
  <c r="R511" i="1" l="1"/>
  <c r="Q512" i="1" s="1"/>
  <c r="P512" i="1" l="1"/>
  <c r="R512" i="1" l="1"/>
  <c r="Q513" i="1" s="1"/>
  <c r="P513" i="1" l="1"/>
  <c r="R513" i="1" l="1"/>
  <c r="Q514" i="1" s="1"/>
  <c r="P514" i="1" l="1"/>
  <c r="R514" i="1" l="1"/>
  <c r="Q515" i="1" s="1"/>
  <c r="P515" i="1" l="1"/>
  <c r="R515" i="1" l="1"/>
  <c r="Q516" i="1" s="1"/>
  <c r="P516" i="1" l="1"/>
  <c r="R516" i="1" l="1"/>
  <c r="Q517" i="1" s="1"/>
  <c r="P517" i="1" l="1"/>
  <c r="R517" i="1" l="1"/>
  <c r="Q518" i="1" s="1"/>
  <c r="P518" i="1" l="1"/>
  <c r="R518" i="1" l="1"/>
  <c r="Q519" i="1" s="1"/>
  <c r="P519" i="1" l="1"/>
  <c r="R519" i="1" l="1"/>
  <c r="Q520" i="1" s="1"/>
  <c r="P520" i="1" l="1"/>
  <c r="R520" i="1" l="1"/>
  <c r="Q521" i="1" s="1"/>
  <c r="P521" i="1" l="1"/>
  <c r="R521" i="1" l="1"/>
  <c r="Q522" i="1" s="1"/>
  <c r="P522" i="1" l="1"/>
  <c r="R522" i="1" l="1"/>
  <c r="Q523" i="1" s="1"/>
  <c r="P523" i="1" l="1"/>
  <c r="R523" i="1" l="1"/>
  <c r="Q524" i="1" s="1"/>
  <c r="P524" i="1" l="1"/>
  <c r="R524" i="1" l="1"/>
  <c r="Q525" i="1" s="1"/>
  <c r="P525" i="1" l="1"/>
  <c r="R525" i="1" l="1"/>
  <c r="Q526" i="1" s="1"/>
  <c r="P526" i="1" l="1"/>
  <c r="R526" i="1" l="1"/>
  <c r="Q527" i="1" s="1"/>
  <c r="P527" i="1" l="1"/>
  <c r="R527" i="1" l="1"/>
  <c r="Q528" i="1" s="1"/>
  <c r="P528" i="1" l="1"/>
  <c r="R528" i="1" l="1"/>
  <c r="Q529" i="1" s="1"/>
  <c r="P529" i="1" l="1"/>
  <c r="R529" i="1" l="1"/>
  <c r="Q530" i="1" s="1"/>
  <c r="P530" i="1" l="1"/>
  <c r="R530" i="1" l="1"/>
  <c r="Q531" i="1" s="1"/>
  <c r="P531" i="1" l="1"/>
  <c r="R531" i="1" l="1"/>
  <c r="Q532" i="1" s="1"/>
  <c r="P532" i="1" l="1"/>
  <c r="R532" i="1" l="1"/>
  <c r="Q533" i="1" s="1"/>
  <c r="P533" i="1" l="1"/>
  <c r="R533" i="1" l="1"/>
  <c r="Q534" i="1" s="1"/>
  <c r="P534" i="1" l="1"/>
  <c r="R534" i="1" l="1"/>
  <c r="Q535" i="1" s="1"/>
  <c r="P535" i="1" l="1"/>
  <c r="R535" i="1" l="1"/>
  <c r="Q536" i="1" s="1"/>
  <c r="P536" i="1" l="1"/>
  <c r="R536" i="1" l="1"/>
  <c r="Q537" i="1" s="1"/>
  <c r="P537" i="1" l="1"/>
  <c r="R537" i="1" l="1"/>
  <c r="Q538" i="1" s="1"/>
  <c r="P538" i="1" l="1"/>
  <c r="R538" i="1" l="1"/>
  <c r="Q539" i="1" s="1"/>
  <c r="P539" i="1" l="1"/>
  <c r="R539" i="1" l="1"/>
  <c r="Q540" i="1" s="1"/>
  <c r="P540" i="1" l="1"/>
  <c r="R540" i="1" l="1"/>
  <c r="Q541" i="1" s="1"/>
  <c r="P541" i="1" l="1"/>
  <c r="R541" i="1" l="1"/>
  <c r="Q542" i="1" s="1"/>
  <c r="P542" i="1" l="1"/>
  <c r="R542" i="1" l="1"/>
  <c r="Q543" i="1" s="1"/>
  <c r="P543" i="1" l="1"/>
  <c r="R543" i="1" l="1"/>
  <c r="Q544" i="1" s="1"/>
  <c r="P544" i="1" l="1"/>
  <c r="R544" i="1" l="1"/>
  <c r="Q545" i="1" s="1"/>
  <c r="P545" i="1" l="1"/>
  <c r="R545" i="1" l="1"/>
  <c r="Q546" i="1" s="1"/>
  <c r="P546" i="1" l="1"/>
  <c r="R546" i="1" l="1"/>
  <c r="Q547" i="1" s="1"/>
  <c r="P547" i="1" l="1"/>
  <c r="R547" i="1" l="1"/>
  <c r="Q548" i="1" s="1"/>
  <c r="P548" i="1" l="1"/>
  <c r="R548" i="1" l="1"/>
  <c r="Q549" i="1" s="1"/>
  <c r="P549" i="1" l="1"/>
  <c r="R549" i="1" l="1"/>
  <c r="Q550" i="1" s="1"/>
  <c r="P550" i="1" l="1"/>
  <c r="R550" i="1" l="1"/>
  <c r="Q551" i="1" s="1"/>
  <c r="P551" i="1" l="1"/>
  <c r="R551" i="1" l="1"/>
  <c r="Q552" i="1" s="1"/>
  <c r="P552" i="1" l="1"/>
  <c r="R552" i="1" l="1"/>
  <c r="Q553" i="1" s="1"/>
  <c r="P553" i="1" l="1"/>
  <c r="R553" i="1" l="1"/>
  <c r="Q554" i="1" s="1"/>
  <c r="P554" i="1" l="1"/>
  <c r="R554" i="1" l="1"/>
  <c r="Q555" i="1" s="1"/>
  <c r="P555" i="1" l="1"/>
  <c r="R555" i="1" l="1"/>
  <c r="Q556" i="1" s="1"/>
  <c r="P556" i="1" l="1"/>
  <c r="R556" i="1" l="1"/>
  <c r="Q557" i="1" s="1"/>
  <c r="P557" i="1" l="1"/>
  <c r="R557" i="1" l="1"/>
  <c r="Q558" i="1" s="1"/>
  <c r="P558" i="1" l="1"/>
  <c r="R558" i="1" l="1"/>
  <c r="Q559" i="1" s="1"/>
  <c r="P559" i="1" l="1"/>
  <c r="R559" i="1" l="1"/>
  <c r="Q560" i="1" s="1"/>
  <c r="P560" i="1" l="1"/>
  <c r="R560" i="1" l="1"/>
  <c r="Q561" i="1" s="1"/>
  <c r="P561" i="1" l="1"/>
  <c r="R561" i="1" l="1"/>
  <c r="Q562" i="1" s="1"/>
  <c r="P562" i="1" l="1"/>
  <c r="R562" i="1" l="1"/>
  <c r="Q563" i="1" s="1"/>
  <c r="P563" i="1" l="1"/>
  <c r="R563" i="1" l="1"/>
  <c r="Q564" i="1" s="1"/>
  <c r="P564" i="1" l="1"/>
  <c r="R564" i="1" l="1"/>
  <c r="Q565" i="1" s="1"/>
  <c r="P565" i="1" l="1"/>
  <c r="R565" i="1" l="1"/>
  <c r="Q566" i="1" s="1"/>
  <c r="P566" i="1" l="1"/>
  <c r="R566" i="1" l="1"/>
  <c r="Q567" i="1" s="1"/>
  <c r="P567" i="1" l="1"/>
  <c r="R567" i="1" l="1"/>
  <c r="Q568" i="1" s="1"/>
  <c r="P568" i="1" l="1"/>
  <c r="R568" i="1" l="1"/>
  <c r="Q569" i="1" s="1"/>
  <c r="P569" i="1" l="1"/>
  <c r="R569" i="1" l="1"/>
  <c r="Q570" i="1" s="1"/>
  <c r="P570" i="1" l="1"/>
  <c r="R570" i="1" l="1"/>
  <c r="Q571" i="1" s="1"/>
  <c r="P571" i="1" l="1"/>
  <c r="R571" i="1" l="1"/>
  <c r="Q572" i="1" s="1"/>
  <c r="P572" i="1" l="1"/>
  <c r="R572" i="1" l="1"/>
  <c r="Q573" i="1" s="1"/>
  <c r="P573" i="1" l="1"/>
  <c r="R573" i="1" l="1"/>
  <c r="Q574" i="1" s="1"/>
  <c r="P574" i="1" l="1"/>
  <c r="R574" i="1" l="1"/>
  <c r="Q575" i="1" s="1"/>
  <c r="P575" i="1" l="1"/>
  <c r="R575" i="1" l="1"/>
  <c r="Q576" i="1" s="1"/>
  <c r="P576" i="1" l="1"/>
  <c r="R576" i="1" l="1"/>
  <c r="Q577" i="1" s="1"/>
  <c r="P577" i="1" l="1"/>
  <c r="R577" i="1" l="1"/>
  <c r="Q578" i="1" s="1"/>
  <c r="P578" i="1" l="1"/>
  <c r="R578" i="1" l="1"/>
  <c r="Q579" i="1" s="1"/>
  <c r="P579" i="1" l="1"/>
  <c r="R579" i="1" l="1"/>
  <c r="Q580" i="1" s="1"/>
  <c r="P580" i="1" l="1"/>
  <c r="R580" i="1" l="1"/>
  <c r="Q581" i="1" s="1"/>
  <c r="P581" i="1" l="1"/>
  <c r="R581" i="1" l="1"/>
  <c r="Q582" i="1" s="1"/>
  <c r="P582" i="1" l="1"/>
  <c r="R582" i="1" l="1"/>
  <c r="Q583" i="1" s="1"/>
  <c r="P583" i="1" l="1"/>
  <c r="R583" i="1" l="1"/>
  <c r="Q584" i="1" s="1"/>
  <c r="P584" i="1" l="1"/>
  <c r="R584" i="1" l="1"/>
  <c r="Q585" i="1" s="1"/>
  <c r="P585" i="1" l="1"/>
  <c r="R585" i="1" l="1"/>
  <c r="Q586" i="1" s="1"/>
  <c r="P586" i="1" l="1"/>
  <c r="R586" i="1" l="1"/>
  <c r="Q587" i="1" s="1"/>
  <c r="P587" i="1" l="1"/>
  <c r="R587" i="1" l="1"/>
  <c r="Q588" i="1" s="1"/>
  <c r="P588" i="1" l="1"/>
  <c r="R588" i="1" l="1"/>
  <c r="Q589" i="1" s="1"/>
  <c r="P589" i="1" l="1"/>
  <c r="R589" i="1" l="1"/>
  <c r="Q590" i="1" s="1"/>
  <c r="P590" i="1" l="1"/>
  <c r="R590" i="1" l="1"/>
  <c r="Q591" i="1" s="1"/>
  <c r="P591" i="1" l="1"/>
  <c r="R591" i="1" l="1"/>
  <c r="Q592" i="1" s="1"/>
  <c r="P592" i="1" l="1"/>
  <c r="R592" i="1" l="1"/>
  <c r="Q593" i="1" s="1"/>
  <c r="P593" i="1" l="1"/>
  <c r="R593" i="1" l="1"/>
  <c r="Q594" i="1" s="1"/>
  <c r="P594" i="1" l="1"/>
  <c r="R594" i="1" l="1"/>
  <c r="Q595" i="1" s="1"/>
  <c r="P595" i="1" l="1"/>
  <c r="R595" i="1" l="1"/>
  <c r="Q596" i="1" s="1"/>
  <c r="P596" i="1" l="1"/>
  <c r="R596" i="1" l="1"/>
  <c r="Q597" i="1" s="1"/>
  <c r="P597" i="1" l="1"/>
  <c r="R597" i="1" l="1"/>
  <c r="Q598" i="1" s="1"/>
  <c r="P598" i="1" l="1"/>
  <c r="R598" i="1" l="1"/>
  <c r="Q599" i="1" s="1"/>
  <c r="P599" i="1" l="1"/>
  <c r="R599" i="1" l="1"/>
  <c r="Q600" i="1" s="1"/>
  <c r="P600" i="1" l="1"/>
  <c r="R600" i="1" l="1"/>
  <c r="Q601" i="1" s="1"/>
  <c r="P601" i="1" l="1"/>
  <c r="R601" i="1" l="1"/>
  <c r="Q602" i="1" s="1"/>
  <c r="P602" i="1" l="1"/>
  <c r="R602" i="1" l="1"/>
  <c r="Q603" i="1" s="1"/>
  <c r="P603" i="1" l="1"/>
  <c r="R603" i="1" l="1"/>
  <c r="Q604" i="1" s="1"/>
  <c r="P604" i="1" l="1"/>
  <c r="R604" i="1" l="1"/>
  <c r="Q605" i="1" s="1"/>
  <c r="P605" i="1" l="1"/>
  <c r="R605" i="1" l="1"/>
  <c r="Q606" i="1" s="1"/>
  <c r="P606" i="1" l="1"/>
  <c r="R606" i="1" l="1"/>
  <c r="Q607" i="1" s="1"/>
  <c r="P607" i="1" l="1"/>
  <c r="R607" i="1" l="1"/>
  <c r="Q608" i="1" s="1"/>
  <c r="P608" i="1" l="1"/>
  <c r="R608" i="1" l="1"/>
  <c r="Q609" i="1" s="1"/>
  <c r="P609" i="1" l="1"/>
  <c r="R609" i="1" l="1"/>
  <c r="Q610" i="1" s="1"/>
  <c r="P610" i="1" l="1"/>
  <c r="R610" i="1" l="1"/>
  <c r="Q611" i="1" s="1"/>
  <c r="P611" i="1" l="1"/>
  <c r="R611" i="1" l="1"/>
  <c r="Q612" i="1" s="1"/>
  <c r="P612" i="1" l="1"/>
  <c r="R612" i="1" l="1"/>
  <c r="Q613" i="1" s="1"/>
  <c r="P613" i="1" l="1"/>
  <c r="R613" i="1" l="1"/>
  <c r="Q614" i="1" s="1"/>
  <c r="P614" i="1" l="1"/>
  <c r="R614" i="1" l="1"/>
  <c r="Q615" i="1" s="1"/>
  <c r="P615" i="1" l="1"/>
  <c r="R615" i="1" l="1"/>
  <c r="Q616" i="1" s="1"/>
  <c r="P616" i="1" l="1"/>
  <c r="R616" i="1" l="1"/>
  <c r="Q617" i="1" s="1"/>
  <c r="P617" i="1" l="1"/>
  <c r="R617" i="1" l="1"/>
  <c r="Q618" i="1" s="1"/>
  <c r="P618" i="1" l="1"/>
  <c r="R618" i="1" l="1"/>
  <c r="Q619" i="1" s="1"/>
  <c r="P619" i="1" l="1"/>
  <c r="R619" i="1" l="1"/>
  <c r="Q620" i="1" s="1"/>
  <c r="P620" i="1" l="1"/>
  <c r="R620" i="1" l="1"/>
  <c r="Q621" i="1" s="1"/>
  <c r="P621" i="1" l="1"/>
  <c r="R621" i="1" l="1"/>
  <c r="Q622" i="1" s="1"/>
  <c r="P622" i="1" l="1"/>
  <c r="R622" i="1" l="1"/>
  <c r="Q623" i="1" s="1"/>
  <c r="P623" i="1" l="1"/>
  <c r="R623" i="1" l="1"/>
  <c r="Q624" i="1" s="1"/>
  <c r="P624" i="1" l="1"/>
  <c r="R624" i="1" l="1"/>
  <c r="Q625" i="1" s="1"/>
  <c r="P625" i="1" l="1"/>
  <c r="R625" i="1" l="1"/>
  <c r="Q626" i="1" s="1"/>
  <c r="P626" i="1" l="1"/>
  <c r="R626" i="1" l="1"/>
  <c r="Q627" i="1" s="1"/>
  <c r="P627" i="1" l="1"/>
  <c r="R627" i="1" l="1"/>
  <c r="Q628" i="1" s="1"/>
  <c r="P628" i="1" l="1"/>
  <c r="R628" i="1" l="1"/>
  <c r="Q629" i="1" s="1"/>
  <c r="P629" i="1" l="1"/>
  <c r="R629" i="1" l="1"/>
  <c r="Q630" i="1" s="1"/>
  <c r="P630" i="1" l="1"/>
  <c r="R630" i="1" l="1"/>
  <c r="Q631" i="1" s="1"/>
  <c r="P631" i="1" l="1"/>
  <c r="R631" i="1" l="1"/>
  <c r="Q632" i="1" s="1"/>
  <c r="P632" i="1" l="1"/>
  <c r="R632" i="1" l="1"/>
  <c r="Q633" i="1" s="1"/>
  <c r="P633" i="1" l="1"/>
  <c r="R633" i="1" l="1"/>
  <c r="Q634" i="1" s="1"/>
  <c r="P634" i="1" l="1"/>
  <c r="R634" i="1" l="1"/>
  <c r="Q635" i="1" s="1"/>
  <c r="P635" i="1" l="1"/>
  <c r="R635" i="1" l="1"/>
  <c r="Q636" i="1" s="1"/>
  <c r="P636" i="1" l="1"/>
  <c r="R636" i="1" l="1"/>
  <c r="Q637" i="1" s="1"/>
  <c r="P637" i="1" l="1"/>
  <c r="R637" i="1" l="1"/>
  <c r="Q638" i="1" s="1"/>
  <c r="P638" i="1" l="1"/>
  <c r="R638" i="1" l="1"/>
  <c r="Q639" i="1" s="1"/>
  <c r="P639" i="1" l="1"/>
  <c r="R639" i="1" l="1"/>
  <c r="Q640" i="1" s="1"/>
  <c r="P640" i="1" l="1"/>
  <c r="R640" i="1" l="1"/>
  <c r="Q641" i="1" s="1"/>
  <c r="P641" i="1" l="1"/>
  <c r="R641" i="1" l="1"/>
  <c r="Q642" i="1" s="1"/>
  <c r="P642" i="1" l="1"/>
  <c r="R642" i="1" l="1"/>
  <c r="Q643" i="1" s="1"/>
  <c r="P643" i="1" l="1"/>
  <c r="R643" i="1" l="1"/>
  <c r="Q644" i="1" s="1"/>
  <c r="P644" i="1" l="1"/>
  <c r="R644" i="1" l="1"/>
  <c r="Q645" i="1" s="1"/>
  <c r="P645" i="1" l="1"/>
  <c r="R645" i="1" l="1"/>
  <c r="Q646" i="1" s="1"/>
  <c r="P646" i="1" l="1"/>
  <c r="R646" i="1" l="1"/>
  <c r="Q647" i="1" s="1"/>
  <c r="P647" i="1" l="1"/>
  <c r="R647" i="1" l="1"/>
  <c r="Q648" i="1" s="1"/>
  <c r="P648" i="1" l="1"/>
  <c r="R648" i="1" l="1"/>
  <c r="Q649" i="1" s="1"/>
  <c r="P649" i="1" l="1"/>
  <c r="R649" i="1" l="1"/>
  <c r="Q650" i="1" s="1"/>
  <c r="P650" i="1" l="1"/>
  <c r="R650" i="1" l="1"/>
  <c r="Q651" i="1" s="1"/>
  <c r="P651" i="1" l="1"/>
  <c r="R651" i="1" l="1"/>
  <c r="Q652" i="1" s="1"/>
  <c r="P652" i="1" l="1"/>
  <c r="R652" i="1" l="1"/>
  <c r="Q653" i="1" s="1"/>
  <c r="P653" i="1" l="1"/>
  <c r="R653" i="1" l="1"/>
  <c r="Q654" i="1" s="1"/>
  <c r="P654" i="1" l="1"/>
  <c r="R654" i="1" l="1"/>
  <c r="Q655" i="1" s="1"/>
  <c r="P655" i="1" l="1"/>
  <c r="R655" i="1" l="1"/>
  <c r="Q656" i="1" s="1"/>
  <c r="P656" i="1" l="1"/>
  <c r="R656" i="1" l="1"/>
  <c r="Q657" i="1" s="1"/>
  <c r="P657" i="1" l="1"/>
  <c r="R657" i="1" l="1"/>
  <c r="Q658" i="1" s="1"/>
  <c r="P658" i="1" l="1"/>
  <c r="R658" i="1" l="1"/>
  <c r="Q659" i="1" s="1"/>
  <c r="P659" i="1" l="1"/>
  <c r="R659" i="1" l="1"/>
  <c r="Q660" i="1" s="1"/>
  <c r="P660" i="1" l="1"/>
  <c r="R660" i="1" l="1"/>
  <c r="Q661" i="1" s="1"/>
  <c r="P661" i="1" l="1"/>
  <c r="R661" i="1" l="1"/>
  <c r="Q662" i="1" s="1"/>
  <c r="P662" i="1" l="1"/>
  <c r="R662" i="1" l="1"/>
  <c r="Q663" i="1" s="1"/>
  <c r="P663" i="1" l="1"/>
  <c r="R663" i="1" l="1"/>
  <c r="Q664" i="1" s="1"/>
  <c r="P664" i="1" l="1"/>
  <c r="R664" i="1" l="1"/>
  <c r="Q665" i="1" s="1"/>
  <c r="P665" i="1" l="1"/>
  <c r="R665" i="1" l="1"/>
  <c r="Q666" i="1" s="1"/>
  <c r="P666" i="1" l="1"/>
  <c r="R666" i="1" l="1"/>
  <c r="Q667" i="1" s="1"/>
  <c r="P667" i="1" l="1"/>
  <c r="R667" i="1" l="1"/>
  <c r="Q668" i="1" s="1"/>
  <c r="P668" i="1" l="1"/>
  <c r="R668" i="1" l="1"/>
  <c r="Q669" i="1" s="1"/>
  <c r="P669" i="1" l="1"/>
  <c r="R669" i="1" l="1"/>
  <c r="Q670" i="1" s="1"/>
  <c r="P670" i="1" l="1"/>
  <c r="R670" i="1" l="1"/>
  <c r="Q671" i="1" s="1"/>
  <c r="P671" i="1" l="1"/>
  <c r="R671" i="1" l="1"/>
  <c r="Q672" i="1" s="1"/>
  <c r="P672" i="1" l="1"/>
  <c r="R672" i="1" l="1"/>
  <c r="Q673" i="1" s="1"/>
  <c r="P673" i="1" l="1"/>
  <c r="R673" i="1" l="1"/>
  <c r="Q674" i="1" s="1"/>
  <c r="P674" i="1" l="1"/>
  <c r="R674" i="1" l="1"/>
  <c r="Q675" i="1" s="1"/>
  <c r="P675" i="1" l="1"/>
  <c r="R675" i="1" l="1"/>
  <c r="Q676" i="1" s="1"/>
  <c r="P676" i="1" l="1"/>
  <c r="R676" i="1" l="1"/>
  <c r="Q677" i="1" s="1"/>
  <c r="P677" i="1" l="1"/>
  <c r="R677" i="1" l="1"/>
  <c r="Q678" i="1" s="1"/>
  <c r="P678" i="1" l="1"/>
  <c r="R678" i="1" l="1"/>
  <c r="Q679" i="1" s="1"/>
  <c r="P679" i="1" l="1"/>
  <c r="R679" i="1" l="1"/>
  <c r="Q680" i="1" s="1"/>
  <c r="P680" i="1" l="1"/>
  <c r="R680" i="1" l="1"/>
  <c r="Q681" i="1" s="1"/>
  <c r="P681" i="1" l="1"/>
  <c r="R681" i="1" l="1"/>
  <c r="Q682" i="1" s="1"/>
  <c r="P682" i="1" l="1"/>
  <c r="R682" i="1" l="1"/>
  <c r="Q683" i="1" s="1"/>
  <c r="P683" i="1" l="1"/>
  <c r="R683" i="1" l="1"/>
  <c r="Q684" i="1" s="1"/>
  <c r="P684" i="1" l="1"/>
  <c r="R684" i="1" l="1"/>
  <c r="Q685" i="1" s="1"/>
  <c r="P685" i="1" l="1"/>
  <c r="R685" i="1" l="1"/>
  <c r="Q686" i="1" s="1"/>
  <c r="P686" i="1" l="1"/>
  <c r="R686" i="1" l="1"/>
  <c r="Q687" i="1" s="1"/>
  <c r="P687" i="1" l="1"/>
  <c r="R687" i="1" l="1"/>
  <c r="Q688" i="1" s="1"/>
  <c r="P688" i="1" l="1"/>
  <c r="R688" i="1" l="1"/>
  <c r="Q689" i="1" s="1"/>
  <c r="P689" i="1" l="1"/>
  <c r="R689" i="1" l="1"/>
  <c r="Q690" i="1" s="1"/>
  <c r="P690" i="1" l="1"/>
  <c r="R690" i="1" l="1"/>
  <c r="Q691" i="1" s="1"/>
  <c r="P691" i="1" l="1"/>
  <c r="R691" i="1" l="1"/>
  <c r="Q692" i="1" s="1"/>
  <c r="P692" i="1" l="1"/>
  <c r="R692" i="1" l="1"/>
  <c r="Q693" i="1" s="1"/>
  <c r="P693" i="1" l="1"/>
  <c r="R693" i="1" l="1"/>
  <c r="Q694" i="1" s="1"/>
  <c r="P694" i="1" l="1"/>
  <c r="R694" i="1" l="1"/>
  <c r="Q695" i="1" s="1"/>
  <c r="P695" i="1" l="1"/>
  <c r="R695" i="1" l="1"/>
  <c r="Q696" i="1" s="1"/>
  <c r="P696" i="1" l="1"/>
  <c r="R696" i="1" l="1"/>
  <c r="Q697" i="1" s="1"/>
  <c r="P697" i="1" l="1"/>
  <c r="R697" i="1" l="1"/>
  <c r="Q698" i="1" s="1"/>
  <c r="P698" i="1" l="1"/>
  <c r="R698" i="1" l="1"/>
  <c r="Q699" i="1" s="1"/>
  <c r="P699" i="1" l="1"/>
  <c r="R699" i="1" l="1"/>
  <c r="Q700" i="1" s="1"/>
  <c r="P700" i="1" l="1"/>
  <c r="R700" i="1" l="1"/>
  <c r="Q701" i="1" s="1"/>
  <c r="P701" i="1" l="1"/>
  <c r="R701" i="1" l="1"/>
  <c r="Q702" i="1" s="1"/>
  <c r="P702" i="1" l="1"/>
  <c r="R702" i="1" l="1"/>
  <c r="Q703" i="1" s="1"/>
  <c r="P703" i="1" l="1"/>
  <c r="R703" i="1" l="1"/>
  <c r="Q704" i="1" s="1"/>
  <c r="P704" i="1" l="1"/>
  <c r="R704" i="1" l="1"/>
  <c r="Q705" i="1" s="1"/>
  <c r="P705" i="1" l="1"/>
  <c r="R705" i="1" l="1"/>
  <c r="Q706" i="1" s="1"/>
  <c r="P706" i="1" l="1"/>
  <c r="R706" i="1" l="1"/>
  <c r="Q707" i="1" s="1"/>
  <c r="P707" i="1" l="1"/>
  <c r="R707" i="1" l="1"/>
  <c r="Q708" i="1" s="1"/>
  <c r="P708" i="1" l="1"/>
  <c r="R708" i="1" l="1"/>
  <c r="Q709" i="1" s="1"/>
  <c r="P709" i="1" l="1"/>
  <c r="R709" i="1" l="1"/>
  <c r="Q710" i="1" s="1"/>
  <c r="P710" i="1" l="1"/>
  <c r="R710" i="1" l="1"/>
  <c r="Q711" i="1" s="1"/>
  <c r="P711" i="1" l="1"/>
  <c r="R711" i="1" l="1"/>
  <c r="Q712" i="1" s="1"/>
  <c r="P712" i="1" l="1"/>
  <c r="R712" i="1" l="1"/>
  <c r="Q713" i="1" s="1"/>
  <c r="P713" i="1" l="1"/>
  <c r="R713" i="1" l="1"/>
  <c r="Q714" i="1" s="1"/>
  <c r="P714" i="1" l="1"/>
  <c r="R714" i="1" l="1"/>
  <c r="Q715" i="1" s="1"/>
  <c r="P715" i="1" l="1"/>
  <c r="R715" i="1" l="1"/>
  <c r="Q716" i="1" s="1"/>
  <c r="P716" i="1" l="1"/>
  <c r="R716" i="1" l="1"/>
  <c r="Q717" i="1" s="1"/>
  <c r="P717" i="1" l="1"/>
  <c r="R717" i="1" l="1"/>
  <c r="Q718" i="1" s="1"/>
  <c r="P718" i="1" l="1"/>
  <c r="R718" i="1" l="1"/>
  <c r="Q719" i="1" s="1"/>
  <c r="P719" i="1" l="1"/>
  <c r="R719" i="1" l="1"/>
  <c r="Q720" i="1" s="1"/>
  <c r="P720" i="1" l="1"/>
  <c r="R720" i="1" l="1"/>
  <c r="Q721" i="1" s="1"/>
  <c r="P721" i="1" l="1"/>
  <c r="R721" i="1" l="1"/>
  <c r="Q722" i="1" s="1"/>
  <c r="P722" i="1" l="1"/>
  <c r="R722" i="1" l="1"/>
  <c r="Q723" i="1" s="1"/>
  <c r="P723" i="1" l="1"/>
  <c r="R723" i="1" l="1"/>
  <c r="Q724" i="1" s="1"/>
  <c r="P724" i="1" l="1"/>
  <c r="R724" i="1" l="1"/>
  <c r="Q725" i="1" s="1"/>
  <c r="P725" i="1" l="1"/>
  <c r="R725" i="1" l="1"/>
  <c r="Q726" i="1" s="1"/>
  <c r="P726" i="1" l="1"/>
  <c r="R726" i="1" l="1"/>
  <c r="Q727" i="1" s="1"/>
  <c r="P727" i="1" l="1"/>
  <c r="R727" i="1" l="1"/>
  <c r="Q728" i="1" s="1"/>
  <c r="P728" i="1" l="1"/>
  <c r="R728" i="1" l="1"/>
  <c r="Q729" i="1" s="1"/>
  <c r="P729" i="1" l="1"/>
  <c r="R729" i="1" l="1"/>
  <c r="Q730" i="1" s="1"/>
  <c r="P730" i="1" l="1"/>
  <c r="R730" i="1" l="1"/>
  <c r="Q731" i="1" s="1"/>
  <c r="P731" i="1" l="1"/>
  <c r="R731" i="1" l="1"/>
  <c r="Q732" i="1" s="1"/>
  <c r="P732" i="1" l="1"/>
  <c r="R732" i="1" l="1"/>
  <c r="Q733" i="1" s="1"/>
  <c r="P733" i="1" l="1"/>
  <c r="R733" i="1" l="1"/>
  <c r="Q734" i="1" s="1"/>
  <c r="P734" i="1" l="1"/>
  <c r="R734" i="1" l="1"/>
  <c r="Q735" i="1" s="1"/>
  <c r="P735" i="1" l="1"/>
  <c r="R735" i="1" l="1"/>
  <c r="Q736" i="1" s="1"/>
  <c r="P736" i="1" l="1"/>
  <c r="R736" i="1" l="1"/>
  <c r="Q737" i="1" s="1"/>
  <c r="P737" i="1" l="1"/>
  <c r="R737" i="1" l="1"/>
  <c r="Q738" i="1" s="1"/>
  <c r="P738" i="1" l="1"/>
  <c r="R738" i="1" l="1"/>
  <c r="Q739" i="1" s="1"/>
  <c r="P739" i="1" l="1"/>
  <c r="R739" i="1" l="1"/>
  <c r="Q740" i="1" s="1"/>
  <c r="P740" i="1" l="1"/>
  <c r="R740" i="1" l="1"/>
  <c r="Q741" i="1" s="1"/>
  <c r="P741" i="1" l="1"/>
  <c r="R741" i="1" l="1"/>
  <c r="Q742" i="1" s="1"/>
  <c r="P742" i="1" l="1"/>
  <c r="R742" i="1" l="1"/>
  <c r="Q743" i="1" s="1"/>
  <c r="P743" i="1" l="1"/>
  <c r="R743" i="1" l="1"/>
  <c r="Q744" i="1" s="1"/>
  <c r="P744" i="1" l="1"/>
  <c r="R744" i="1" l="1"/>
  <c r="Q745" i="1" s="1"/>
  <c r="P745" i="1" l="1"/>
  <c r="R745" i="1" l="1"/>
  <c r="Q746" i="1" s="1"/>
  <c r="P746" i="1" l="1"/>
  <c r="R746" i="1" l="1"/>
  <c r="Q747" i="1" s="1"/>
  <c r="P747" i="1" l="1"/>
  <c r="R747" i="1" l="1"/>
  <c r="Q748" i="1" s="1"/>
  <c r="P748" i="1" l="1"/>
  <c r="R748" i="1" l="1"/>
  <c r="Q749" i="1" s="1"/>
  <c r="P749" i="1" l="1"/>
  <c r="R749" i="1" l="1"/>
  <c r="Q750" i="1" s="1"/>
  <c r="P750" i="1" l="1"/>
  <c r="R750" i="1" l="1"/>
  <c r="Q751" i="1" s="1"/>
  <c r="P751" i="1" l="1"/>
  <c r="R751" i="1" l="1"/>
  <c r="Q752" i="1" s="1"/>
  <c r="P752" i="1" l="1"/>
  <c r="R752" i="1" l="1"/>
  <c r="Q753" i="1" s="1"/>
  <c r="P753" i="1" l="1"/>
  <c r="R753" i="1" l="1"/>
  <c r="Q754" i="1" s="1"/>
  <c r="P754" i="1" l="1"/>
  <c r="R754" i="1" l="1"/>
  <c r="Q755" i="1" s="1"/>
  <c r="P755" i="1" l="1"/>
  <c r="R755" i="1" l="1"/>
  <c r="Q756" i="1" s="1"/>
  <c r="P756" i="1" l="1"/>
  <c r="R756" i="1" l="1"/>
  <c r="Q757" i="1" s="1"/>
  <c r="P757" i="1" l="1"/>
  <c r="R757" i="1" l="1"/>
  <c r="Q758" i="1" s="1"/>
  <c r="P758" i="1" l="1"/>
  <c r="R758" i="1" l="1"/>
  <c r="Q759" i="1" s="1"/>
  <c r="P759" i="1" l="1"/>
  <c r="R759" i="1" l="1"/>
  <c r="Q760" i="1" s="1"/>
  <c r="P760" i="1" l="1"/>
  <c r="R760" i="1" l="1"/>
  <c r="Q761" i="1" s="1"/>
  <c r="P761" i="1" l="1"/>
  <c r="R761" i="1" l="1"/>
  <c r="Q762" i="1" s="1"/>
  <c r="P762" i="1" l="1"/>
  <c r="R762" i="1" l="1"/>
  <c r="Q763" i="1" s="1"/>
  <c r="P763" i="1" l="1"/>
  <c r="R763" i="1" l="1"/>
  <c r="Q764" i="1" s="1"/>
  <c r="P764" i="1" l="1"/>
  <c r="R764" i="1" l="1"/>
  <c r="Q765" i="1" s="1"/>
  <c r="P765" i="1" l="1"/>
  <c r="R765" i="1" l="1"/>
  <c r="Q766" i="1" s="1"/>
  <c r="P766" i="1" l="1"/>
  <c r="R766" i="1" l="1"/>
  <c r="Q767" i="1" s="1"/>
  <c r="P767" i="1" l="1"/>
  <c r="R767" i="1" l="1"/>
  <c r="Q768" i="1" s="1"/>
  <c r="P768" i="1" l="1"/>
  <c r="R768" i="1" l="1"/>
  <c r="Q769" i="1" s="1"/>
  <c r="P769" i="1" l="1"/>
  <c r="R769" i="1" l="1"/>
  <c r="Q770" i="1" s="1"/>
  <c r="P770" i="1" l="1"/>
  <c r="R770" i="1" l="1"/>
  <c r="Q771" i="1" s="1"/>
  <c r="P771" i="1" l="1"/>
  <c r="R771" i="1" l="1"/>
  <c r="Q772" i="1" s="1"/>
  <c r="P772" i="1" l="1"/>
  <c r="R772" i="1" l="1"/>
  <c r="Q773" i="1" s="1"/>
  <c r="P773" i="1" l="1"/>
  <c r="R773" i="1" l="1"/>
  <c r="Q774" i="1" s="1"/>
  <c r="P774" i="1" l="1"/>
  <c r="R774" i="1" l="1"/>
  <c r="Q775" i="1" s="1"/>
  <c r="P775" i="1" l="1"/>
  <c r="R775" i="1" l="1"/>
  <c r="Q776" i="1" s="1"/>
  <c r="P776" i="1" l="1"/>
  <c r="R776" i="1" l="1"/>
  <c r="Q777" i="1" s="1"/>
  <c r="P777" i="1" l="1"/>
  <c r="R777" i="1" l="1"/>
  <c r="Q778" i="1" s="1"/>
  <c r="P778" i="1" l="1"/>
  <c r="R778" i="1" l="1"/>
  <c r="Q779" i="1" s="1"/>
  <c r="P779" i="1" l="1"/>
  <c r="R779" i="1" l="1"/>
  <c r="Q780" i="1" s="1"/>
  <c r="P780" i="1" l="1"/>
  <c r="R780" i="1" l="1"/>
  <c r="Q781" i="1" s="1"/>
  <c r="P781" i="1" l="1"/>
  <c r="R781" i="1" l="1"/>
  <c r="Q782" i="1" s="1"/>
  <c r="P782" i="1" l="1"/>
  <c r="R782" i="1" l="1"/>
  <c r="Q783" i="1" s="1"/>
  <c r="P783" i="1" l="1"/>
  <c r="R783" i="1" l="1"/>
  <c r="Q784" i="1" s="1"/>
  <c r="P784" i="1" l="1"/>
  <c r="R784" i="1" l="1"/>
  <c r="Q785" i="1" s="1"/>
  <c r="P785" i="1" l="1"/>
  <c r="R785" i="1" l="1"/>
  <c r="Q786" i="1" s="1"/>
  <c r="P786" i="1" l="1"/>
  <c r="R786" i="1" l="1"/>
  <c r="Q787" i="1" s="1"/>
  <c r="P787" i="1" l="1"/>
  <c r="R787" i="1" l="1"/>
  <c r="Q788" i="1" s="1"/>
  <c r="P788" i="1" l="1"/>
  <c r="R788" i="1" l="1"/>
  <c r="Q789" i="1" s="1"/>
  <c r="P789" i="1" l="1"/>
  <c r="R789" i="1" l="1"/>
  <c r="Q790" i="1" s="1"/>
  <c r="P790" i="1" l="1"/>
  <c r="R790" i="1" l="1"/>
  <c r="Q791" i="1" s="1"/>
  <c r="P791" i="1" l="1"/>
  <c r="R791" i="1" l="1"/>
  <c r="Q792" i="1" s="1"/>
  <c r="P792" i="1" l="1"/>
  <c r="R792" i="1" l="1"/>
  <c r="Q793" i="1" s="1"/>
  <c r="P793" i="1" l="1"/>
  <c r="R793" i="1" l="1"/>
  <c r="Q794" i="1" s="1"/>
  <c r="P794" i="1" l="1"/>
  <c r="R794" i="1" l="1"/>
  <c r="Q795" i="1" s="1"/>
  <c r="P795" i="1" l="1"/>
  <c r="R795" i="1" l="1"/>
  <c r="Q796" i="1" s="1"/>
  <c r="P796" i="1" l="1"/>
  <c r="R796" i="1" l="1"/>
  <c r="Q797" i="1" s="1"/>
  <c r="P797" i="1" l="1"/>
  <c r="R797" i="1" l="1"/>
  <c r="Q798" i="1" s="1"/>
  <c r="P798" i="1" l="1"/>
  <c r="R798" i="1" l="1"/>
  <c r="Q799" i="1" s="1"/>
  <c r="P799" i="1" l="1"/>
  <c r="R799" i="1" l="1"/>
  <c r="Q800" i="1" s="1"/>
  <c r="P800" i="1" l="1"/>
  <c r="R800" i="1" l="1"/>
  <c r="Q801" i="1" s="1"/>
  <c r="P801" i="1" l="1"/>
  <c r="R801" i="1" l="1"/>
  <c r="Q802" i="1" s="1"/>
  <c r="P802" i="1" l="1"/>
  <c r="R802" i="1" l="1"/>
  <c r="Q803" i="1" s="1"/>
  <c r="P803" i="1" l="1"/>
  <c r="R803" i="1" l="1"/>
  <c r="Q804" i="1" s="1"/>
  <c r="P804" i="1" l="1"/>
  <c r="R804" i="1" l="1"/>
  <c r="Q805" i="1" s="1"/>
  <c r="P805" i="1" l="1"/>
  <c r="R805" i="1" l="1"/>
  <c r="Q806" i="1" s="1"/>
  <c r="P806" i="1" l="1"/>
  <c r="R806" i="1" l="1"/>
  <c r="Q807" i="1" s="1"/>
  <c r="P807" i="1" l="1"/>
  <c r="R807" i="1" l="1"/>
  <c r="Q808" i="1" s="1"/>
  <c r="P808" i="1" l="1"/>
  <c r="R808" i="1" l="1"/>
  <c r="Q809" i="1" s="1"/>
  <c r="P809" i="1" l="1"/>
  <c r="R809" i="1" l="1"/>
  <c r="Q810" i="1" s="1"/>
  <c r="P810" i="1" l="1"/>
  <c r="R810" i="1" l="1"/>
  <c r="Q811" i="1" s="1"/>
  <c r="P811" i="1" l="1"/>
  <c r="R811" i="1" l="1"/>
  <c r="Q812" i="1" s="1"/>
  <c r="P812" i="1" l="1"/>
  <c r="R812" i="1" l="1"/>
  <c r="Q813" i="1" s="1"/>
  <c r="P813" i="1" l="1"/>
  <c r="R813" i="1" l="1"/>
  <c r="Q814" i="1" s="1"/>
  <c r="P814" i="1" l="1"/>
  <c r="R814" i="1" l="1"/>
  <c r="Q815" i="1" s="1"/>
  <c r="P815" i="1" l="1"/>
  <c r="R815" i="1" l="1"/>
  <c r="Q816" i="1" s="1"/>
  <c r="P816" i="1" l="1"/>
  <c r="R816" i="1" l="1"/>
  <c r="Q817" i="1" s="1"/>
  <c r="P817" i="1" l="1"/>
  <c r="R817" i="1" l="1"/>
  <c r="Q818" i="1" s="1"/>
  <c r="P818" i="1" l="1"/>
  <c r="R818" i="1" l="1"/>
  <c r="Q819" i="1" s="1"/>
  <c r="P819" i="1" l="1"/>
  <c r="R819" i="1" l="1"/>
  <c r="Q820" i="1" s="1"/>
  <c r="P820" i="1" l="1"/>
  <c r="R820" i="1" l="1"/>
  <c r="Q821" i="1" s="1"/>
  <c r="P821" i="1" l="1"/>
  <c r="R821" i="1" l="1"/>
  <c r="Q822" i="1" s="1"/>
  <c r="P822" i="1" l="1"/>
  <c r="R822" i="1" l="1"/>
  <c r="Q823" i="1" s="1"/>
  <c r="P823" i="1" l="1"/>
  <c r="R823" i="1" l="1"/>
  <c r="Q824" i="1" s="1"/>
  <c r="P824" i="1" l="1"/>
  <c r="R824" i="1" l="1"/>
  <c r="Q825" i="1" s="1"/>
  <c r="P825" i="1" l="1"/>
  <c r="R825" i="1" l="1"/>
  <c r="Q826" i="1" s="1"/>
  <c r="P826" i="1" l="1"/>
  <c r="R826" i="1" l="1"/>
  <c r="Q827" i="1" s="1"/>
  <c r="P827" i="1" l="1"/>
  <c r="R827" i="1" l="1"/>
  <c r="Q828" i="1" s="1"/>
  <c r="P828" i="1" l="1"/>
  <c r="R828" i="1" l="1"/>
  <c r="Q829" i="1" s="1"/>
  <c r="P829" i="1" l="1"/>
  <c r="R829" i="1" l="1"/>
  <c r="Q830" i="1" s="1"/>
  <c r="P830" i="1" l="1"/>
  <c r="R830" i="1" l="1"/>
  <c r="Q831" i="1" s="1"/>
  <c r="P831" i="1" l="1"/>
  <c r="R831" i="1" l="1"/>
  <c r="Q832" i="1" s="1"/>
  <c r="P832" i="1" l="1"/>
  <c r="R832" i="1" l="1"/>
  <c r="Q833" i="1" s="1"/>
  <c r="P833" i="1" l="1"/>
  <c r="R833" i="1" l="1"/>
  <c r="Q834" i="1" s="1"/>
  <c r="P834" i="1" l="1"/>
  <c r="R834" i="1" l="1"/>
  <c r="Q835" i="1" s="1"/>
  <c r="P835" i="1" l="1"/>
  <c r="R835" i="1" l="1"/>
  <c r="Q836" i="1" s="1"/>
  <c r="P836" i="1" l="1"/>
  <c r="R836" i="1" l="1"/>
  <c r="Q837" i="1" s="1"/>
  <c r="P837" i="1" l="1"/>
  <c r="R837" i="1" l="1"/>
  <c r="Q838" i="1" s="1"/>
  <c r="P838" i="1" l="1"/>
  <c r="R838" i="1" l="1"/>
  <c r="Q839" i="1" s="1"/>
  <c r="P839" i="1" l="1"/>
  <c r="R839" i="1" l="1"/>
  <c r="Q840" i="1" s="1"/>
  <c r="P840" i="1" l="1"/>
  <c r="R840" i="1" l="1"/>
  <c r="Q841" i="1" s="1"/>
  <c r="P841" i="1" l="1"/>
  <c r="R841" i="1" l="1"/>
  <c r="Q842" i="1" s="1"/>
  <c r="P842" i="1" l="1"/>
  <c r="R842" i="1" l="1"/>
  <c r="Q843" i="1" s="1"/>
  <c r="P843" i="1" l="1"/>
  <c r="R843" i="1" l="1"/>
  <c r="Q844" i="1" s="1"/>
  <c r="P844" i="1" l="1"/>
  <c r="R844" i="1" l="1"/>
  <c r="Q845" i="1" s="1"/>
  <c r="P845" i="1" l="1"/>
  <c r="R845" i="1" l="1"/>
  <c r="Q846" i="1" s="1"/>
  <c r="P846" i="1" l="1"/>
  <c r="R846" i="1" l="1"/>
  <c r="Q847" i="1" s="1"/>
  <c r="P847" i="1" l="1"/>
  <c r="R847" i="1" l="1"/>
  <c r="Q848" i="1" s="1"/>
  <c r="P848" i="1" l="1"/>
  <c r="R848" i="1" l="1"/>
  <c r="Q849" i="1" s="1"/>
  <c r="P849" i="1" l="1"/>
  <c r="R849" i="1" l="1"/>
  <c r="Q850" i="1" s="1"/>
  <c r="P850" i="1" l="1"/>
  <c r="R850" i="1" l="1"/>
  <c r="Q851" i="1" s="1"/>
  <c r="P851" i="1" l="1"/>
  <c r="R851" i="1" l="1"/>
  <c r="Q852" i="1" s="1"/>
  <c r="P852" i="1" l="1"/>
  <c r="R852" i="1" l="1"/>
  <c r="Q853" i="1" s="1"/>
  <c r="P853" i="1" l="1"/>
  <c r="R853" i="1" l="1"/>
  <c r="Q854" i="1" s="1"/>
  <c r="P854" i="1" l="1"/>
  <c r="R854" i="1" l="1"/>
  <c r="Q855" i="1" s="1"/>
  <c r="P855" i="1" l="1"/>
  <c r="R855" i="1" l="1"/>
  <c r="Q856" i="1" s="1"/>
  <c r="P856" i="1" l="1"/>
  <c r="R856" i="1" l="1"/>
  <c r="Q857" i="1" s="1"/>
  <c r="P857" i="1" l="1"/>
  <c r="R857" i="1" l="1"/>
  <c r="Q858" i="1" s="1"/>
  <c r="P858" i="1" l="1"/>
  <c r="R858" i="1" l="1"/>
  <c r="Q859" i="1" s="1"/>
  <c r="P859" i="1" l="1"/>
  <c r="R859" i="1" l="1"/>
  <c r="Q860" i="1" s="1"/>
  <c r="P860" i="1" l="1"/>
  <c r="R860" i="1" l="1"/>
  <c r="Q861" i="1" s="1"/>
  <c r="P861" i="1" l="1"/>
  <c r="R861" i="1" l="1"/>
  <c r="Q862" i="1" s="1"/>
  <c r="P862" i="1" l="1"/>
  <c r="R862" i="1" l="1"/>
  <c r="Q863" i="1" s="1"/>
  <c r="P863" i="1" l="1"/>
  <c r="R863" i="1" l="1"/>
  <c r="Q864" i="1" s="1"/>
  <c r="P864" i="1" l="1"/>
  <c r="R864" i="1" l="1"/>
  <c r="Q865" i="1" s="1"/>
  <c r="P865" i="1" l="1"/>
  <c r="R865" i="1" l="1"/>
  <c r="Q866" i="1" s="1"/>
  <c r="P866" i="1" l="1"/>
  <c r="R866" i="1" l="1"/>
  <c r="Q867" i="1" s="1"/>
  <c r="P867" i="1" l="1"/>
  <c r="R867" i="1" l="1"/>
  <c r="Q868" i="1" s="1"/>
  <c r="P868" i="1" l="1"/>
  <c r="R868" i="1" l="1"/>
  <c r="Q869" i="1" s="1"/>
  <c r="P869" i="1" l="1"/>
  <c r="R869" i="1" l="1"/>
  <c r="Q870" i="1" s="1"/>
  <c r="P870" i="1" l="1"/>
  <c r="R870" i="1" l="1"/>
  <c r="Q871" i="1" s="1"/>
  <c r="P871" i="1" l="1"/>
  <c r="R871" i="1" l="1"/>
  <c r="Q872" i="1" s="1"/>
  <c r="P872" i="1" l="1"/>
  <c r="R872" i="1" l="1"/>
  <c r="Q873" i="1" s="1"/>
  <c r="P873" i="1" l="1"/>
  <c r="R873" i="1" l="1"/>
  <c r="Q874" i="1" s="1"/>
  <c r="P874" i="1" l="1"/>
  <c r="R874" i="1" l="1"/>
  <c r="Q875" i="1" s="1"/>
  <c r="P875" i="1" l="1"/>
  <c r="R875" i="1" l="1"/>
  <c r="Q876" i="1" s="1"/>
  <c r="P876" i="1" l="1"/>
  <c r="R876" i="1" l="1"/>
  <c r="Q877" i="1" s="1"/>
  <c r="P877" i="1" l="1"/>
  <c r="R877" i="1" l="1"/>
  <c r="Q878" i="1" s="1"/>
  <c r="P878" i="1" l="1"/>
  <c r="R878" i="1" l="1"/>
  <c r="Q879" i="1" s="1"/>
  <c r="P879" i="1" l="1"/>
  <c r="R879" i="1" l="1"/>
  <c r="Q880" i="1" s="1"/>
  <c r="P880" i="1" l="1"/>
  <c r="R880" i="1" l="1"/>
  <c r="Q881" i="1" s="1"/>
  <c r="P881" i="1" l="1"/>
  <c r="R881" i="1" l="1"/>
  <c r="Q882" i="1" s="1"/>
  <c r="P882" i="1" l="1"/>
  <c r="R882" i="1" l="1"/>
  <c r="Q883" i="1" s="1"/>
  <c r="P883" i="1" l="1"/>
  <c r="R883" i="1" l="1"/>
  <c r="Q884" i="1" s="1"/>
  <c r="P884" i="1" l="1"/>
  <c r="R884" i="1" l="1"/>
  <c r="Q885" i="1" s="1"/>
  <c r="P885" i="1" l="1"/>
  <c r="R885" i="1" l="1"/>
  <c r="Q886" i="1" s="1"/>
  <c r="P886" i="1" l="1"/>
  <c r="R886" i="1" l="1"/>
  <c r="Q887" i="1" s="1"/>
  <c r="P887" i="1" l="1"/>
  <c r="R887" i="1" l="1"/>
  <c r="Q888" i="1" s="1"/>
  <c r="P888" i="1" l="1"/>
  <c r="R888" i="1" l="1"/>
  <c r="Q889" i="1" s="1"/>
  <c r="P889" i="1" l="1"/>
  <c r="R889" i="1" l="1"/>
  <c r="Q890" i="1" s="1"/>
  <c r="P890" i="1" l="1"/>
  <c r="R890" i="1" l="1"/>
  <c r="Q891" i="1" s="1"/>
  <c r="P891" i="1" l="1"/>
  <c r="R891" i="1" l="1"/>
  <c r="Q892" i="1" s="1"/>
  <c r="P892" i="1" l="1"/>
  <c r="R892" i="1" l="1"/>
  <c r="Q893" i="1" s="1"/>
  <c r="P893" i="1" l="1"/>
  <c r="R893" i="1" l="1"/>
  <c r="Q894" i="1" s="1"/>
  <c r="P894" i="1" l="1"/>
  <c r="R894" i="1" l="1"/>
  <c r="Q895" i="1" s="1"/>
  <c r="P895" i="1" l="1"/>
  <c r="R895" i="1" l="1"/>
  <c r="Q896" i="1" s="1"/>
  <c r="P896" i="1" l="1"/>
  <c r="R896" i="1" l="1"/>
  <c r="Q897" i="1" s="1"/>
  <c r="P897" i="1" l="1"/>
  <c r="R897" i="1" l="1"/>
  <c r="Q898" i="1" s="1"/>
  <c r="P898" i="1" l="1"/>
  <c r="R898" i="1" l="1"/>
  <c r="Q899" i="1" s="1"/>
  <c r="P899" i="1" l="1"/>
  <c r="R899" i="1" l="1"/>
  <c r="Q900" i="1" s="1"/>
  <c r="P900" i="1" l="1"/>
  <c r="R900" i="1" l="1"/>
  <c r="Q901" i="1" s="1"/>
  <c r="P901" i="1" l="1"/>
  <c r="R901" i="1" l="1"/>
  <c r="Q902" i="1" s="1"/>
  <c r="P902" i="1" l="1"/>
  <c r="R902" i="1" l="1"/>
  <c r="Q903" i="1" s="1"/>
  <c r="P903" i="1" l="1"/>
  <c r="R903" i="1" l="1"/>
  <c r="Q904" i="1" s="1"/>
  <c r="P904" i="1" l="1"/>
  <c r="R904" i="1" l="1"/>
  <c r="Q905" i="1" s="1"/>
  <c r="P905" i="1" l="1"/>
  <c r="R905" i="1" l="1"/>
  <c r="Q906" i="1" s="1"/>
  <c r="P906" i="1" l="1"/>
  <c r="R906" i="1" l="1"/>
  <c r="Q907" i="1" s="1"/>
  <c r="P907" i="1" l="1"/>
  <c r="R907" i="1" l="1"/>
  <c r="Q908" i="1" s="1"/>
  <c r="P908" i="1" l="1"/>
  <c r="R908" i="1" l="1"/>
  <c r="Q909" i="1" s="1"/>
  <c r="P909" i="1" l="1"/>
  <c r="R909" i="1" l="1"/>
  <c r="Q910" i="1" s="1"/>
  <c r="P910" i="1" l="1"/>
  <c r="R910" i="1" l="1"/>
  <c r="Q911" i="1" s="1"/>
  <c r="P911" i="1" l="1"/>
  <c r="R911" i="1" l="1"/>
  <c r="Q912" i="1" s="1"/>
  <c r="P912" i="1" l="1"/>
  <c r="R912" i="1" l="1"/>
  <c r="Q913" i="1" s="1"/>
  <c r="P913" i="1" l="1"/>
  <c r="R913" i="1" l="1"/>
  <c r="Q914" i="1" s="1"/>
  <c r="P914" i="1" l="1"/>
  <c r="R914" i="1" l="1"/>
  <c r="Q915" i="1" s="1"/>
  <c r="P915" i="1" l="1"/>
  <c r="R915" i="1" l="1"/>
  <c r="Q916" i="1" s="1"/>
  <c r="P916" i="1" l="1"/>
  <c r="R916" i="1" l="1"/>
  <c r="Q917" i="1" s="1"/>
  <c r="P917" i="1" l="1"/>
  <c r="R917" i="1" l="1"/>
  <c r="Q918" i="1" s="1"/>
  <c r="P918" i="1" l="1"/>
  <c r="R918" i="1" l="1"/>
  <c r="Q919" i="1" s="1"/>
  <c r="P919" i="1" l="1"/>
  <c r="R919" i="1" l="1"/>
  <c r="Q920" i="1" s="1"/>
  <c r="P920" i="1" l="1"/>
  <c r="R920" i="1" l="1"/>
  <c r="Q921" i="1" s="1"/>
  <c r="P921" i="1" l="1"/>
  <c r="R921" i="1" l="1"/>
  <c r="Q922" i="1" s="1"/>
  <c r="P922" i="1" l="1"/>
  <c r="R922" i="1" l="1"/>
  <c r="Q923" i="1" s="1"/>
  <c r="P923" i="1" l="1"/>
  <c r="R923" i="1" l="1"/>
  <c r="Q924" i="1" s="1"/>
  <c r="P924" i="1" l="1"/>
  <c r="R924" i="1" l="1"/>
  <c r="Q925" i="1" s="1"/>
  <c r="P925" i="1" l="1"/>
  <c r="R925" i="1" l="1"/>
  <c r="Q926" i="1" s="1"/>
  <c r="P926" i="1" l="1"/>
  <c r="R926" i="1" l="1"/>
  <c r="Q927" i="1" s="1"/>
  <c r="P927" i="1" l="1"/>
  <c r="R927" i="1" l="1"/>
  <c r="Q928" i="1" s="1"/>
  <c r="P928" i="1" l="1"/>
  <c r="R928" i="1" l="1"/>
  <c r="Q929" i="1" s="1"/>
  <c r="P929" i="1" l="1"/>
  <c r="R929" i="1" l="1"/>
  <c r="Q930" i="1" s="1"/>
  <c r="P930" i="1" l="1"/>
  <c r="R930" i="1" l="1"/>
  <c r="Q931" i="1" s="1"/>
  <c r="P931" i="1" l="1"/>
  <c r="R931" i="1" l="1"/>
  <c r="Q932" i="1" s="1"/>
  <c r="P932" i="1" l="1"/>
  <c r="R932" i="1" l="1"/>
  <c r="Q933" i="1" s="1"/>
  <c r="P933" i="1" l="1"/>
  <c r="R933" i="1" l="1"/>
  <c r="Q934" i="1" s="1"/>
  <c r="P934" i="1" l="1"/>
  <c r="R934" i="1" l="1"/>
  <c r="Q935" i="1" s="1"/>
  <c r="P935" i="1" l="1"/>
  <c r="R935" i="1" l="1"/>
  <c r="Q936" i="1" s="1"/>
  <c r="P936" i="1" l="1"/>
  <c r="R936" i="1" l="1"/>
  <c r="Q937" i="1" s="1"/>
  <c r="P937" i="1" l="1"/>
  <c r="R937" i="1" l="1"/>
  <c r="Q938" i="1" s="1"/>
  <c r="P938" i="1" l="1"/>
  <c r="R938" i="1" l="1"/>
  <c r="Q939" i="1" s="1"/>
  <c r="P939" i="1" l="1"/>
  <c r="R939" i="1" l="1"/>
  <c r="Q940" i="1" s="1"/>
  <c r="P940" i="1" l="1"/>
  <c r="R940" i="1" l="1"/>
  <c r="Q941" i="1" s="1"/>
  <c r="P941" i="1" l="1"/>
  <c r="R941" i="1" l="1"/>
  <c r="Q942" i="1" s="1"/>
  <c r="P942" i="1" l="1"/>
  <c r="R942" i="1" l="1"/>
  <c r="Q943" i="1" s="1"/>
  <c r="P943" i="1" l="1"/>
  <c r="R943" i="1" l="1"/>
  <c r="Q944" i="1" s="1"/>
  <c r="P944" i="1" l="1"/>
  <c r="R944" i="1" l="1"/>
  <c r="Q945" i="1" s="1"/>
  <c r="P945" i="1" l="1"/>
  <c r="R945" i="1" l="1"/>
  <c r="Q946" i="1" s="1"/>
  <c r="P946" i="1" l="1"/>
  <c r="R946" i="1" l="1"/>
  <c r="Q947" i="1" s="1"/>
  <c r="P947" i="1" l="1"/>
  <c r="R947" i="1" l="1"/>
  <c r="Q948" i="1" s="1"/>
  <c r="P948" i="1" l="1"/>
  <c r="R948" i="1" l="1"/>
  <c r="Q949" i="1" s="1"/>
  <c r="P949" i="1" l="1"/>
  <c r="R949" i="1" l="1"/>
  <c r="Q950" i="1" s="1"/>
  <c r="P950" i="1" l="1"/>
  <c r="R950" i="1" l="1"/>
  <c r="Q951" i="1" s="1"/>
  <c r="P951" i="1" l="1"/>
  <c r="R951" i="1" l="1"/>
  <c r="Q952" i="1" s="1"/>
  <c r="P952" i="1" l="1"/>
  <c r="R952" i="1" l="1"/>
  <c r="Q953" i="1" s="1"/>
  <c r="P953" i="1" l="1"/>
  <c r="R953" i="1" l="1"/>
  <c r="Q954" i="1" s="1"/>
  <c r="P954" i="1" l="1"/>
  <c r="R954" i="1" l="1"/>
  <c r="Q955" i="1" s="1"/>
  <c r="P955" i="1" l="1"/>
  <c r="R955" i="1" l="1"/>
  <c r="Q956" i="1" s="1"/>
  <c r="P956" i="1" l="1"/>
  <c r="R956" i="1" l="1"/>
  <c r="Q957" i="1" s="1"/>
  <c r="P957" i="1" l="1"/>
  <c r="R957" i="1" l="1"/>
  <c r="Q958" i="1" s="1"/>
  <c r="P958" i="1" l="1"/>
  <c r="R958" i="1" l="1"/>
  <c r="Q959" i="1" s="1"/>
  <c r="P959" i="1" l="1"/>
  <c r="R959" i="1" l="1"/>
  <c r="Q960" i="1" s="1"/>
  <c r="P960" i="1" l="1"/>
  <c r="R960" i="1" l="1"/>
  <c r="Q961" i="1" s="1"/>
  <c r="P961" i="1" l="1"/>
  <c r="R961" i="1" l="1"/>
  <c r="Q962" i="1" s="1"/>
  <c r="P962" i="1" l="1"/>
  <c r="R962" i="1" l="1"/>
  <c r="Q963" i="1" s="1"/>
  <c r="P963" i="1" l="1"/>
  <c r="R963" i="1" l="1"/>
  <c r="Q964" i="1" s="1"/>
  <c r="P964" i="1" l="1"/>
  <c r="R964" i="1" l="1"/>
  <c r="Q965" i="1" s="1"/>
  <c r="P965" i="1" l="1"/>
  <c r="R965" i="1" l="1"/>
  <c r="Q966" i="1" s="1"/>
  <c r="P966" i="1" l="1"/>
  <c r="R966" i="1" l="1"/>
  <c r="Q967" i="1" s="1"/>
  <c r="P967" i="1" l="1"/>
  <c r="R967" i="1" l="1"/>
  <c r="Q968" i="1" s="1"/>
  <c r="P968" i="1" l="1"/>
  <c r="R968" i="1" l="1"/>
  <c r="Q969" i="1" s="1"/>
  <c r="P969" i="1" l="1"/>
  <c r="R969" i="1" l="1"/>
  <c r="Q970" i="1" s="1"/>
  <c r="P970" i="1" l="1"/>
  <c r="R970" i="1" l="1"/>
  <c r="Q971" i="1" s="1"/>
  <c r="P971" i="1" l="1"/>
  <c r="R971" i="1" l="1"/>
  <c r="Q972" i="1" s="1"/>
  <c r="P972" i="1" l="1"/>
  <c r="R972" i="1" l="1"/>
  <c r="Q973" i="1" s="1"/>
  <c r="P973" i="1" l="1"/>
  <c r="R973" i="1" l="1"/>
  <c r="Q974" i="1" s="1"/>
  <c r="P974" i="1" l="1"/>
  <c r="R974" i="1" l="1"/>
  <c r="Q975" i="1" s="1"/>
  <c r="P975" i="1" l="1"/>
  <c r="R975" i="1" l="1"/>
  <c r="Q976" i="1" s="1"/>
  <c r="P976" i="1" l="1"/>
  <c r="R976" i="1" l="1"/>
  <c r="Q977" i="1" s="1"/>
  <c r="P977" i="1" l="1"/>
  <c r="R977" i="1" l="1"/>
  <c r="Q978" i="1" s="1"/>
  <c r="P978" i="1" l="1"/>
  <c r="R978" i="1" l="1"/>
  <c r="Q979" i="1" s="1"/>
  <c r="P979" i="1" l="1"/>
  <c r="R979" i="1" l="1"/>
  <c r="Q980" i="1" s="1"/>
  <c r="P980" i="1" l="1"/>
  <c r="R980" i="1" l="1"/>
  <c r="Q981" i="1" s="1"/>
  <c r="P981" i="1" l="1"/>
  <c r="R981" i="1" l="1"/>
  <c r="Q982" i="1" s="1"/>
  <c r="P982" i="1" l="1"/>
  <c r="R982" i="1" l="1"/>
  <c r="Q983" i="1" s="1"/>
  <c r="P983" i="1" l="1"/>
  <c r="R983" i="1" l="1"/>
  <c r="Q984" i="1" s="1"/>
  <c r="P984" i="1" l="1"/>
  <c r="R984" i="1" l="1"/>
  <c r="Q985" i="1" s="1"/>
  <c r="P985" i="1" l="1"/>
  <c r="R985" i="1" l="1"/>
  <c r="Q986" i="1" s="1"/>
  <c r="P986" i="1" l="1"/>
  <c r="R986" i="1" l="1"/>
  <c r="Q987" i="1" s="1"/>
  <c r="P987" i="1" l="1"/>
  <c r="R987" i="1" l="1"/>
  <c r="Q988" i="1" s="1"/>
  <c r="P988" i="1" l="1"/>
  <c r="R988" i="1" l="1"/>
  <c r="Q989" i="1" s="1"/>
  <c r="P989" i="1" l="1"/>
  <c r="R989" i="1" l="1"/>
  <c r="Q990" i="1" s="1"/>
  <c r="P990" i="1" l="1"/>
  <c r="R990" i="1" l="1"/>
  <c r="Q991" i="1" s="1"/>
  <c r="P991" i="1" l="1"/>
  <c r="R991" i="1" l="1"/>
  <c r="Q992" i="1" s="1"/>
  <c r="P992" i="1" l="1"/>
  <c r="R992" i="1" l="1"/>
  <c r="Q993" i="1" s="1"/>
  <c r="P993" i="1" l="1"/>
  <c r="R993" i="1" l="1"/>
  <c r="Q994" i="1" s="1"/>
  <c r="P994" i="1" l="1"/>
  <c r="R994" i="1" l="1"/>
  <c r="Q995" i="1" s="1"/>
  <c r="P995" i="1" l="1"/>
  <c r="R995" i="1" l="1"/>
  <c r="Q996" i="1" s="1"/>
  <c r="P996" i="1" l="1"/>
  <c r="R996" i="1" l="1"/>
  <c r="Q997" i="1" s="1"/>
  <c r="P997" i="1" l="1"/>
  <c r="R997" i="1" l="1"/>
  <c r="Q998" i="1" s="1"/>
  <c r="P998" i="1" l="1"/>
  <c r="R998" i="1" l="1"/>
  <c r="Q999" i="1" s="1"/>
  <c r="P999" i="1" l="1"/>
  <c r="R999" i="1" l="1"/>
  <c r="Q1000" i="1" s="1"/>
  <c r="P1000" i="1" l="1"/>
  <c r="R1000" i="1" l="1"/>
  <c r="Q1001" i="1" s="1"/>
  <c r="P1001" i="1" l="1"/>
  <c r="R1001" i="1" l="1"/>
  <c r="Q1002" i="1" s="1"/>
  <c r="P1002" i="1" l="1"/>
  <c r="R1002" i="1" l="1"/>
  <c r="Q1003" i="1" s="1"/>
  <c r="P1003" i="1" l="1"/>
  <c r="R1003" i="1" l="1"/>
  <c r="Q1004" i="1" s="1"/>
  <c r="P1004" i="1" l="1"/>
  <c r="R1004" i="1" l="1"/>
  <c r="Q1005" i="1" s="1"/>
  <c r="P1005" i="1" l="1"/>
  <c r="R1005" i="1" l="1"/>
  <c r="Q1006" i="1" s="1"/>
  <c r="P1006" i="1" l="1"/>
  <c r="R1006" i="1" l="1"/>
  <c r="Q1007" i="1" s="1"/>
  <c r="P1007" i="1" l="1"/>
  <c r="R1007" i="1" l="1"/>
  <c r="Q1008" i="1" s="1"/>
  <c r="P1008" i="1" l="1"/>
  <c r="R1008" i="1" l="1"/>
  <c r="Q1009" i="1" s="1"/>
  <c r="P1009" i="1" l="1"/>
  <c r="R1009" i="1" l="1"/>
  <c r="Q1010" i="1" s="1"/>
  <c r="P1010" i="1" l="1"/>
  <c r="R1010" i="1" l="1"/>
  <c r="Q1011" i="1" s="1"/>
  <c r="P1011" i="1" l="1"/>
  <c r="R1011" i="1" l="1"/>
  <c r="Q1012" i="1" s="1"/>
  <c r="P1012" i="1" l="1"/>
  <c r="R1012" i="1" l="1"/>
  <c r="Q1013" i="1" s="1"/>
  <c r="P1013" i="1" l="1"/>
  <c r="R1013" i="1" l="1"/>
  <c r="Q1014" i="1" s="1"/>
  <c r="P1014" i="1" l="1"/>
  <c r="R1014" i="1" l="1"/>
  <c r="Q1015" i="1" s="1"/>
  <c r="P1015" i="1" l="1"/>
  <c r="R1015" i="1" l="1"/>
  <c r="Q1016" i="1" s="1"/>
  <c r="P1016" i="1" l="1"/>
  <c r="R1016" i="1" l="1"/>
  <c r="Q1017" i="1" s="1"/>
  <c r="P1017" i="1" l="1"/>
  <c r="R1017" i="1" l="1"/>
  <c r="Q1018" i="1" s="1"/>
  <c r="P1018" i="1" l="1"/>
  <c r="R1018" i="1" l="1"/>
  <c r="Q1019" i="1" s="1"/>
  <c r="P1019" i="1" l="1"/>
  <c r="R1019" i="1" l="1"/>
  <c r="Q1020" i="1" s="1"/>
  <c r="P1020" i="1" l="1"/>
  <c r="R1020" i="1" l="1"/>
  <c r="Q1021" i="1" s="1"/>
  <c r="P1021" i="1" l="1"/>
  <c r="R1021" i="1" l="1"/>
  <c r="Q1022" i="1" s="1"/>
  <c r="P1022" i="1" l="1"/>
  <c r="R1022" i="1" l="1"/>
  <c r="Q1023" i="1" s="1"/>
  <c r="P1023" i="1" l="1"/>
  <c r="R1023" i="1" l="1"/>
  <c r="Q1024" i="1" s="1"/>
  <c r="P1024" i="1" l="1"/>
  <c r="R1024" i="1" l="1"/>
  <c r="Q1025" i="1" s="1"/>
  <c r="P1025" i="1" l="1"/>
  <c r="R1025" i="1" l="1"/>
  <c r="Q1026" i="1" s="1"/>
  <c r="P1026" i="1" l="1"/>
  <c r="R1026" i="1" l="1"/>
  <c r="Q1027" i="1" s="1"/>
  <c r="P1027" i="1" l="1"/>
  <c r="R1027" i="1" l="1"/>
  <c r="Q1028" i="1" s="1"/>
  <c r="P1028" i="1" l="1"/>
  <c r="R1028" i="1" l="1"/>
  <c r="Q1029" i="1" s="1"/>
  <c r="P1029" i="1" l="1"/>
  <c r="R1029" i="1" l="1"/>
  <c r="Q1030" i="1" s="1"/>
  <c r="P1030" i="1" l="1"/>
  <c r="R1030" i="1" l="1"/>
  <c r="Q1031" i="1" s="1"/>
  <c r="P1031" i="1" l="1"/>
  <c r="R1031" i="1" l="1"/>
  <c r="Q1032" i="1" s="1"/>
  <c r="P1032" i="1" l="1"/>
  <c r="R1032" i="1" l="1"/>
  <c r="Q1033" i="1" s="1"/>
  <c r="P1033" i="1" l="1"/>
  <c r="R1033" i="1" l="1"/>
  <c r="Q1034" i="1" s="1"/>
  <c r="P1034" i="1" l="1"/>
  <c r="R1034" i="1" l="1"/>
  <c r="Q1035" i="1" s="1"/>
  <c r="P1035" i="1" l="1"/>
  <c r="R1035" i="1" l="1"/>
  <c r="Q1036" i="1" s="1"/>
  <c r="P1036" i="1" l="1"/>
  <c r="R1036" i="1" l="1"/>
  <c r="Q1037" i="1" s="1"/>
  <c r="P1037" i="1" l="1"/>
  <c r="R1037" i="1" l="1"/>
  <c r="Q1038" i="1" s="1"/>
  <c r="P1038" i="1" l="1"/>
  <c r="R1038" i="1" l="1"/>
  <c r="Q1039" i="1" s="1"/>
  <c r="P1039" i="1" l="1"/>
  <c r="R1039" i="1" l="1"/>
  <c r="Q1040" i="1" s="1"/>
  <c r="P1040" i="1" l="1"/>
  <c r="R1040" i="1" l="1"/>
  <c r="Q1041" i="1" s="1"/>
  <c r="P1041" i="1" l="1"/>
  <c r="R1041" i="1" l="1"/>
  <c r="Q1042" i="1" s="1"/>
  <c r="P1042" i="1" l="1"/>
  <c r="R1042" i="1" l="1"/>
  <c r="Q1043" i="1" s="1"/>
  <c r="P1043" i="1" l="1"/>
  <c r="R1043" i="1" l="1"/>
  <c r="Q1044" i="1" s="1"/>
  <c r="P1044" i="1" l="1"/>
  <c r="R1044" i="1" l="1"/>
  <c r="Q1045" i="1" s="1"/>
  <c r="P1045" i="1" l="1"/>
  <c r="R1045" i="1" l="1"/>
  <c r="Q1046" i="1" s="1"/>
  <c r="P1046" i="1" l="1"/>
  <c r="R1046" i="1" l="1"/>
  <c r="Q1047" i="1" s="1"/>
  <c r="P1047" i="1" l="1"/>
  <c r="R1047" i="1" l="1"/>
  <c r="Q1048" i="1" s="1"/>
  <c r="P1048" i="1" l="1"/>
  <c r="R1048" i="1" l="1"/>
  <c r="Q1049" i="1" s="1"/>
  <c r="P1049" i="1" l="1"/>
  <c r="R1049" i="1" l="1"/>
  <c r="Q1050" i="1" s="1"/>
  <c r="P1050" i="1" l="1"/>
  <c r="R1050" i="1" l="1"/>
  <c r="Q1051" i="1" s="1"/>
  <c r="P1051" i="1" l="1"/>
  <c r="R1051" i="1" l="1"/>
  <c r="Q1052" i="1" s="1"/>
  <c r="P1052" i="1" l="1"/>
  <c r="R1052" i="1" l="1"/>
  <c r="Q1053" i="1" s="1"/>
  <c r="P1053" i="1" l="1"/>
  <c r="R1053" i="1" l="1"/>
  <c r="Q1054" i="1" s="1"/>
  <c r="P1054" i="1" l="1"/>
  <c r="R1054" i="1" l="1"/>
  <c r="Q1055" i="1" s="1"/>
  <c r="P1055" i="1" l="1"/>
  <c r="R1055" i="1" l="1"/>
  <c r="Q1056" i="1" s="1"/>
  <c r="P1056" i="1" l="1"/>
  <c r="R1056" i="1" l="1"/>
  <c r="Q1057" i="1" s="1"/>
  <c r="P1057" i="1" l="1"/>
  <c r="R1057" i="1" l="1"/>
  <c r="Q1058" i="1" s="1"/>
  <c r="P1058" i="1" l="1"/>
  <c r="R1058" i="1" l="1"/>
  <c r="Q1059" i="1" s="1"/>
  <c r="P1059" i="1" l="1"/>
  <c r="R1059" i="1" l="1"/>
  <c r="Q1060" i="1" s="1"/>
  <c r="P1060" i="1" l="1"/>
  <c r="R1060" i="1" l="1"/>
  <c r="Q1061" i="1" s="1"/>
  <c r="P1061" i="1" l="1"/>
  <c r="R1061" i="1" l="1"/>
  <c r="Q1062" i="1" s="1"/>
  <c r="P1062" i="1" l="1"/>
  <c r="R1062" i="1" l="1"/>
  <c r="Q1063" i="1" s="1"/>
  <c r="P1063" i="1" l="1"/>
  <c r="R1063" i="1" l="1"/>
  <c r="Q1064" i="1" s="1"/>
  <c r="P1064" i="1" l="1"/>
  <c r="R1064" i="1" l="1"/>
  <c r="Q1065" i="1" s="1"/>
  <c r="P1065" i="1" l="1"/>
  <c r="R1065" i="1" l="1"/>
  <c r="Q1066" i="1" s="1"/>
  <c r="P1066" i="1" l="1"/>
  <c r="R1066" i="1" l="1"/>
  <c r="Q1067" i="1" s="1"/>
  <c r="P1067" i="1" l="1"/>
  <c r="R1067" i="1" l="1"/>
  <c r="Q1068" i="1" s="1"/>
  <c r="P1068" i="1" l="1"/>
  <c r="R1068" i="1" l="1"/>
  <c r="Q1069" i="1" s="1"/>
  <c r="P1069" i="1" l="1"/>
  <c r="R1069" i="1" l="1"/>
  <c r="Q1070" i="1" s="1"/>
  <c r="P1070" i="1" l="1"/>
  <c r="R1070" i="1" l="1"/>
  <c r="Q1071" i="1" s="1"/>
  <c r="P1071" i="1" l="1"/>
  <c r="R1071" i="1" l="1"/>
  <c r="Q1072" i="1" s="1"/>
  <c r="P1072" i="1" l="1"/>
  <c r="R1072" i="1" l="1"/>
  <c r="Q1073" i="1" s="1"/>
  <c r="P1073" i="1" l="1"/>
  <c r="R1073" i="1" l="1"/>
  <c r="Q1074" i="1" s="1"/>
  <c r="P1074" i="1" l="1"/>
  <c r="R1074" i="1" l="1"/>
  <c r="Q1075" i="1" s="1"/>
  <c r="P1075" i="1" l="1"/>
  <c r="R1075" i="1" l="1"/>
  <c r="Q1076" i="1" s="1"/>
  <c r="P1076" i="1" l="1"/>
  <c r="R1076" i="1" l="1"/>
  <c r="Q1077" i="1" s="1"/>
  <c r="P1077" i="1" l="1"/>
  <c r="R1077" i="1" l="1"/>
  <c r="Q1078" i="1" s="1"/>
  <c r="P1078" i="1" l="1"/>
  <c r="R1078" i="1" l="1"/>
  <c r="Q1079" i="1" s="1"/>
  <c r="P1079" i="1" l="1"/>
  <c r="R1079" i="1" l="1"/>
  <c r="Q1080" i="1" s="1"/>
  <c r="P1080" i="1" l="1"/>
  <c r="R1080" i="1" l="1"/>
  <c r="Q1081" i="1" s="1"/>
  <c r="P1081" i="1" l="1"/>
  <c r="R1081" i="1" l="1"/>
  <c r="Q1082" i="1" s="1"/>
  <c r="P1082" i="1" l="1"/>
  <c r="R1082" i="1" l="1"/>
  <c r="Q1083" i="1" s="1"/>
  <c r="P1083" i="1" l="1"/>
  <c r="R1083" i="1" l="1"/>
  <c r="Q1084" i="1" s="1"/>
  <c r="P1084" i="1" l="1"/>
  <c r="R1084" i="1" l="1"/>
  <c r="Q1085" i="1" s="1"/>
  <c r="P1085" i="1" l="1"/>
  <c r="R1085" i="1" l="1"/>
  <c r="Q1086" i="1" s="1"/>
  <c r="P1086" i="1" l="1"/>
  <c r="R1086" i="1" l="1"/>
  <c r="Q1087" i="1" s="1"/>
  <c r="P1087" i="1" l="1"/>
  <c r="R1087" i="1" l="1"/>
  <c r="Q1088" i="1" s="1"/>
  <c r="P1088" i="1" l="1"/>
  <c r="R1088" i="1" l="1"/>
  <c r="Q1089" i="1" s="1"/>
  <c r="P1089" i="1" l="1"/>
  <c r="R1089" i="1" l="1"/>
  <c r="Q1090" i="1" s="1"/>
  <c r="P1090" i="1" l="1"/>
  <c r="R1090" i="1" l="1"/>
  <c r="Q1091" i="1" s="1"/>
  <c r="P1091" i="1" l="1"/>
  <c r="R1091" i="1" l="1"/>
  <c r="Q1092" i="1" s="1"/>
  <c r="P1092" i="1" l="1"/>
  <c r="R1092" i="1" l="1"/>
  <c r="Q1093" i="1" s="1"/>
  <c r="P1093" i="1" l="1"/>
  <c r="R1093" i="1" l="1"/>
  <c r="Q1094" i="1" s="1"/>
  <c r="P1094" i="1" l="1"/>
  <c r="R1094" i="1" l="1"/>
  <c r="Q1095" i="1" s="1"/>
  <c r="P1095" i="1" l="1"/>
  <c r="R1095" i="1" l="1"/>
  <c r="Q1096" i="1" s="1"/>
  <c r="P1096" i="1" l="1"/>
  <c r="R1096" i="1" l="1"/>
  <c r="Q1097" i="1" s="1"/>
  <c r="P1097" i="1" l="1"/>
  <c r="R1097" i="1" l="1"/>
  <c r="Q1098" i="1" s="1"/>
  <c r="P1098" i="1" l="1"/>
  <c r="R1098" i="1" l="1"/>
  <c r="Q1099" i="1" s="1"/>
  <c r="P1099" i="1" l="1"/>
  <c r="R1099" i="1" l="1"/>
  <c r="Q1100" i="1" s="1"/>
  <c r="P1100" i="1" l="1"/>
  <c r="R1100" i="1" l="1"/>
  <c r="Q1101" i="1" s="1"/>
  <c r="P1101" i="1" l="1"/>
  <c r="R1101" i="1" l="1"/>
  <c r="Q1102" i="1" s="1"/>
  <c r="P1102" i="1" l="1"/>
  <c r="R1102" i="1" l="1"/>
  <c r="Q1103" i="1" s="1"/>
  <c r="P1103" i="1" l="1"/>
  <c r="R1103" i="1" l="1"/>
  <c r="Q1104" i="1" s="1"/>
  <c r="P1104" i="1" l="1"/>
  <c r="R1104" i="1" l="1"/>
  <c r="Q1105" i="1" s="1"/>
  <c r="P1105" i="1" l="1"/>
  <c r="R1105" i="1" l="1"/>
  <c r="Q1106" i="1" s="1"/>
  <c r="P1106" i="1" l="1"/>
  <c r="R1106" i="1" l="1"/>
  <c r="Q1107" i="1" s="1"/>
  <c r="P1107" i="1" l="1"/>
  <c r="R1107" i="1" l="1"/>
  <c r="Q1108" i="1" s="1"/>
  <c r="P1108" i="1" l="1"/>
  <c r="R1108" i="1" l="1"/>
  <c r="Q1109" i="1" s="1"/>
  <c r="P1109" i="1" l="1"/>
  <c r="R1109" i="1" l="1"/>
  <c r="Q1110" i="1" s="1"/>
  <c r="P1110" i="1" l="1"/>
  <c r="R1110" i="1" l="1"/>
  <c r="Q1111" i="1" s="1"/>
  <c r="P1111" i="1" l="1"/>
  <c r="R1111" i="1" l="1"/>
  <c r="Q1112" i="1" s="1"/>
  <c r="P1112" i="1" l="1"/>
  <c r="R1112" i="1" l="1"/>
  <c r="Q1113" i="1" s="1"/>
  <c r="P1113" i="1" l="1"/>
  <c r="R1113" i="1" l="1"/>
  <c r="Q1114" i="1" s="1"/>
  <c r="P1114" i="1" l="1"/>
  <c r="R1114" i="1" l="1"/>
  <c r="Q1115" i="1" s="1"/>
  <c r="P1115" i="1" l="1"/>
  <c r="R1115" i="1" l="1"/>
  <c r="Q1116" i="1" s="1"/>
  <c r="P1116" i="1" l="1"/>
  <c r="R1116" i="1" l="1"/>
  <c r="Q1117" i="1" s="1"/>
  <c r="P1117" i="1" l="1"/>
  <c r="R1117" i="1" l="1"/>
  <c r="Q1118" i="1" s="1"/>
  <c r="P1118" i="1" l="1"/>
  <c r="R1118" i="1" l="1"/>
  <c r="Q1119" i="1" s="1"/>
  <c r="P1119" i="1" l="1"/>
  <c r="R1119" i="1" l="1"/>
  <c r="Q1120" i="1" s="1"/>
  <c r="P1120" i="1" l="1"/>
  <c r="R1120" i="1" l="1"/>
  <c r="Q1121" i="1" s="1"/>
  <c r="P1121" i="1" l="1"/>
  <c r="R1121" i="1" l="1"/>
  <c r="Q1122" i="1" s="1"/>
  <c r="P1122" i="1" l="1"/>
  <c r="R1122" i="1" l="1"/>
  <c r="Q1123" i="1" s="1"/>
  <c r="P1123" i="1" l="1"/>
  <c r="R1123" i="1" l="1"/>
  <c r="Q1124" i="1" s="1"/>
  <c r="P1124" i="1" l="1"/>
  <c r="R1124" i="1" l="1"/>
  <c r="Q1125" i="1" s="1"/>
  <c r="P1125" i="1" l="1"/>
  <c r="R1125" i="1" l="1"/>
  <c r="Q1126" i="1" s="1"/>
  <c r="P1126" i="1" l="1"/>
  <c r="R1126" i="1" l="1"/>
  <c r="Q1127" i="1" s="1"/>
  <c r="P1127" i="1" l="1"/>
  <c r="R1127" i="1" l="1"/>
  <c r="Q1128" i="1" s="1"/>
  <c r="P1128" i="1" l="1"/>
  <c r="R1128" i="1" l="1"/>
  <c r="Q1129" i="1" s="1"/>
  <c r="P1129" i="1" l="1"/>
  <c r="R1129" i="1" l="1"/>
  <c r="Q1130" i="1" s="1"/>
  <c r="P1130" i="1" l="1"/>
  <c r="R1130" i="1" l="1"/>
  <c r="Q1131" i="1" s="1"/>
  <c r="P1131" i="1" l="1"/>
  <c r="R1131" i="1" l="1"/>
  <c r="Q1132" i="1" s="1"/>
  <c r="P1132" i="1" l="1"/>
  <c r="R1132" i="1" l="1"/>
  <c r="Q1133" i="1" s="1"/>
  <c r="P1133" i="1" l="1"/>
  <c r="R1133" i="1" l="1"/>
  <c r="Q1134" i="1" s="1"/>
  <c r="P1134" i="1" l="1"/>
  <c r="R1134" i="1" l="1"/>
  <c r="Q1135" i="1" s="1"/>
  <c r="P1135" i="1" l="1"/>
  <c r="R1135" i="1" l="1"/>
  <c r="Q1136" i="1" s="1"/>
  <c r="P1136" i="1" l="1"/>
  <c r="R1136" i="1" l="1"/>
  <c r="Q1137" i="1" s="1"/>
  <c r="P1137" i="1" l="1"/>
  <c r="R1137" i="1" l="1"/>
  <c r="Q1138" i="1" s="1"/>
  <c r="P1138" i="1" l="1"/>
  <c r="R1138" i="1" l="1"/>
  <c r="Q1139" i="1" s="1"/>
  <c r="P1139" i="1" l="1"/>
  <c r="R1139" i="1" l="1"/>
  <c r="Q1140" i="1" s="1"/>
  <c r="P1140" i="1" l="1"/>
  <c r="R1140" i="1" l="1"/>
  <c r="Q1141" i="1" s="1"/>
  <c r="P1141" i="1" l="1"/>
  <c r="R1141" i="1" l="1"/>
  <c r="Q1142" i="1" s="1"/>
  <c r="P1142" i="1" l="1"/>
  <c r="R1142" i="1" l="1"/>
  <c r="Q1143" i="1" s="1"/>
  <c r="P1143" i="1" l="1"/>
  <c r="R1143" i="1" l="1"/>
  <c r="Q1144" i="1" s="1"/>
  <c r="P1144" i="1" l="1"/>
  <c r="R1144" i="1" l="1"/>
  <c r="Q1145" i="1" s="1"/>
  <c r="P1145" i="1" l="1"/>
  <c r="R1145" i="1" l="1"/>
  <c r="Q1146" i="1" s="1"/>
  <c r="P1146" i="1" l="1"/>
  <c r="R1146" i="1" l="1"/>
  <c r="Q1147" i="1" s="1"/>
  <c r="P1147" i="1" l="1"/>
  <c r="R1147" i="1" l="1"/>
  <c r="Q1148" i="1" s="1"/>
  <c r="P1148" i="1" l="1"/>
  <c r="R1148" i="1" l="1"/>
  <c r="Q1149" i="1" s="1"/>
  <c r="P1149" i="1" l="1"/>
  <c r="R1149" i="1" l="1"/>
  <c r="Q1150" i="1" s="1"/>
  <c r="P1150" i="1" l="1"/>
  <c r="R1150" i="1" l="1"/>
  <c r="Q1151" i="1" s="1"/>
  <c r="P1151" i="1" l="1"/>
  <c r="R1151" i="1" l="1"/>
  <c r="Q1152" i="1" s="1"/>
  <c r="P1152" i="1" l="1"/>
  <c r="R1152" i="1" l="1"/>
  <c r="Q1153" i="1" s="1"/>
  <c r="P1153" i="1" l="1"/>
  <c r="R1153" i="1" l="1"/>
  <c r="Q1154" i="1" s="1"/>
  <c r="P1154" i="1" l="1"/>
  <c r="R1154" i="1" l="1"/>
  <c r="Q1155" i="1" s="1"/>
  <c r="P1155" i="1" l="1"/>
  <c r="R1155" i="1" l="1"/>
  <c r="Q1156" i="1" s="1"/>
  <c r="P1156" i="1" l="1"/>
  <c r="R1156" i="1" l="1"/>
  <c r="Q1157" i="1" s="1"/>
  <c r="P1157" i="1" l="1"/>
  <c r="R1157" i="1" l="1"/>
  <c r="Q1158" i="1" s="1"/>
  <c r="P1158" i="1" l="1"/>
  <c r="R1158" i="1" l="1"/>
  <c r="Q1159" i="1" s="1"/>
  <c r="P1159" i="1" l="1"/>
  <c r="R1159" i="1" l="1"/>
  <c r="Q1160" i="1" s="1"/>
  <c r="P1160" i="1" l="1"/>
  <c r="R1160" i="1" l="1"/>
  <c r="Q1161" i="1" s="1"/>
  <c r="P1161" i="1" l="1"/>
  <c r="R1161" i="1" l="1"/>
  <c r="Q1162" i="1" s="1"/>
  <c r="P1162" i="1" l="1"/>
  <c r="R1162" i="1" l="1"/>
  <c r="Q1163" i="1" s="1"/>
  <c r="P1163" i="1" l="1"/>
  <c r="R1163" i="1" l="1"/>
  <c r="Q1164" i="1" s="1"/>
  <c r="P1164" i="1" l="1"/>
  <c r="R1164" i="1" l="1"/>
  <c r="Q1165" i="1" s="1"/>
  <c r="P1165" i="1" l="1"/>
  <c r="R1165" i="1" l="1"/>
  <c r="Q1166" i="1" s="1"/>
  <c r="P1166" i="1" l="1"/>
  <c r="R1166" i="1" l="1"/>
  <c r="Q1167" i="1" s="1"/>
  <c r="P1167" i="1" l="1"/>
  <c r="R1167" i="1" l="1"/>
  <c r="Q1168" i="1" s="1"/>
  <c r="P1168" i="1" l="1"/>
  <c r="R1168" i="1" l="1"/>
  <c r="Q1169" i="1" s="1"/>
  <c r="P1169" i="1" l="1"/>
  <c r="R1169" i="1" l="1"/>
  <c r="Q1170" i="1" s="1"/>
  <c r="P1170" i="1" l="1"/>
  <c r="R1170" i="1" l="1"/>
  <c r="Q1171" i="1" s="1"/>
  <c r="P1171" i="1" l="1"/>
  <c r="R1171" i="1" l="1"/>
  <c r="Q1172" i="1" s="1"/>
  <c r="P1172" i="1" l="1"/>
  <c r="R1172" i="1" l="1"/>
  <c r="Q1173" i="1" s="1"/>
  <c r="P1173" i="1" l="1"/>
  <c r="R1173" i="1" l="1"/>
  <c r="Q1174" i="1" s="1"/>
  <c r="P1174" i="1" l="1"/>
  <c r="R1174" i="1" l="1"/>
  <c r="Q1175" i="1" s="1"/>
  <c r="P1175" i="1" l="1"/>
  <c r="R1175" i="1" l="1"/>
  <c r="Q1176" i="1" s="1"/>
  <c r="P1176" i="1" l="1"/>
  <c r="R1176" i="1" l="1"/>
  <c r="Q1177" i="1" s="1"/>
  <c r="P1177" i="1" l="1"/>
  <c r="R1177" i="1" l="1"/>
  <c r="Q1178" i="1" s="1"/>
  <c r="P1178" i="1" l="1"/>
  <c r="R1178" i="1" l="1"/>
  <c r="Q1179" i="1" s="1"/>
  <c r="P1179" i="1" l="1"/>
  <c r="R1179" i="1" l="1"/>
  <c r="Q1180" i="1" s="1"/>
  <c r="P1180" i="1" l="1"/>
  <c r="R1180" i="1" l="1"/>
  <c r="Q1181" i="1" s="1"/>
  <c r="P1181" i="1" l="1"/>
  <c r="R1181" i="1" l="1"/>
  <c r="Q1182" i="1" s="1"/>
  <c r="P1182" i="1" l="1"/>
  <c r="R1182" i="1" l="1"/>
  <c r="Q1183" i="1" s="1"/>
  <c r="P1183" i="1" l="1"/>
  <c r="R1183" i="1" l="1"/>
  <c r="Q1184" i="1" s="1"/>
  <c r="P1184" i="1" l="1"/>
  <c r="R1184" i="1" l="1"/>
  <c r="Q1185" i="1" s="1"/>
  <c r="P1185" i="1" s="1"/>
  <c r="R1185" i="1" l="1"/>
  <c r="Q1186" i="1" s="1"/>
  <c r="P1186" i="1" l="1"/>
  <c r="R1186" i="1" l="1"/>
  <c r="Q1187" i="1" s="1"/>
  <c r="P1187" i="1" l="1"/>
  <c r="R1187" i="1" l="1"/>
  <c r="Q1188" i="1" s="1"/>
  <c r="P1188" i="1" l="1"/>
  <c r="R1188" i="1" l="1"/>
  <c r="Q1189" i="1" s="1"/>
  <c r="P1189" i="1" l="1"/>
  <c r="R1189" i="1" l="1"/>
  <c r="Q1190" i="1" s="1"/>
  <c r="P1190" i="1" l="1"/>
  <c r="R1190" i="1" l="1"/>
  <c r="Q1191" i="1" s="1"/>
  <c r="P1191" i="1" l="1"/>
  <c r="R1191" i="1" l="1"/>
  <c r="Q1192" i="1" s="1"/>
  <c r="P1192" i="1" l="1"/>
  <c r="R1192" i="1" l="1"/>
  <c r="Q1193" i="1" s="1"/>
  <c r="P1193" i="1" l="1"/>
  <c r="R1193" i="1" l="1"/>
  <c r="Q1194" i="1" s="1"/>
  <c r="P1194" i="1" l="1"/>
  <c r="R1194" i="1" l="1"/>
  <c r="Q1195" i="1" s="1"/>
  <c r="P1195" i="1" l="1"/>
  <c r="R1195" i="1" l="1"/>
  <c r="Q1196" i="1" s="1"/>
  <c r="P1196" i="1" l="1"/>
  <c r="R1196" i="1" l="1"/>
  <c r="Q1197" i="1" s="1"/>
  <c r="P1197" i="1" l="1"/>
  <c r="R1197" i="1" l="1"/>
  <c r="Q1198" i="1" s="1"/>
  <c r="P1198" i="1" l="1"/>
  <c r="R1198" i="1" l="1"/>
  <c r="Q1199" i="1" s="1"/>
  <c r="P1199" i="1" l="1"/>
  <c r="R1199" i="1" l="1"/>
  <c r="Q1200" i="1" s="1"/>
  <c r="P1200" i="1" l="1"/>
  <c r="R1200" i="1" l="1"/>
  <c r="Q1201" i="1" s="1"/>
  <c r="P1201" i="1" l="1"/>
  <c r="R1201" i="1" l="1"/>
  <c r="Q1202" i="1" s="1"/>
  <c r="P1202" i="1" l="1"/>
  <c r="R1202" i="1" l="1"/>
  <c r="Q1203" i="1" s="1"/>
  <c r="P1203" i="1" l="1"/>
  <c r="R1203" i="1" l="1"/>
  <c r="Q1204" i="1" s="1"/>
  <c r="P1204" i="1" l="1"/>
  <c r="R1204" i="1" l="1"/>
  <c r="Q1205" i="1" s="1"/>
  <c r="P1205" i="1" l="1"/>
  <c r="R1205" i="1" l="1"/>
  <c r="Q1206" i="1" s="1"/>
  <c r="P1206" i="1" l="1"/>
  <c r="R1206" i="1" l="1"/>
  <c r="Q1207" i="1" s="1"/>
  <c r="P1207" i="1" l="1"/>
  <c r="R1207" i="1" l="1"/>
  <c r="Q1208" i="1" s="1"/>
  <c r="P1208" i="1" l="1"/>
  <c r="R1208" i="1" l="1"/>
  <c r="Q1209" i="1" s="1"/>
  <c r="P1209" i="1" l="1"/>
  <c r="R1209" i="1" l="1"/>
  <c r="Q1210" i="1" s="1"/>
  <c r="P1210" i="1" l="1"/>
  <c r="R1210" i="1" l="1"/>
  <c r="Q1211" i="1" s="1"/>
  <c r="P1211" i="1" l="1"/>
  <c r="R1211" i="1" l="1"/>
  <c r="Q1212" i="1" s="1"/>
  <c r="P1212" i="1" l="1"/>
  <c r="R1212" i="1" l="1"/>
  <c r="Q1213" i="1" s="1"/>
  <c r="P1213" i="1" l="1"/>
  <c r="R1213" i="1" l="1"/>
  <c r="Q1214" i="1" s="1"/>
  <c r="P1214" i="1" l="1"/>
  <c r="R1214" i="1" l="1"/>
  <c r="Q1215" i="1" s="1"/>
  <c r="P1215" i="1" l="1"/>
  <c r="R1215" i="1" l="1"/>
  <c r="Q1216" i="1" s="1"/>
  <c r="P1216" i="1" l="1"/>
  <c r="R1216" i="1" l="1"/>
  <c r="Q1217" i="1" s="1"/>
  <c r="P1217" i="1" l="1"/>
  <c r="R1217" i="1" l="1"/>
  <c r="Q1218" i="1" s="1"/>
  <c r="P1218" i="1" l="1"/>
  <c r="R1218" i="1" l="1"/>
  <c r="Q1219" i="1" s="1"/>
  <c r="P1219" i="1" l="1"/>
  <c r="R1219" i="1" l="1"/>
  <c r="Q1220" i="1" s="1"/>
  <c r="P1220" i="1" l="1"/>
  <c r="R1220" i="1" l="1"/>
  <c r="Q1221" i="1" s="1"/>
  <c r="P1221" i="1" l="1"/>
  <c r="R1221" i="1" l="1"/>
  <c r="Q1222" i="1" s="1"/>
  <c r="P1222" i="1" l="1"/>
  <c r="R1222" i="1" l="1"/>
  <c r="Q1223" i="1" s="1"/>
  <c r="P1223" i="1" l="1"/>
  <c r="R1223" i="1" l="1"/>
  <c r="Q1224" i="1" s="1"/>
  <c r="P1224" i="1" l="1"/>
  <c r="R1224" i="1" l="1"/>
  <c r="Q1225" i="1" s="1"/>
  <c r="P1225" i="1" l="1"/>
  <c r="R1225" i="1" l="1"/>
  <c r="Q1226" i="1" s="1"/>
  <c r="P1226" i="1" l="1"/>
  <c r="R1226" i="1" l="1"/>
  <c r="Q1227" i="1" s="1"/>
  <c r="P1227" i="1" l="1"/>
  <c r="R1227" i="1" l="1"/>
  <c r="Q1228" i="1" s="1"/>
  <c r="P1228" i="1" l="1"/>
  <c r="R1228" i="1" l="1"/>
  <c r="Q1229" i="1" s="1"/>
  <c r="P1229" i="1" l="1"/>
  <c r="R1229" i="1" l="1"/>
  <c r="Q1230" i="1" s="1"/>
  <c r="P1230" i="1" l="1"/>
  <c r="R1230" i="1" l="1"/>
  <c r="Q1231" i="1" s="1"/>
  <c r="P1231" i="1" l="1"/>
  <c r="R1231" i="1" l="1"/>
  <c r="Q1232" i="1" s="1"/>
  <c r="P1232" i="1" l="1"/>
  <c r="R1232" i="1" l="1"/>
  <c r="Q1233" i="1" s="1"/>
  <c r="P1233" i="1" l="1"/>
  <c r="R1233" i="1" l="1"/>
  <c r="Q1234" i="1" s="1"/>
  <c r="P1234" i="1" l="1"/>
  <c r="R1234" i="1" l="1"/>
  <c r="Q1235" i="1" s="1"/>
  <c r="P1235" i="1" l="1"/>
  <c r="R1235" i="1" l="1"/>
  <c r="Q1236" i="1" s="1"/>
  <c r="P1236" i="1" l="1"/>
  <c r="R1236" i="1" l="1"/>
  <c r="Q1237" i="1" s="1"/>
  <c r="P1237" i="1" l="1"/>
  <c r="R1237" i="1" l="1"/>
  <c r="Q1238" i="1" s="1"/>
  <c r="P1238" i="1" l="1"/>
  <c r="R1238" i="1" l="1"/>
  <c r="Q1239" i="1" s="1"/>
  <c r="P1239" i="1" l="1"/>
  <c r="R1239" i="1" l="1"/>
  <c r="Q1240" i="1" s="1"/>
  <c r="P1240" i="1" l="1"/>
  <c r="R1240" i="1" l="1"/>
  <c r="Q1241" i="1" s="1"/>
  <c r="P1241" i="1" l="1"/>
  <c r="R1241" i="1" l="1"/>
  <c r="Q1242" i="1" s="1"/>
  <c r="P1242" i="1" l="1"/>
  <c r="R1242" i="1" l="1"/>
  <c r="Q1243" i="1" s="1"/>
  <c r="P1243" i="1" l="1"/>
  <c r="R1243" i="1" l="1"/>
  <c r="Q1244" i="1" s="1"/>
  <c r="P1244" i="1" l="1"/>
  <c r="R1244" i="1" l="1"/>
  <c r="Q1245" i="1" s="1"/>
  <c r="P1245" i="1" l="1"/>
  <c r="R1245" i="1" l="1"/>
  <c r="Q1246" i="1" s="1"/>
  <c r="P1246" i="1" l="1"/>
  <c r="R1246" i="1" l="1"/>
  <c r="Q1247" i="1" s="1"/>
  <c r="P1247" i="1" l="1"/>
  <c r="R1247" i="1" l="1"/>
  <c r="Q1248" i="1" s="1"/>
  <c r="P1248" i="1" l="1"/>
  <c r="R1248" i="1" l="1"/>
  <c r="Q1249" i="1" s="1"/>
  <c r="P1249" i="1" l="1"/>
  <c r="R1249" i="1" l="1"/>
  <c r="Q1250" i="1" s="1"/>
  <c r="P1250" i="1" l="1"/>
  <c r="R1250" i="1" l="1"/>
  <c r="Q1251" i="1" s="1"/>
  <c r="P1251" i="1" l="1"/>
  <c r="R1251" i="1" l="1"/>
  <c r="Q1252" i="1" s="1"/>
  <c r="P1252" i="1" l="1"/>
  <c r="R1252" i="1" l="1"/>
  <c r="Q1253" i="1" s="1"/>
  <c r="P1253" i="1" l="1"/>
  <c r="R1253" i="1" l="1"/>
  <c r="Q1254" i="1" s="1"/>
  <c r="P1254" i="1" l="1"/>
  <c r="R1254" i="1" l="1"/>
  <c r="Q1255" i="1" s="1"/>
  <c r="P1255" i="1" l="1"/>
  <c r="R1255" i="1" l="1"/>
  <c r="Q1256" i="1" s="1"/>
  <c r="P1256" i="1" l="1"/>
  <c r="R1256" i="1" l="1"/>
  <c r="Q1257" i="1" s="1"/>
  <c r="P1257" i="1" l="1"/>
  <c r="R1257" i="1" l="1"/>
  <c r="Q1258" i="1" s="1"/>
  <c r="P1258" i="1" l="1"/>
  <c r="R1258" i="1" l="1"/>
  <c r="Q1259" i="1" s="1"/>
  <c r="P1259" i="1" l="1"/>
  <c r="R1259" i="1" l="1"/>
  <c r="Q1260" i="1" s="1"/>
  <c r="P1260" i="1" l="1"/>
  <c r="R1260" i="1" l="1"/>
  <c r="Q1261" i="1" s="1"/>
  <c r="P1261" i="1" l="1"/>
  <c r="R1261" i="1" l="1"/>
  <c r="Q1262" i="1" s="1"/>
  <c r="P1262" i="1" l="1"/>
  <c r="R1262" i="1" l="1"/>
  <c r="Q1263" i="1" s="1"/>
  <c r="P1263" i="1" l="1"/>
  <c r="R1263" i="1" l="1"/>
  <c r="Q1264" i="1" s="1"/>
  <c r="P1264" i="1" l="1"/>
  <c r="R1264" i="1" l="1"/>
  <c r="Q1265" i="1" s="1"/>
  <c r="P1265" i="1" l="1"/>
  <c r="R1265" i="1" l="1"/>
  <c r="Q1266" i="1" s="1"/>
  <c r="P1266" i="1" l="1"/>
  <c r="R1266" i="1" l="1"/>
  <c r="Q1267" i="1" s="1"/>
  <c r="P1267" i="1" l="1"/>
  <c r="R1267" i="1" l="1"/>
  <c r="Q1268" i="1" s="1"/>
  <c r="P1268" i="1" l="1"/>
  <c r="R1268" i="1" l="1"/>
  <c r="Q1269" i="1" s="1"/>
  <c r="P1269" i="1" l="1"/>
  <c r="R1269" i="1" l="1"/>
  <c r="Q1270" i="1" s="1"/>
  <c r="P1270" i="1" l="1"/>
  <c r="R1270" i="1" l="1"/>
  <c r="Q1271" i="1" s="1"/>
  <c r="P1271" i="1" l="1"/>
  <c r="R1271" i="1" l="1"/>
  <c r="Q1272" i="1" s="1"/>
  <c r="P1272" i="1" l="1"/>
  <c r="R1272" i="1" l="1"/>
  <c r="Q1273" i="1" s="1"/>
  <c r="P1273" i="1" l="1"/>
  <c r="R1273" i="1" l="1"/>
  <c r="Q1274" i="1" s="1"/>
  <c r="P1274" i="1" l="1"/>
  <c r="R1274" i="1" l="1"/>
  <c r="Q1275" i="1" s="1"/>
  <c r="P1275" i="1" l="1"/>
  <c r="R1275" i="1" l="1"/>
  <c r="Q1276" i="1" s="1"/>
  <c r="P1276" i="1" l="1"/>
  <c r="R1276" i="1" l="1"/>
  <c r="Q1277" i="1" s="1"/>
  <c r="P1277" i="1" l="1"/>
  <c r="R1277" i="1" l="1"/>
  <c r="Q1278" i="1" s="1"/>
  <c r="P1278" i="1" l="1"/>
  <c r="R1278" i="1" l="1"/>
  <c r="Q1279" i="1" s="1"/>
  <c r="P1279" i="1" l="1"/>
  <c r="R1279" i="1" l="1"/>
  <c r="Q1280" i="1" s="1"/>
  <c r="P1280" i="1" l="1"/>
  <c r="R1280" i="1" l="1"/>
  <c r="Q1281" i="1" s="1"/>
  <c r="P1281" i="1" l="1"/>
  <c r="R1281" i="1" l="1"/>
  <c r="Q1282" i="1" s="1"/>
  <c r="P1282" i="1" l="1"/>
  <c r="R1282" i="1" l="1"/>
  <c r="Q1283" i="1" s="1"/>
  <c r="P1283" i="1" l="1"/>
  <c r="R1283" i="1" l="1"/>
  <c r="Q1284" i="1" s="1"/>
  <c r="P1284" i="1" l="1"/>
  <c r="R1284" i="1" l="1"/>
  <c r="Q1285" i="1" s="1"/>
  <c r="P1285" i="1" l="1"/>
  <c r="R1285" i="1" l="1"/>
  <c r="Q1286" i="1" s="1"/>
  <c r="P1286" i="1" l="1"/>
  <c r="R1286" i="1" l="1"/>
  <c r="Q1287" i="1" s="1"/>
  <c r="P1287" i="1" l="1"/>
  <c r="R1287" i="1" l="1"/>
  <c r="Q1288" i="1" s="1"/>
  <c r="P1288" i="1" l="1"/>
  <c r="R1288" i="1" l="1"/>
  <c r="Q1289" i="1" s="1"/>
  <c r="P1289" i="1" l="1"/>
  <c r="R1289" i="1" l="1"/>
  <c r="Q1290" i="1" s="1"/>
  <c r="P1290" i="1" l="1"/>
  <c r="R1290" i="1" l="1"/>
  <c r="Q1291" i="1" s="1"/>
  <c r="P1291" i="1" l="1"/>
  <c r="R1291" i="1" l="1"/>
  <c r="Q1292" i="1" s="1"/>
  <c r="P1292" i="1" l="1"/>
  <c r="R1292" i="1" l="1"/>
  <c r="Q1293" i="1" s="1"/>
  <c r="P1293" i="1" l="1"/>
  <c r="R1293" i="1" l="1"/>
  <c r="Q1294" i="1" s="1"/>
  <c r="P1294" i="1" l="1"/>
  <c r="R1294" i="1" l="1"/>
  <c r="Q1295" i="1" s="1"/>
  <c r="P1295" i="1" l="1"/>
  <c r="R1295" i="1" l="1"/>
  <c r="Q1296" i="1" s="1"/>
  <c r="P1296" i="1" l="1"/>
  <c r="R1296" i="1" l="1"/>
  <c r="Q1297" i="1" s="1"/>
  <c r="P1297" i="1" l="1"/>
  <c r="R1297" i="1" l="1"/>
  <c r="Q1298" i="1" s="1"/>
  <c r="P1298" i="1" l="1"/>
  <c r="R1298" i="1" l="1"/>
  <c r="Q1299" i="1" s="1"/>
  <c r="P1299" i="1" l="1"/>
  <c r="R1299" i="1" l="1"/>
  <c r="Q1300" i="1" s="1"/>
  <c r="P1300" i="1" l="1"/>
  <c r="R1300" i="1" l="1"/>
  <c r="Q1301" i="1" s="1"/>
  <c r="P1301" i="1" l="1"/>
  <c r="R1301" i="1" l="1"/>
  <c r="Q1302" i="1" s="1"/>
  <c r="P1302" i="1" l="1"/>
  <c r="R1302" i="1" l="1"/>
  <c r="Q1303" i="1" s="1"/>
  <c r="P1303" i="1" l="1"/>
  <c r="R1303" i="1" l="1"/>
  <c r="Q1304" i="1" s="1"/>
  <c r="P1304" i="1" l="1"/>
  <c r="R1304" i="1" l="1"/>
  <c r="Q1305" i="1" s="1"/>
  <c r="P1305" i="1" l="1"/>
  <c r="R1305" i="1" l="1"/>
  <c r="Q1306" i="1" s="1"/>
  <c r="P1306" i="1" l="1"/>
  <c r="R1306" i="1" l="1"/>
  <c r="Q1307" i="1" s="1"/>
  <c r="P1307" i="1" l="1"/>
  <c r="R1307" i="1" l="1"/>
  <c r="Q1308" i="1" s="1"/>
  <c r="P1308" i="1" l="1"/>
  <c r="R1308" i="1" l="1"/>
  <c r="Q1309" i="1" s="1"/>
  <c r="P1309" i="1" l="1"/>
  <c r="R1309" i="1" l="1"/>
  <c r="Q1310" i="1" s="1"/>
  <c r="P1310" i="1" l="1"/>
  <c r="R1310" i="1" l="1"/>
  <c r="Q1311" i="1" s="1"/>
  <c r="P1311" i="1" l="1"/>
  <c r="R1311" i="1" l="1"/>
  <c r="Q1312" i="1" s="1"/>
  <c r="P1312" i="1" l="1"/>
  <c r="R1312" i="1" l="1"/>
  <c r="Q1313" i="1" s="1"/>
  <c r="P1313" i="1" l="1"/>
  <c r="R1313" i="1" l="1"/>
  <c r="Q1314" i="1" s="1"/>
  <c r="P1314" i="1" l="1"/>
  <c r="R1314" i="1" l="1"/>
  <c r="Q1315" i="1" s="1"/>
  <c r="P1315" i="1" l="1"/>
  <c r="R1315" i="1" l="1"/>
  <c r="Q1316" i="1" s="1"/>
  <c r="P1316" i="1" l="1"/>
  <c r="R1316" i="1" l="1"/>
  <c r="Q1317" i="1" s="1"/>
  <c r="P1317" i="1" l="1"/>
  <c r="R1317" i="1" l="1"/>
  <c r="Q1318" i="1" s="1"/>
  <c r="P1318" i="1" l="1"/>
  <c r="R1318" i="1" l="1"/>
  <c r="Q1319" i="1" s="1"/>
  <c r="P1319" i="1" l="1"/>
  <c r="R1319" i="1" l="1"/>
  <c r="Q1320" i="1" s="1"/>
  <c r="P1320" i="1" l="1"/>
  <c r="R1320" i="1" l="1"/>
  <c r="Q1321" i="1" s="1"/>
  <c r="P1321" i="1" l="1"/>
  <c r="R1321" i="1" l="1"/>
  <c r="Q1322" i="1" s="1"/>
  <c r="P1322" i="1" l="1"/>
  <c r="R1322" i="1" l="1"/>
  <c r="Q1323" i="1" s="1"/>
  <c r="P1323" i="1" l="1"/>
  <c r="R1323" i="1" l="1"/>
  <c r="Q1324" i="1" s="1"/>
  <c r="P1324" i="1" l="1"/>
  <c r="R1324" i="1" l="1"/>
  <c r="Q1325" i="1" s="1"/>
  <c r="P1325" i="1" l="1"/>
  <c r="R1325" i="1" l="1"/>
  <c r="Q1326" i="1" s="1"/>
  <c r="P1326" i="1" l="1"/>
  <c r="R1326" i="1" l="1"/>
  <c r="Q1327" i="1" s="1"/>
  <c r="P1327" i="1" l="1"/>
  <c r="R1327" i="1" l="1"/>
  <c r="Q1328" i="1" s="1"/>
  <c r="P1328" i="1" l="1"/>
  <c r="R1328" i="1" l="1"/>
  <c r="Q1329" i="1" s="1"/>
  <c r="P1329" i="1" l="1"/>
  <c r="R1329" i="1" l="1"/>
  <c r="Q1330" i="1" s="1"/>
  <c r="P1330" i="1" l="1"/>
  <c r="R1330" i="1" l="1"/>
  <c r="Q1331" i="1" s="1"/>
  <c r="P1331" i="1" l="1"/>
  <c r="R1331" i="1" l="1"/>
  <c r="Q1332" i="1" s="1"/>
  <c r="P1332" i="1" l="1"/>
  <c r="R1332" i="1" l="1"/>
  <c r="Q1333" i="1" s="1"/>
  <c r="P1333" i="1" l="1"/>
  <c r="R1333" i="1" l="1"/>
  <c r="Q1334" i="1" s="1"/>
  <c r="P1334" i="1" l="1"/>
  <c r="R1334" i="1" l="1"/>
  <c r="Q1335" i="1" s="1"/>
  <c r="P1335" i="1" l="1"/>
  <c r="R1335" i="1" l="1"/>
  <c r="Q1336" i="1" s="1"/>
  <c r="P1336" i="1" l="1"/>
  <c r="R1336" i="1" l="1"/>
  <c r="Q1337" i="1" s="1"/>
  <c r="P1337" i="1" l="1"/>
  <c r="R1337" i="1" l="1"/>
  <c r="Q1338" i="1" s="1"/>
  <c r="P1338" i="1" l="1"/>
  <c r="R1338" i="1" l="1"/>
  <c r="Q1339" i="1" s="1"/>
  <c r="P1339" i="1" l="1"/>
  <c r="R1339" i="1" l="1"/>
  <c r="Q1340" i="1" s="1"/>
  <c r="P1340" i="1" l="1"/>
  <c r="R1340" i="1" l="1"/>
  <c r="Q1341" i="1" s="1"/>
  <c r="P1341" i="1" l="1"/>
  <c r="R1341" i="1" l="1"/>
  <c r="Q1342" i="1" s="1"/>
  <c r="P1342" i="1" l="1"/>
  <c r="R1342" i="1" l="1"/>
  <c r="Q1343" i="1" s="1"/>
  <c r="P1343" i="1" l="1"/>
  <c r="R1343" i="1" l="1"/>
  <c r="Q1344" i="1" s="1"/>
  <c r="P1344" i="1" l="1"/>
  <c r="R1344" i="1" l="1"/>
  <c r="Q1345" i="1" s="1"/>
  <c r="P1345" i="1" l="1"/>
  <c r="R1345" i="1" l="1"/>
  <c r="Q1346" i="1" s="1"/>
  <c r="P1346" i="1" l="1"/>
  <c r="R1346" i="1" l="1"/>
  <c r="Q1347" i="1" s="1"/>
  <c r="P1347" i="1" l="1"/>
  <c r="R1347" i="1" l="1"/>
  <c r="Q1348" i="1" s="1"/>
  <c r="P1348" i="1" l="1"/>
  <c r="R1348" i="1" l="1"/>
  <c r="Q1349" i="1" s="1"/>
  <c r="P1349" i="1" l="1"/>
  <c r="R1349" i="1" l="1"/>
  <c r="Q1350" i="1" s="1"/>
  <c r="P1350" i="1" l="1"/>
  <c r="R1350" i="1" l="1"/>
  <c r="Q1351" i="1" s="1"/>
  <c r="P1351" i="1" l="1"/>
  <c r="R1351" i="1" l="1"/>
  <c r="Q1352" i="1" s="1"/>
  <c r="P1352" i="1" l="1"/>
  <c r="R1352" i="1" l="1"/>
  <c r="Q1353" i="1" s="1"/>
  <c r="P1353" i="1" l="1"/>
  <c r="R1353" i="1" l="1"/>
  <c r="Q1354" i="1" s="1"/>
  <c r="P1354" i="1" l="1"/>
  <c r="R1354" i="1" l="1"/>
  <c r="Q1355" i="1" s="1"/>
  <c r="P1355" i="1" l="1"/>
  <c r="R1355" i="1" l="1"/>
  <c r="Q1356" i="1" s="1"/>
  <c r="P1356" i="1" l="1"/>
  <c r="R1356" i="1" l="1"/>
  <c r="Q1357" i="1" s="1"/>
  <c r="P1357" i="1" l="1"/>
  <c r="R1357" i="1" l="1"/>
  <c r="Q1358" i="1" s="1"/>
  <c r="P1358" i="1" l="1"/>
  <c r="R1358" i="1" l="1"/>
  <c r="Q1359" i="1" s="1"/>
  <c r="P1359" i="1" l="1"/>
  <c r="R1359" i="1" l="1"/>
  <c r="Q1360" i="1" s="1"/>
  <c r="P1360" i="1" l="1"/>
  <c r="R1360" i="1" l="1"/>
  <c r="Q1361" i="1" s="1"/>
  <c r="P1361" i="1" l="1"/>
  <c r="R1361" i="1" l="1"/>
  <c r="Q1362" i="1" s="1"/>
  <c r="P1362" i="1" l="1"/>
  <c r="R1362" i="1" l="1"/>
  <c r="Q1363" i="1" s="1"/>
  <c r="P1363" i="1" l="1"/>
  <c r="R1363" i="1" l="1"/>
  <c r="Q1364" i="1" s="1"/>
  <c r="P1364" i="1" l="1"/>
  <c r="R1364" i="1" l="1"/>
  <c r="Q1365" i="1" s="1"/>
  <c r="P1365" i="1" l="1"/>
  <c r="R1365" i="1" l="1"/>
  <c r="Q1366" i="1" s="1"/>
  <c r="P1366" i="1" l="1"/>
  <c r="R1366" i="1" l="1"/>
  <c r="Q1367" i="1" s="1"/>
  <c r="P1367" i="1" l="1"/>
  <c r="R1367" i="1" l="1"/>
  <c r="Q1368" i="1" s="1"/>
  <c r="P1368" i="1" l="1"/>
  <c r="R1368" i="1" l="1"/>
  <c r="Q1369" i="1" s="1"/>
  <c r="P1369" i="1" l="1"/>
  <c r="R1369" i="1" l="1"/>
  <c r="Q1370" i="1" s="1"/>
  <c r="P1370" i="1" l="1"/>
  <c r="R1370" i="1" l="1"/>
  <c r="Q1371" i="1" s="1"/>
  <c r="P1371" i="1" l="1"/>
  <c r="R1371" i="1" l="1"/>
  <c r="Q1372" i="1" s="1"/>
  <c r="P1372" i="1" l="1"/>
  <c r="R1372" i="1" l="1"/>
  <c r="Q1373" i="1" s="1"/>
  <c r="P1373" i="1" l="1"/>
  <c r="R1373" i="1" l="1"/>
  <c r="Q1374" i="1" s="1"/>
  <c r="P1374" i="1" l="1"/>
  <c r="R1374" i="1" l="1"/>
  <c r="Q1375" i="1" s="1"/>
  <c r="P1375" i="1" l="1"/>
  <c r="R1375" i="1" l="1"/>
  <c r="Q1376" i="1" s="1"/>
  <c r="P1376" i="1" l="1"/>
  <c r="R1376" i="1" l="1"/>
  <c r="Q1377" i="1" s="1"/>
  <c r="P1377" i="1" l="1"/>
  <c r="R1377" i="1" l="1"/>
  <c r="Q1378" i="1" s="1"/>
  <c r="P1378" i="1" l="1"/>
  <c r="R1378" i="1" l="1"/>
  <c r="Q1379" i="1" s="1"/>
  <c r="P1379" i="1" l="1"/>
  <c r="R1379" i="1" l="1"/>
  <c r="Q1380" i="1" s="1"/>
  <c r="P1380" i="1" l="1"/>
  <c r="R1380" i="1" l="1"/>
  <c r="Q1381" i="1" s="1"/>
  <c r="P1381" i="1" l="1"/>
  <c r="R1381" i="1" l="1"/>
  <c r="Q1382" i="1" s="1"/>
  <c r="P1382" i="1" l="1"/>
  <c r="R1382" i="1" l="1"/>
  <c r="Q1383" i="1" s="1"/>
  <c r="P1383" i="1" l="1"/>
  <c r="R1383" i="1" l="1"/>
  <c r="Q1384" i="1" s="1"/>
  <c r="P1384" i="1" l="1"/>
  <c r="R1384" i="1" l="1"/>
  <c r="Q1385" i="1" s="1"/>
  <c r="P1385" i="1" l="1"/>
  <c r="R1385" i="1" l="1"/>
  <c r="Q1386" i="1" s="1"/>
  <c r="P1386" i="1" l="1"/>
  <c r="R1386" i="1" l="1"/>
  <c r="Q1387" i="1" s="1"/>
  <c r="P1387" i="1" l="1"/>
  <c r="R1387" i="1" l="1"/>
  <c r="Q1388" i="1" s="1"/>
  <c r="P1388" i="1" l="1"/>
  <c r="R1388" i="1" l="1"/>
  <c r="Q1389" i="1" s="1"/>
  <c r="P1389" i="1" l="1"/>
  <c r="R1389" i="1" l="1"/>
  <c r="Q1390" i="1" s="1"/>
  <c r="P1390" i="1" l="1"/>
  <c r="R1390" i="1" l="1"/>
  <c r="Q1391" i="1" s="1"/>
  <c r="P1391" i="1" l="1"/>
  <c r="R1391" i="1" l="1"/>
  <c r="Q1392" i="1" s="1"/>
  <c r="P1392" i="1" l="1"/>
  <c r="R1392" i="1" l="1"/>
  <c r="Q1393" i="1" s="1"/>
  <c r="P1393" i="1" l="1"/>
  <c r="R1393" i="1" l="1"/>
  <c r="Q1394" i="1" s="1"/>
  <c r="P1394" i="1" l="1"/>
  <c r="R1394" i="1" l="1"/>
  <c r="Q1395" i="1" s="1"/>
  <c r="P1395" i="1" l="1"/>
  <c r="R1395" i="1" l="1"/>
  <c r="Q1396" i="1" s="1"/>
  <c r="P1396" i="1" l="1"/>
  <c r="R1396" i="1" l="1"/>
  <c r="Q1397" i="1" s="1"/>
  <c r="P1397" i="1" l="1"/>
  <c r="R1397" i="1" l="1"/>
  <c r="Q1398" i="1" s="1"/>
  <c r="P1398" i="1" l="1"/>
  <c r="R1398" i="1" l="1"/>
  <c r="Q1399" i="1" s="1"/>
  <c r="P1399" i="1" l="1"/>
  <c r="R1399" i="1" l="1"/>
  <c r="Q1400" i="1" s="1"/>
  <c r="P1400" i="1" l="1"/>
  <c r="R1400" i="1" l="1"/>
  <c r="Q1401" i="1" s="1"/>
  <c r="P1401" i="1" l="1"/>
  <c r="R1401" i="1" l="1"/>
  <c r="Q1402" i="1" s="1"/>
  <c r="P1402" i="1" l="1"/>
  <c r="R1402" i="1" l="1"/>
  <c r="Q1403" i="1" s="1"/>
  <c r="P1403" i="1" l="1"/>
  <c r="R1403" i="1" l="1"/>
  <c r="Q1404" i="1" s="1"/>
  <c r="P1404" i="1" l="1"/>
  <c r="R1404" i="1" l="1"/>
  <c r="Q1405" i="1" s="1"/>
  <c r="P1405" i="1" l="1"/>
  <c r="R1405" i="1" l="1"/>
  <c r="Q1406" i="1" s="1"/>
  <c r="P1406" i="1" l="1"/>
  <c r="R1406" i="1" l="1"/>
  <c r="Q1407" i="1" s="1"/>
  <c r="P1407" i="1" l="1"/>
  <c r="R1407" i="1" l="1"/>
  <c r="Q1408" i="1" s="1"/>
  <c r="P1408" i="1" l="1"/>
  <c r="R1408" i="1" l="1"/>
  <c r="Q1409" i="1" s="1"/>
  <c r="P1409" i="1" l="1"/>
  <c r="R1409" i="1" l="1"/>
  <c r="Q1410" i="1" s="1"/>
  <c r="P1410" i="1" l="1"/>
  <c r="R1410" i="1" l="1"/>
  <c r="Q1411" i="1" s="1"/>
  <c r="P1411" i="1" l="1"/>
  <c r="R1411" i="1" l="1"/>
  <c r="Q1412" i="1" s="1"/>
  <c r="P1412" i="1" l="1"/>
  <c r="R1412" i="1" l="1"/>
  <c r="Q1413" i="1" s="1"/>
  <c r="P1413" i="1" l="1"/>
  <c r="R1413" i="1" l="1"/>
  <c r="Q1414" i="1" s="1"/>
  <c r="P1414" i="1" l="1"/>
  <c r="R1414" i="1" l="1"/>
  <c r="Q1415" i="1" s="1"/>
  <c r="P1415" i="1" l="1"/>
  <c r="R1415" i="1" l="1"/>
  <c r="Q1416" i="1" s="1"/>
  <c r="P1416" i="1" l="1"/>
  <c r="R1416" i="1" l="1"/>
  <c r="Q1417" i="1" s="1"/>
  <c r="P1417" i="1" l="1"/>
  <c r="R1417" i="1" l="1"/>
  <c r="Q1418" i="1" s="1"/>
  <c r="P1418" i="1" l="1"/>
  <c r="R1418" i="1" l="1"/>
  <c r="Q1419" i="1" s="1"/>
  <c r="P1419" i="1" l="1"/>
  <c r="R1419" i="1" l="1"/>
  <c r="Q1420" i="1" s="1"/>
  <c r="P1420" i="1" l="1"/>
  <c r="R1420" i="1" l="1"/>
  <c r="Q1421" i="1" s="1"/>
  <c r="P1421" i="1" l="1"/>
  <c r="R1421" i="1" l="1"/>
  <c r="Q1422" i="1" s="1"/>
  <c r="P1422" i="1" l="1"/>
  <c r="R1422" i="1" l="1"/>
  <c r="Q1423" i="1" s="1"/>
  <c r="P1423" i="1" l="1"/>
  <c r="R1423" i="1" l="1"/>
  <c r="Q1424" i="1" s="1"/>
  <c r="P1424" i="1" l="1"/>
  <c r="R1424" i="1" l="1"/>
  <c r="Q1425" i="1" s="1"/>
  <c r="P1425" i="1" l="1"/>
  <c r="R1425" i="1" l="1"/>
  <c r="Q1426" i="1" s="1"/>
  <c r="P1426" i="1" l="1"/>
  <c r="R1426" i="1" l="1"/>
  <c r="Q1427" i="1" s="1"/>
  <c r="P1427" i="1" l="1"/>
  <c r="R1427" i="1" l="1"/>
  <c r="Q1428" i="1" s="1"/>
  <c r="P1428" i="1" l="1"/>
  <c r="R1428" i="1" l="1"/>
  <c r="Q1429" i="1" s="1"/>
  <c r="P1429" i="1" l="1"/>
  <c r="R1429" i="1" l="1"/>
  <c r="Q1430" i="1" s="1"/>
  <c r="P1430" i="1" l="1"/>
  <c r="R1430" i="1" l="1"/>
  <c r="Q1431" i="1" s="1"/>
  <c r="P1431" i="1" l="1"/>
  <c r="R1431" i="1" l="1"/>
  <c r="Q1432" i="1" s="1"/>
  <c r="P1432" i="1" l="1"/>
  <c r="R1432" i="1" l="1"/>
  <c r="Q1433" i="1" s="1"/>
  <c r="P1433" i="1" l="1"/>
  <c r="R1433" i="1" l="1"/>
  <c r="Q1434" i="1" s="1"/>
  <c r="P1434" i="1" l="1"/>
  <c r="R1434" i="1" l="1"/>
  <c r="Q1435" i="1" s="1"/>
  <c r="P1435" i="1" l="1"/>
  <c r="R1435" i="1" l="1"/>
  <c r="Q1436" i="1" s="1"/>
  <c r="P1436" i="1" l="1"/>
  <c r="R1436" i="1" l="1"/>
  <c r="Q1437" i="1" s="1"/>
  <c r="P1437" i="1" l="1"/>
  <c r="R1437" i="1" l="1"/>
  <c r="Q1438" i="1" s="1"/>
  <c r="P1438" i="1" l="1"/>
  <c r="R1438" i="1" l="1"/>
  <c r="Q1439" i="1" s="1"/>
  <c r="P1439" i="1" l="1"/>
  <c r="R1439" i="1" l="1"/>
  <c r="Q1440" i="1" s="1"/>
  <c r="P1440" i="1" l="1"/>
  <c r="R1440" i="1" l="1"/>
  <c r="Q1441" i="1" s="1"/>
  <c r="P1441" i="1" l="1"/>
  <c r="R1441" i="1" l="1"/>
  <c r="Q1442" i="1" s="1"/>
  <c r="P1442" i="1" l="1"/>
  <c r="R1442" i="1" l="1"/>
  <c r="Q1443" i="1" s="1"/>
  <c r="P1443" i="1" l="1"/>
  <c r="R1443" i="1" l="1"/>
  <c r="Q1444" i="1" s="1"/>
  <c r="P1444" i="1" l="1"/>
  <c r="R1444" i="1" l="1"/>
  <c r="Q1445" i="1" s="1"/>
  <c r="P1445" i="1" l="1"/>
  <c r="R1445" i="1" l="1"/>
  <c r="Q1446" i="1" s="1"/>
  <c r="P1446" i="1" l="1"/>
  <c r="R1446" i="1" l="1"/>
  <c r="Q1447" i="1" s="1"/>
  <c r="P1447" i="1" l="1"/>
  <c r="R1447" i="1" l="1"/>
  <c r="Q1448" i="1" s="1"/>
  <c r="P1448" i="1" l="1"/>
  <c r="R1448" i="1" l="1"/>
  <c r="Q1449" i="1" s="1"/>
  <c r="P1449" i="1" l="1"/>
  <c r="R1449" i="1" l="1"/>
  <c r="Q1450" i="1" s="1"/>
  <c r="P1450" i="1" l="1"/>
  <c r="R1450" i="1" l="1"/>
  <c r="Q1451" i="1" s="1"/>
  <c r="P1451" i="1" l="1"/>
  <c r="R1451" i="1" l="1"/>
  <c r="Q1452" i="1" s="1"/>
  <c r="P1452" i="1" l="1"/>
  <c r="R1452" i="1" l="1"/>
  <c r="Q1453" i="1" s="1"/>
  <c r="P1453" i="1" l="1"/>
  <c r="R1453" i="1" l="1"/>
  <c r="Q1454" i="1" s="1"/>
  <c r="P1454" i="1" l="1"/>
  <c r="R1454" i="1" l="1"/>
  <c r="Q1455" i="1" s="1"/>
  <c r="P1455" i="1" l="1"/>
  <c r="R1455" i="1" l="1"/>
  <c r="Q1456" i="1" s="1"/>
  <c r="P1456" i="1" l="1"/>
  <c r="R1456" i="1" l="1"/>
  <c r="Q1457" i="1" s="1"/>
  <c r="P1457" i="1" l="1"/>
  <c r="R1457" i="1" l="1"/>
  <c r="Q1458" i="1" s="1"/>
  <c r="P1458" i="1" l="1"/>
  <c r="R1458" i="1" l="1"/>
  <c r="Q1459" i="1" s="1"/>
  <c r="P1459" i="1" l="1"/>
  <c r="R1459" i="1" l="1"/>
  <c r="Q1460" i="1" s="1"/>
  <c r="P1460" i="1" l="1"/>
  <c r="R1460" i="1" l="1"/>
  <c r="Q1461" i="1" s="1"/>
  <c r="P1461" i="1" l="1"/>
  <c r="R1461" i="1" l="1"/>
  <c r="Q1462" i="1" s="1"/>
  <c r="P1462" i="1" l="1"/>
  <c r="R1462" i="1" l="1"/>
  <c r="Q1463" i="1" s="1"/>
  <c r="P1463" i="1" l="1"/>
  <c r="R1463" i="1" l="1"/>
  <c r="Q1464" i="1" s="1"/>
  <c r="P1464" i="1" l="1"/>
  <c r="R1464" i="1" l="1"/>
  <c r="Q1465" i="1" s="1"/>
  <c r="P1465" i="1" l="1"/>
  <c r="R1465" i="1" l="1"/>
  <c r="Q1466" i="1" s="1"/>
  <c r="P1466" i="1" l="1"/>
  <c r="R1466" i="1" l="1"/>
  <c r="Q1467" i="1" s="1"/>
  <c r="P1467" i="1" l="1"/>
  <c r="R1467" i="1" l="1"/>
  <c r="Q1468" i="1" s="1"/>
  <c r="P1468" i="1" l="1"/>
  <c r="R1468" i="1" l="1"/>
  <c r="Q1469" i="1" s="1"/>
  <c r="P1469" i="1" l="1"/>
  <c r="R1469" i="1" l="1"/>
  <c r="Q1470" i="1" s="1"/>
  <c r="P1470" i="1" l="1"/>
  <c r="R1470" i="1" l="1"/>
  <c r="Q1471" i="1" s="1"/>
  <c r="P1471" i="1" l="1"/>
  <c r="R1471" i="1" l="1"/>
  <c r="Q1472" i="1" s="1"/>
  <c r="P1472" i="1" l="1"/>
  <c r="R1472" i="1" l="1"/>
  <c r="Q1473" i="1" s="1"/>
  <c r="P1473" i="1" l="1"/>
  <c r="R1473" i="1" l="1"/>
  <c r="Q1474" i="1" s="1"/>
  <c r="P1474" i="1" l="1"/>
  <c r="R1474" i="1" l="1"/>
  <c r="Q1475" i="1" s="1"/>
  <c r="P1475" i="1" l="1"/>
  <c r="R1475" i="1" l="1"/>
  <c r="Q1476" i="1" s="1"/>
  <c r="P1476" i="1" l="1"/>
  <c r="R1476" i="1" l="1"/>
  <c r="Q1477" i="1" s="1"/>
  <c r="P1477" i="1" l="1"/>
  <c r="R1477" i="1" l="1"/>
  <c r="Q1478" i="1" s="1"/>
  <c r="P1478" i="1" l="1"/>
  <c r="R1478" i="1" l="1"/>
  <c r="Q1479" i="1" s="1"/>
  <c r="P1479" i="1" l="1"/>
  <c r="R1479" i="1" l="1"/>
  <c r="Q1480" i="1" s="1"/>
  <c r="P1480" i="1" l="1"/>
  <c r="R1480" i="1" l="1"/>
  <c r="Q1481" i="1" s="1"/>
  <c r="P1481" i="1" l="1"/>
  <c r="R1481" i="1" l="1"/>
  <c r="Q1482" i="1" s="1"/>
  <c r="P1482" i="1" l="1"/>
  <c r="R1482" i="1" l="1"/>
  <c r="Q1483" i="1" s="1"/>
  <c r="P1483" i="1" l="1"/>
  <c r="R1483" i="1" l="1"/>
  <c r="Q1484" i="1" s="1"/>
  <c r="P1484" i="1" l="1"/>
  <c r="R1484" i="1" l="1"/>
  <c r="Q1485" i="1" s="1"/>
  <c r="P1485" i="1" l="1"/>
  <c r="R1485" i="1" l="1"/>
  <c r="Q1486" i="1" s="1"/>
  <c r="P1486" i="1" l="1"/>
  <c r="R1486" i="1" l="1"/>
  <c r="Q1487" i="1" s="1"/>
  <c r="P1487" i="1" l="1"/>
  <c r="R1487" i="1" l="1"/>
  <c r="Q1488" i="1" s="1"/>
  <c r="P1488" i="1" l="1"/>
  <c r="R1488" i="1" l="1"/>
  <c r="Q1489" i="1" s="1"/>
  <c r="P1489" i="1" l="1"/>
  <c r="R1489" i="1" l="1"/>
  <c r="Q1490" i="1" s="1"/>
  <c r="P1490" i="1" l="1"/>
  <c r="R1490" i="1" l="1"/>
  <c r="Q1491" i="1" s="1"/>
  <c r="P1491" i="1" l="1"/>
  <c r="R1491" i="1" l="1"/>
  <c r="Q1492" i="1" s="1"/>
  <c r="P1492" i="1" l="1"/>
  <c r="R1492" i="1" l="1"/>
  <c r="Q1493" i="1" s="1"/>
  <c r="P1493" i="1" l="1"/>
  <c r="R1493" i="1" l="1"/>
  <c r="Q1494" i="1" s="1"/>
  <c r="P1494" i="1" l="1"/>
  <c r="R1494" i="1" l="1"/>
  <c r="Q1495" i="1" s="1"/>
  <c r="P1495" i="1" l="1"/>
  <c r="R1495" i="1" l="1"/>
  <c r="Q1496" i="1" s="1"/>
  <c r="P1496" i="1" l="1"/>
  <c r="R1496" i="1" l="1"/>
  <c r="Q1497" i="1" s="1"/>
  <c r="P1497" i="1" l="1"/>
  <c r="R1497" i="1" l="1"/>
  <c r="Q1498" i="1" s="1"/>
  <c r="P1498" i="1" l="1"/>
  <c r="R1498" i="1" l="1"/>
  <c r="Q1499" i="1" s="1"/>
  <c r="P1499" i="1" l="1"/>
  <c r="R1499" i="1" l="1"/>
  <c r="Q1500" i="1" s="1"/>
  <c r="P1500" i="1" l="1"/>
  <c r="R1500" i="1" l="1"/>
  <c r="Q1501" i="1" s="1"/>
  <c r="P1501" i="1" l="1"/>
  <c r="R1501" i="1" l="1"/>
  <c r="Q1502" i="1" s="1"/>
  <c r="P1502" i="1" l="1"/>
  <c r="R1502" i="1" l="1"/>
  <c r="Q1503" i="1" s="1"/>
  <c r="P1503" i="1" l="1"/>
  <c r="R1503" i="1" l="1"/>
  <c r="Q1504" i="1" s="1"/>
  <c r="P1504" i="1" l="1"/>
  <c r="R1504" i="1" l="1"/>
  <c r="Q1505" i="1" s="1"/>
  <c r="P1505" i="1" l="1"/>
  <c r="R1505" i="1" l="1"/>
  <c r="Q1506" i="1" s="1"/>
  <c r="P1506" i="1" l="1"/>
  <c r="R1506" i="1" l="1"/>
  <c r="Q1507" i="1" s="1"/>
  <c r="P1507" i="1" l="1"/>
  <c r="R1507" i="1" l="1"/>
  <c r="Q1508" i="1" s="1"/>
  <c r="P1508" i="1" l="1"/>
  <c r="R1508" i="1" l="1"/>
  <c r="Q1509" i="1" s="1"/>
  <c r="P1509" i="1" l="1"/>
  <c r="R1509" i="1" l="1"/>
  <c r="Q1510" i="1" s="1"/>
  <c r="P1510" i="1" l="1"/>
  <c r="R1510" i="1" l="1"/>
  <c r="Q1511" i="1" s="1"/>
  <c r="P1511" i="1" l="1"/>
  <c r="R1511" i="1" l="1"/>
  <c r="Q1512" i="1" s="1"/>
  <c r="P1512" i="1" l="1"/>
  <c r="R1512" i="1" l="1"/>
  <c r="Q1513" i="1" s="1"/>
  <c r="P1513" i="1" l="1"/>
  <c r="R1513" i="1" l="1"/>
  <c r="Q1514" i="1" s="1"/>
  <c r="P1514" i="1" l="1"/>
  <c r="R1514" i="1" l="1"/>
  <c r="Q1515" i="1" s="1"/>
  <c r="P1515" i="1" l="1"/>
  <c r="R1515" i="1" l="1"/>
  <c r="Q1516" i="1" s="1"/>
  <c r="P1516" i="1" l="1"/>
  <c r="R1516" i="1" l="1"/>
  <c r="Q1517" i="1" s="1"/>
  <c r="P1517" i="1" l="1"/>
  <c r="R1517" i="1" l="1"/>
  <c r="Q1518" i="1" s="1"/>
  <c r="P1518" i="1" l="1"/>
  <c r="R1518" i="1" l="1"/>
  <c r="Q1519" i="1" s="1"/>
  <c r="P1519" i="1" l="1"/>
  <c r="R1519" i="1" l="1"/>
  <c r="Q1520" i="1" s="1"/>
  <c r="P1520" i="1" l="1"/>
  <c r="R1520" i="1" l="1"/>
  <c r="Q1521" i="1" s="1"/>
  <c r="P1521" i="1" l="1"/>
  <c r="R1521" i="1" l="1"/>
  <c r="Q1522" i="1" s="1"/>
  <c r="P1522" i="1" l="1"/>
  <c r="R1522" i="1" l="1"/>
  <c r="Q1523" i="1" s="1"/>
  <c r="P1523" i="1" l="1"/>
  <c r="R1523" i="1" l="1"/>
  <c r="Q1524" i="1" s="1"/>
  <c r="P1524" i="1" l="1"/>
  <c r="R1524" i="1" l="1"/>
  <c r="Q1525" i="1" s="1"/>
  <c r="P1525" i="1" l="1"/>
  <c r="R1525" i="1" l="1"/>
  <c r="Q1526" i="1" s="1"/>
  <c r="P1526" i="1" l="1"/>
  <c r="R1526" i="1" l="1"/>
  <c r="Q1527" i="1" s="1"/>
  <c r="P1527" i="1" l="1"/>
  <c r="R1527" i="1" l="1"/>
  <c r="Q1528" i="1" s="1"/>
  <c r="P1528" i="1" l="1"/>
  <c r="R1528" i="1" l="1"/>
  <c r="Q1529" i="1" s="1"/>
  <c r="P1529" i="1" l="1"/>
  <c r="R1529" i="1" l="1"/>
  <c r="Q1530" i="1" s="1"/>
  <c r="P1530" i="1" l="1"/>
  <c r="R1530" i="1" l="1"/>
  <c r="Q1531" i="1" s="1"/>
  <c r="P1531" i="1" l="1"/>
  <c r="R1531" i="1" l="1"/>
  <c r="Q1532" i="1" s="1"/>
  <c r="P1532" i="1" l="1"/>
  <c r="R1532" i="1" l="1"/>
  <c r="Q1533" i="1" s="1"/>
  <c r="P1533" i="1" l="1"/>
  <c r="R1533" i="1" l="1"/>
  <c r="Q1534" i="1" s="1"/>
  <c r="P1534" i="1" l="1"/>
  <c r="R1534" i="1" l="1"/>
  <c r="Q1535" i="1" s="1"/>
  <c r="P1535" i="1" l="1"/>
  <c r="R1535" i="1" l="1"/>
  <c r="Q1536" i="1" s="1"/>
  <c r="P1536" i="1" l="1"/>
  <c r="R1536" i="1" l="1"/>
  <c r="Q1537" i="1" s="1"/>
  <c r="P1537" i="1" l="1"/>
  <c r="R1537" i="1" l="1"/>
  <c r="Q1538" i="1" s="1"/>
  <c r="P1538" i="1" l="1"/>
  <c r="R1538" i="1" l="1"/>
  <c r="Q1539" i="1" s="1"/>
  <c r="P1539" i="1" l="1"/>
  <c r="R1539" i="1" l="1"/>
  <c r="Q1540" i="1" s="1"/>
  <c r="P1540" i="1" l="1"/>
  <c r="R1540" i="1" l="1"/>
  <c r="Q1541" i="1" s="1"/>
  <c r="P1541" i="1" l="1"/>
  <c r="R1541" i="1" l="1"/>
  <c r="Q1542" i="1" s="1"/>
  <c r="P1542" i="1" l="1"/>
  <c r="R1542" i="1" l="1"/>
  <c r="Q1543" i="1" s="1"/>
  <c r="P1543" i="1" l="1"/>
  <c r="R1543" i="1" l="1"/>
  <c r="Q1544" i="1" s="1"/>
  <c r="P1544" i="1" l="1"/>
  <c r="R1544" i="1" l="1"/>
  <c r="Q1545" i="1" s="1"/>
  <c r="P1545" i="1" l="1"/>
  <c r="R1545" i="1" l="1"/>
  <c r="Q1546" i="1" s="1"/>
  <c r="P1546" i="1" l="1"/>
  <c r="R1546" i="1" l="1"/>
  <c r="Q1547" i="1" s="1"/>
  <c r="P1547" i="1" l="1"/>
  <c r="R1547" i="1" l="1"/>
  <c r="Q1548" i="1" s="1"/>
  <c r="P1548" i="1" l="1"/>
  <c r="R1548" i="1" l="1"/>
  <c r="Q1549" i="1" s="1"/>
  <c r="P1549" i="1" l="1"/>
  <c r="R1549" i="1" l="1"/>
  <c r="Q1550" i="1" s="1"/>
  <c r="P1550" i="1" l="1"/>
  <c r="R1550" i="1" l="1"/>
  <c r="Q1551" i="1" s="1"/>
  <c r="P1551" i="1" l="1"/>
  <c r="R1551" i="1" l="1"/>
  <c r="Q1552" i="1" s="1"/>
  <c r="P1552" i="1" l="1"/>
  <c r="R1552" i="1" l="1"/>
  <c r="Q1553" i="1" s="1"/>
  <c r="P1553" i="1" l="1"/>
  <c r="R1553" i="1" l="1"/>
  <c r="Q1554" i="1" s="1"/>
  <c r="P1554" i="1" l="1"/>
  <c r="R1554" i="1" l="1"/>
  <c r="Q1555" i="1" s="1"/>
  <c r="P1555" i="1" l="1"/>
  <c r="R1555" i="1" l="1"/>
  <c r="Q1556" i="1" s="1"/>
  <c r="P1556" i="1" l="1"/>
  <c r="R1556" i="1" l="1"/>
  <c r="Q1557" i="1" s="1"/>
  <c r="P1557" i="1" l="1"/>
  <c r="R1557" i="1" l="1"/>
  <c r="Q1558" i="1" s="1"/>
  <c r="P1558" i="1" l="1"/>
  <c r="R1558" i="1" l="1"/>
  <c r="Q1559" i="1" s="1"/>
  <c r="P1559" i="1" l="1"/>
  <c r="R1559" i="1" l="1"/>
  <c r="Q1560" i="1" s="1"/>
  <c r="P1560" i="1" l="1"/>
  <c r="R1560" i="1" l="1"/>
  <c r="Q1561" i="1" s="1"/>
  <c r="P1561" i="1" l="1"/>
  <c r="R1561" i="1" l="1"/>
  <c r="Q1562" i="1" s="1"/>
  <c r="P1562" i="1" l="1"/>
  <c r="R1562" i="1" l="1"/>
  <c r="Q1563" i="1" s="1"/>
  <c r="P1563" i="1" l="1"/>
  <c r="R1563" i="1" l="1"/>
  <c r="Q1564" i="1" s="1"/>
  <c r="P1564" i="1" l="1"/>
  <c r="R1564" i="1" l="1"/>
  <c r="Q1565" i="1" s="1"/>
  <c r="P1565" i="1" l="1"/>
  <c r="R1565" i="1" l="1"/>
  <c r="Q1566" i="1" s="1"/>
  <c r="P1566" i="1" l="1"/>
  <c r="R1566" i="1" l="1"/>
  <c r="Q1567" i="1" s="1"/>
  <c r="P1567" i="1" l="1"/>
  <c r="R1567" i="1" l="1"/>
  <c r="Q1568" i="1" s="1"/>
  <c r="P1568" i="1" l="1"/>
  <c r="R1568" i="1" l="1"/>
  <c r="Q1569" i="1" s="1"/>
  <c r="P1569" i="1" l="1"/>
  <c r="R1569" i="1" l="1"/>
  <c r="Q1570" i="1" s="1"/>
  <c r="P1570" i="1" l="1"/>
  <c r="R1570" i="1" l="1"/>
  <c r="Q1571" i="1" s="1"/>
  <c r="P1571" i="1" l="1"/>
  <c r="R1571" i="1" l="1"/>
  <c r="Q1572" i="1" s="1"/>
  <c r="P1572" i="1" l="1"/>
  <c r="R1572" i="1" l="1"/>
  <c r="Q1573" i="1" s="1"/>
  <c r="P1573" i="1" l="1"/>
  <c r="R1573" i="1" l="1"/>
  <c r="Q1574" i="1" s="1"/>
  <c r="P1574" i="1" l="1"/>
  <c r="R1574" i="1" l="1"/>
  <c r="Q1575" i="1" s="1"/>
  <c r="P1575" i="1" l="1"/>
  <c r="R1575" i="1" l="1"/>
  <c r="Q1576" i="1" s="1"/>
  <c r="P1576" i="1" l="1"/>
  <c r="R1576" i="1" l="1"/>
  <c r="Q1577" i="1" s="1"/>
  <c r="P1577" i="1" l="1"/>
  <c r="R1577" i="1" l="1"/>
  <c r="Q1578" i="1" s="1"/>
  <c r="P1578" i="1" l="1"/>
  <c r="R1578" i="1" l="1"/>
  <c r="Q1579" i="1" s="1"/>
  <c r="P1579" i="1" l="1"/>
  <c r="R1579" i="1" l="1"/>
  <c r="Q1580" i="1" s="1"/>
  <c r="P1580" i="1" l="1"/>
  <c r="R1580" i="1" l="1"/>
  <c r="Q1581" i="1" s="1"/>
  <c r="P1581" i="1" l="1"/>
  <c r="R1581" i="1" l="1"/>
  <c r="Q1582" i="1" s="1"/>
  <c r="P1582" i="1" l="1"/>
  <c r="R1582" i="1" l="1"/>
  <c r="Q1583" i="1" s="1"/>
  <c r="P1583" i="1" l="1"/>
  <c r="R1583" i="1" l="1"/>
  <c r="Q1584" i="1" s="1"/>
  <c r="P1584" i="1" l="1"/>
  <c r="R1584" i="1" l="1"/>
  <c r="Q1585" i="1" s="1"/>
  <c r="P1585" i="1" l="1"/>
  <c r="R1585" i="1" l="1"/>
  <c r="Q1586" i="1" s="1"/>
  <c r="P1586" i="1" l="1"/>
  <c r="R1586" i="1" l="1"/>
  <c r="Q1587" i="1" s="1"/>
  <c r="P1587" i="1" l="1"/>
  <c r="R1587" i="1" l="1"/>
  <c r="Q1588" i="1" s="1"/>
  <c r="P1588" i="1" l="1"/>
  <c r="R1588" i="1" l="1"/>
  <c r="Q1589" i="1" s="1"/>
  <c r="P1589" i="1" l="1"/>
  <c r="R1589" i="1" l="1"/>
  <c r="Q1590" i="1" s="1"/>
  <c r="P1590" i="1" l="1"/>
  <c r="R1590" i="1" l="1"/>
  <c r="Q1591" i="1" s="1"/>
  <c r="P1591" i="1" l="1"/>
  <c r="R1591" i="1" l="1"/>
  <c r="Q1592" i="1" s="1"/>
  <c r="P1592" i="1" l="1"/>
  <c r="R1592" i="1" l="1"/>
  <c r="Q1593" i="1" s="1"/>
  <c r="P1593" i="1" l="1"/>
  <c r="R1593" i="1" l="1"/>
  <c r="Q1594" i="1" s="1"/>
  <c r="P1594" i="1" l="1"/>
  <c r="R1594" i="1" l="1"/>
  <c r="Q1595" i="1" s="1"/>
  <c r="P1595" i="1" l="1"/>
  <c r="R1595" i="1" l="1"/>
  <c r="Q1596" i="1" s="1"/>
  <c r="P1596" i="1" l="1"/>
  <c r="R1596" i="1" l="1"/>
  <c r="Q1597" i="1" s="1"/>
  <c r="P1597" i="1" l="1"/>
  <c r="R1597" i="1" l="1"/>
  <c r="Q1598" i="1" s="1"/>
  <c r="P1598" i="1" l="1"/>
  <c r="R1598" i="1" l="1"/>
  <c r="Q1599" i="1" s="1"/>
  <c r="P1599" i="1" l="1"/>
  <c r="R1599" i="1" l="1"/>
  <c r="Q1600" i="1" s="1"/>
  <c r="P1600" i="1" l="1"/>
  <c r="R1600" i="1" l="1"/>
  <c r="Q1601" i="1" s="1"/>
  <c r="P1601" i="1" l="1"/>
  <c r="R1601" i="1" l="1"/>
  <c r="Q1602" i="1" s="1"/>
  <c r="P1602" i="1" l="1"/>
  <c r="R1602" i="1" l="1"/>
  <c r="Q1603" i="1" s="1"/>
  <c r="P1603" i="1" l="1"/>
  <c r="R1603" i="1" l="1"/>
  <c r="Q1604" i="1" s="1"/>
  <c r="P1604" i="1" l="1"/>
  <c r="R1604" i="1" l="1"/>
  <c r="Q1605" i="1" s="1"/>
  <c r="P1605" i="1" l="1"/>
  <c r="R1605" i="1" l="1"/>
  <c r="Q1606" i="1" s="1"/>
  <c r="P1606" i="1" l="1"/>
  <c r="R1606" i="1" l="1"/>
  <c r="Q1607" i="1" s="1"/>
  <c r="P1607" i="1" l="1"/>
  <c r="R1607" i="1" l="1"/>
  <c r="Q1608" i="1" s="1"/>
  <c r="P1608" i="1" l="1"/>
  <c r="R1608" i="1" l="1"/>
  <c r="Q1609" i="1" s="1"/>
  <c r="P1609" i="1" l="1"/>
  <c r="R1609" i="1" l="1"/>
  <c r="Q1610" i="1" s="1"/>
  <c r="P1610" i="1" l="1"/>
  <c r="R1610" i="1" l="1"/>
  <c r="Q1611" i="1" s="1"/>
  <c r="P1611" i="1" l="1"/>
  <c r="R1611" i="1" l="1"/>
  <c r="Q1612" i="1" s="1"/>
  <c r="P1612" i="1" l="1"/>
  <c r="R1612" i="1" l="1"/>
  <c r="Q1613" i="1" s="1"/>
  <c r="P1613" i="1" l="1"/>
  <c r="R1613" i="1" l="1"/>
  <c r="Q1614" i="1" s="1"/>
  <c r="P1614" i="1" l="1"/>
  <c r="R1614" i="1" l="1"/>
  <c r="Q1615" i="1" s="1"/>
  <c r="P1615" i="1" l="1"/>
  <c r="R1615" i="1" l="1"/>
  <c r="Q1616" i="1" s="1"/>
  <c r="P1616" i="1" l="1"/>
  <c r="R1616" i="1" l="1"/>
  <c r="Q1617" i="1" s="1"/>
  <c r="P1617" i="1" l="1"/>
  <c r="R1617" i="1" l="1"/>
  <c r="Q1618" i="1" s="1"/>
  <c r="P1618" i="1" l="1"/>
  <c r="R1618" i="1" l="1"/>
  <c r="Q1619" i="1" s="1"/>
  <c r="P1619" i="1" l="1"/>
  <c r="R1619" i="1" l="1"/>
  <c r="Q1620" i="1" s="1"/>
  <c r="P1620" i="1" l="1"/>
  <c r="R1620" i="1" l="1"/>
  <c r="Q1621" i="1" s="1"/>
  <c r="P1621" i="1" l="1"/>
  <c r="R1621" i="1" l="1"/>
  <c r="Q1622" i="1" s="1"/>
  <c r="P1622" i="1" l="1"/>
  <c r="R1622" i="1" l="1"/>
  <c r="Q1623" i="1" s="1"/>
  <c r="P1623" i="1" l="1"/>
  <c r="R1623" i="1" l="1"/>
  <c r="Q1624" i="1" s="1"/>
  <c r="P1624" i="1" l="1"/>
  <c r="R1624" i="1" l="1"/>
  <c r="Q1625" i="1" s="1"/>
  <c r="P1625" i="1" l="1"/>
  <c r="R1625" i="1" l="1"/>
  <c r="Q1626" i="1" s="1"/>
  <c r="P1626" i="1" l="1"/>
  <c r="R1626" i="1" l="1"/>
  <c r="Q1627" i="1" s="1"/>
  <c r="P1627" i="1" l="1"/>
  <c r="R1627" i="1" l="1"/>
  <c r="Q1628" i="1" s="1"/>
  <c r="P1628" i="1" l="1"/>
  <c r="R1628" i="1" l="1"/>
  <c r="Q1629" i="1" s="1"/>
  <c r="P1629" i="1" l="1"/>
  <c r="R1629" i="1" l="1"/>
  <c r="Q1630" i="1" s="1"/>
  <c r="P1630" i="1" l="1"/>
  <c r="R1630" i="1" l="1"/>
  <c r="Q1631" i="1" s="1"/>
  <c r="P1631" i="1" l="1"/>
  <c r="R1631" i="1" l="1"/>
  <c r="Q1632" i="1" s="1"/>
  <c r="P1632" i="1" l="1"/>
  <c r="R1632" i="1" l="1"/>
  <c r="Q1633" i="1" s="1"/>
  <c r="P1633" i="1" l="1"/>
  <c r="R1633" i="1" l="1"/>
  <c r="Q1634" i="1" s="1"/>
  <c r="P1634" i="1" l="1"/>
  <c r="R1634" i="1" l="1"/>
  <c r="Q1635" i="1" s="1"/>
  <c r="P1635" i="1" l="1"/>
  <c r="R1635" i="1" l="1"/>
  <c r="Q1636" i="1" s="1"/>
  <c r="P1636" i="1" l="1"/>
  <c r="R1636" i="1" l="1"/>
  <c r="Q1637" i="1" s="1"/>
  <c r="P1637" i="1" l="1"/>
  <c r="R1637" i="1" l="1"/>
  <c r="Q1638" i="1" s="1"/>
  <c r="P1638" i="1" l="1"/>
  <c r="R1638" i="1" l="1"/>
  <c r="Q1639" i="1" s="1"/>
  <c r="P1639" i="1" l="1"/>
  <c r="R1639" i="1" l="1"/>
  <c r="Q1640" i="1" s="1"/>
  <c r="P1640" i="1" l="1"/>
  <c r="R1640" i="1" l="1"/>
  <c r="Q1641" i="1" s="1"/>
  <c r="P1641" i="1" l="1"/>
  <c r="R1641" i="1" l="1"/>
  <c r="Q1642" i="1" s="1"/>
  <c r="P1642" i="1" l="1"/>
  <c r="R1642" i="1" l="1"/>
  <c r="Q1643" i="1" s="1"/>
  <c r="P1643" i="1" l="1"/>
  <c r="R1643" i="1" l="1"/>
  <c r="Q1644" i="1" s="1"/>
  <c r="P1644" i="1" l="1"/>
  <c r="R1644" i="1" l="1"/>
  <c r="Q1645" i="1" s="1"/>
  <c r="P1645" i="1" l="1"/>
  <c r="R1645" i="1" l="1"/>
  <c r="Q1646" i="1" s="1"/>
  <c r="P1646" i="1" l="1"/>
  <c r="R1646" i="1" l="1"/>
  <c r="Q1647" i="1" s="1"/>
  <c r="P1647" i="1" l="1"/>
  <c r="R1647" i="1" l="1"/>
  <c r="Q1648" i="1" s="1"/>
  <c r="P1648" i="1" l="1"/>
  <c r="R1648" i="1" l="1"/>
  <c r="Q1649" i="1" s="1"/>
  <c r="P1649" i="1" l="1"/>
  <c r="R1649" i="1" l="1"/>
  <c r="Q1650" i="1" s="1"/>
  <c r="P1650" i="1" l="1"/>
  <c r="R1650" i="1" l="1"/>
  <c r="Q1651" i="1" s="1"/>
  <c r="P1651" i="1" l="1"/>
  <c r="R1651" i="1" l="1"/>
  <c r="Q1652" i="1" s="1"/>
  <c r="P1652" i="1" l="1"/>
  <c r="R1652" i="1" l="1"/>
  <c r="Q1653" i="1" s="1"/>
  <c r="P1653" i="1" l="1"/>
  <c r="R1653" i="1" l="1"/>
  <c r="Q1654" i="1" s="1"/>
  <c r="P1654" i="1" l="1"/>
  <c r="R1654" i="1" l="1"/>
  <c r="Q1655" i="1" s="1"/>
  <c r="P1655" i="1" l="1"/>
  <c r="R1655" i="1" l="1"/>
  <c r="Q1656" i="1" s="1"/>
  <c r="P1656" i="1" l="1"/>
  <c r="R1656" i="1" l="1"/>
  <c r="Q1657" i="1" s="1"/>
  <c r="P1657" i="1" l="1"/>
  <c r="R1657" i="1" l="1"/>
  <c r="Q1658" i="1" s="1"/>
  <c r="P1658" i="1" l="1"/>
  <c r="R1658" i="1" l="1"/>
  <c r="Q1659" i="1" s="1"/>
  <c r="P1659" i="1" l="1"/>
  <c r="R1659" i="1" l="1"/>
  <c r="Q1660" i="1" s="1"/>
  <c r="P1660" i="1" l="1"/>
  <c r="R1660" i="1" l="1"/>
  <c r="Q1661" i="1" s="1"/>
  <c r="P1661" i="1" l="1"/>
  <c r="R1661" i="1" l="1"/>
  <c r="Q1662" i="1" s="1"/>
  <c r="P1662" i="1" l="1"/>
  <c r="R1662" i="1" l="1"/>
  <c r="Q1663" i="1" s="1"/>
  <c r="P1663" i="1" l="1"/>
  <c r="R1663" i="1" l="1"/>
  <c r="Q1664" i="1" s="1"/>
  <c r="P1664" i="1" l="1"/>
  <c r="R1664" i="1" l="1"/>
  <c r="Q1665" i="1" s="1"/>
  <c r="P1665" i="1" l="1"/>
  <c r="R1665" i="1" l="1"/>
  <c r="Q1666" i="1" s="1"/>
  <c r="P1666" i="1" l="1"/>
  <c r="R1666" i="1" l="1"/>
  <c r="Q1667" i="1" s="1"/>
  <c r="P1667" i="1" l="1"/>
  <c r="R1667" i="1" l="1"/>
  <c r="Q1668" i="1" s="1"/>
  <c r="P1668" i="1" l="1"/>
  <c r="R1668" i="1" l="1"/>
  <c r="Q1669" i="1" s="1"/>
  <c r="P1669" i="1" l="1"/>
  <c r="R1669" i="1" l="1"/>
  <c r="Q1670" i="1" s="1"/>
  <c r="P1670" i="1" l="1"/>
  <c r="R1670" i="1" l="1"/>
  <c r="Q1671" i="1" s="1"/>
  <c r="P1671" i="1" l="1"/>
  <c r="R1671" i="1" l="1"/>
  <c r="Q1672" i="1" s="1"/>
  <c r="P1672" i="1" l="1"/>
  <c r="R1672" i="1" l="1"/>
  <c r="Q1673" i="1" s="1"/>
  <c r="P1673" i="1" l="1"/>
  <c r="R1673" i="1" l="1"/>
  <c r="Q1674" i="1" s="1"/>
  <c r="P1674" i="1" l="1"/>
  <c r="R1674" i="1" l="1"/>
  <c r="Q1675" i="1" s="1"/>
  <c r="P1675" i="1" l="1"/>
  <c r="R1675" i="1" l="1"/>
  <c r="Q1676" i="1" s="1"/>
  <c r="P1676" i="1" l="1"/>
  <c r="R1676" i="1" l="1"/>
  <c r="Q1677" i="1" s="1"/>
  <c r="P1677" i="1" l="1"/>
  <c r="R1677" i="1" l="1"/>
  <c r="Q1678" i="1" s="1"/>
  <c r="P1678" i="1" l="1"/>
  <c r="R1678" i="1" l="1"/>
  <c r="Q1679" i="1" s="1"/>
  <c r="P1679" i="1" l="1"/>
  <c r="R1679" i="1" l="1"/>
  <c r="Q1680" i="1" s="1"/>
  <c r="P1680" i="1" l="1"/>
  <c r="R1680" i="1" l="1"/>
  <c r="Q1681" i="1" s="1"/>
  <c r="P1681" i="1" l="1"/>
  <c r="R1681" i="1" l="1"/>
  <c r="Q1682" i="1" s="1"/>
  <c r="P1682" i="1" l="1"/>
  <c r="R1682" i="1" l="1"/>
  <c r="Q1683" i="1" s="1"/>
  <c r="P1683" i="1" l="1"/>
  <c r="R1683" i="1" l="1"/>
  <c r="Q1684" i="1" s="1"/>
  <c r="P1684" i="1" l="1"/>
  <c r="R1684" i="1" l="1"/>
  <c r="Q1685" i="1" s="1"/>
  <c r="P1685" i="1" l="1"/>
  <c r="R1685" i="1" l="1"/>
  <c r="Q1686" i="1" s="1"/>
  <c r="P1686" i="1" l="1"/>
  <c r="R1686" i="1" l="1"/>
  <c r="Q1687" i="1" s="1"/>
  <c r="P1687" i="1" l="1"/>
  <c r="R1687" i="1" l="1"/>
  <c r="Q1688" i="1" s="1"/>
  <c r="P1688" i="1" l="1"/>
  <c r="R1688" i="1" l="1"/>
  <c r="Q1689" i="1" s="1"/>
  <c r="P1689" i="1" l="1"/>
  <c r="R1689" i="1" l="1"/>
  <c r="Q1690" i="1" s="1"/>
  <c r="P1690" i="1" l="1"/>
  <c r="R1690" i="1" l="1"/>
  <c r="Q1691" i="1" s="1"/>
  <c r="P1691" i="1" l="1"/>
  <c r="R1691" i="1" l="1"/>
  <c r="Q1692" i="1" s="1"/>
  <c r="P1692" i="1" l="1"/>
  <c r="R1692" i="1" l="1"/>
  <c r="Q1693" i="1" s="1"/>
  <c r="P1693" i="1" l="1"/>
  <c r="R1693" i="1" l="1"/>
  <c r="Q1694" i="1" s="1"/>
  <c r="P1694" i="1" l="1"/>
  <c r="R1694" i="1" l="1"/>
  <c r="Q1695" i="1" s="1"/>
  <c r="P1695" i="1" l="1"/>
  <c r="R1695" i="1" l="1"/>
  <c r="Q1696" i="1" s="1"/>
  <c r="P1696" i="1" l="1"/>
  <c r="R1696" i="1" l="1"/>
  <c r="Q1697" i="1" s="1"/>
  <c r="P1697" i="1" l="1"/>
  <c r="R1697" i="1" l="1"/>
  <c r="Q1698" i="1" s="1"/>
  <c r="P1698" i="1" l="1"/>
  <c r="R1698" i="1" l="1"/>
  <c r="Q1699" i="1" s="1"/>
  <c r="P1699" i="1" l="1"/>
  <c r="R1699" i="1" l="1"/>
  <c r="Q1700" i="1" s="1"/>
  <c r="P1700" i="1" l="1"/>
  <c r="R1700" i="1" l="1"/>
  <c r="Q1701" i="1" s="1"/>
  <c r="P1701" i="1" l="1"/>
  <c r="R1701" i="1" l="1"/>
  <c r="Q1702" i="1" s="1"/>
  <c r="P1702" i="1" l="1"/>
  <c r="R1702" i="1" l="1"/>
  <c r="Q1703" i="1" s="1"/>
  <c r="P1703" i="1" l="1"/>
  <c r="R1703" i="1" l="1"/>
  <c r="Q1704" i="1" s="1"/>
  <c r="P1704" i="1" l="1"/>
  <c r="R1704" i="1" l="1"/>
  <c r="Q1705" i="1" s="1"/>
  <c r="P1705" i="1" l="1"/>
  <c r="R1705" i="1" l="1"/>
  <c r="Q1706" i="1" s="1"/>
  <c r="P1706" i="1" l="1"/>
  <c r="R1706" i="1" l="1"/>
  <c r="Q1707" i="1" s="1"/>
  <c r="P1707" i="1" l="1"/>
  <c r="R1707" i="1" l="1"/>
  <c r="Q1708" i="1" s="1"/>
  <c r="P1708" i="1" l="1"/>
  <c r="R1708" i="1" l="1"/>
  <c r="Q1709" i="1" s="1"/>
  <c r="P1709" i="1" l="1"/>
  <c r="R1709" i="1" l="1"/>
  <c r="Q1710" i="1" s="1"/>
  <c r="P1710" i="1" l="1"/>
  <c r="R1710" i="1" l="1"/>
  <c r="Q1711" i="1" s="1"/>
  <c r="P1711" i="1" l="1"/>
  <c r="R1711" i="1" l="1"/>
  <c r="Q1712" i="1" s="1"/>
  <c r="P1712" i="1" l="1"/>
  <c r="R1712" i="1" l="1"/>
  <c r="Q1713" i="1" s="1"/>
  <c r="P1713" i="1" l="1"/>
  <c r="R1713" i="1" l="1"/>
  <c r="Q1714" i="1" s="1"/>
  <c r="P1714" i="1" l="1"/>
  <c r="R1714" i="1" l="1"/>
  <c r="Q1715" i="1" s="1"/>
  <c r="P1715" i="1" l="1"/>
  <c r="R1715" i="1" l="1"/>
  <c r="Q1716" i="1" s="1"/>
  <c r="P1716" i="1" l="1"/>
  <c r="R1716" i="1" l="1"/>
  <c r="Q1717" i="1" s="1"/>
  <c r="P1717" i="1" l="1"/>
  <c r="R1717" i="1" l="1"/>
  <c r="Q1718" i="1" s="1"/>
  <c r="P1718" i="1" l="1"/>
  <c r="R1718" i="1" l="1"/>
  <c r="Q1719" i="1" s="1"/>
  <c r="P1719" i="1" l="1"/>
  <c r="R1719" i="1" l="1"/>
  <c r="Q1720" i="1" s="1"/>
  <c r="P1720" i="1" l="1"/>
  <c r="R1720" i="1" l="1"/>
  <c r="Q1721" i="1" s="1"/>
  <c r="P1721" i="1" l="1"/>
  <c r="R1721" i="1" l="1"/>
  <c r="Q1722" i="1" s="1"/>
  <c r="P1722" i="1" l="1"/>
  <c r="R1722" i="1" l="1"/>
  <c r="Q1723" i="1" s="1"/>
  <c r="P1723" i="1" l="1"/>
  <c r="R1723" i="1" l="1"/>
  <c r="Q1724" i="1" s="1"/>
  <c r="P1724" i="1" l="1"/>
  <c r="R1724" i="1" l="1"/>
  <c r="Q1725" i="1" s="1"/>
  <c r="P1725" i="1" l="1"/>
  <c r="R1725" i="1" l="1"/>
  <c r="Q1726" i="1" s="1"/>
  <c r="P1726" i="1" l="1"/>
  <c r="R1726" i="1" l="1"/>
  <c r="Q1727" i="1" s="1"/>
  <c r="P1727" i="1" l="1"/>
  <c r="R1727" i="1" l="1"/>
  <c r="Q1728" i="1" s="1"/>
  <c r="P1728" i="1" l="1"/>
  <c r="R1728" i="1" l="1"/>
  <c r="Q1729" i="1" s="1"/>
  <c r="P1729" i="1" l="1"/>
  <c r="R1729" i="1" l="1"/>
  <c r="Q1730" i="1" s="1"/>
  <c r="P1730" i="1" l="1"/>
  <c r="R1730" i="1" l="1"/>
  <c r="Q1731" i="1" s="1"/>
  <c r="P1731" i="1" l="1"/>
  <c r="R1731" i="1" l="1"/>
  <c r="Q1732" i="1" s="1"/>
  <c r="P1732" i="1" l="1"/>
  <c r="R1732" i="1" l="1"/>
  <c r="Q1733" i="1" s="1"/>
  <c r="P1733" i="1" l="1"/>
  <c r="R1733" i="1" l="1"/>
  <c r="Q1734" i="1" s="1"/>
  <c r="P1734" i="1" l="1"/>
  <c r="R1734" i="1" l="1"/>
  <c r="Q1735" i="1" s="1"/>
  <c r="P1735" i="1" l="1"/>
  <c r="R1735" i="1" l="1"/>
  <c r="Q1736" i="1" s="1"/>
  <c r="P1736" i="1" l="1"/>
  <c r="R1736" i="1" l="1"/>
  <c r="Q1737" i="1" s="1"/>
  <c r="P1737" i="1" l="1"/>
  <c r="R1737" i="1" l="1"/>
  <c r="Q1738" i="1" s="1"/>
  <c r="P1738" i="1" l="1"/>
  <c r="R1738" i="1" l="1"/>
  <c r="Q1739" i="1" s="1"/>
  <c r="P1739" i="1" l="1"/>
  <c r="R1739" i="1" l="1"/>
  <c r="Q1740" i="1" s="1"/>
  <c r="P1740" i="1" l="1"/>
  <c r="R1740" i="1" l="1"/>
  <c r="Q1741" i="1" s="1"/>
  <c r="P1741" i="1" l="1"/>
  <c r="R1741" i="1" l="1"/>
  <c r="Q1742" i="1" s="1"/>
  <c r="P1742" i="1" l="1"/>
  <c r="R1742" i="1" l="1"/>
  <c r="Q1743" i="1" s="1"/>
  <c r="P1743" i="1" l="1"/>
  <c r="R1743" i="1" l="1"/>
  <c r="Q1744" i="1" s="1"/>
  <c r="P1744" i="1" l="1"/>
  <c r="R1744" i="1" l="1"/>
  <c r="Q1745" i="1" s="1"/>
  <c r="P1745" i="1" l="1"/>
  <c r="R1745" i="1" l="1"/>
  <c r="Q1746" i="1" s="1"/>
  <c r="P1746" i="1" l="1"/>
  <c r="R1746" i="1" l="1"/>
  <c r="Q1747" i="1" s="1"/>
  <c r="P1747" i="1" l="1"/>
  <c r="R1747" i="1" l="1"/>
  <c r="Q1748" i="1" s="1"/>
  <c r="P1748" i="1" l="1"/>
  <c r="R1748" i="1" l="1"/>
  <c r="Q1749" i="1" s="1"/>
  <c r="P1749" i="1" l="1"/>
  <c r="R1749" i="1" l="1"/>
  <c r="Q1750" i="1" s="1"/>
  <c r="P1750" i="1" l="1"/>
  <c r="R1750" i="1" l="1"/>
  <c r="Q1751" i="1" s="1"/>
  <c r="P1751" i="1" l="1"/>
  <c r="R1751" i="1" l="1"/>
  <c r="Q1752" i="1" s="1"/>
  <c r="P1752" i="1" l="1"/>
  <c r="R1752" i="1" l="1"/>
  <c r="Q1753" i="1" s="1"/>
  <c r="P1753" i="1" l="1"/>
  <c r="R1753" i="1" l="1"/>
  <c r="Q1754" i="1" s="1"/>
  <c r="P1754" i="1" l="1"/>
  <c r="R1754" i="1" l="1"/>
  <c r="Q1755" i="1" s="1"/>
  <c r="P1755" i="1" l="1"/>
  <c r="R1755" i="1" l="1"/>
  <c r="Q1756" i="1" s="1"/>
  <c r="P1756" i="1" l="1"/>
  <c r="R1756" i="1" l="1"/>
  <c r="Q1757" i="1" s="1"/>
  <c r="P1757" i="1" l="1"/>
  <c r="R1757" i="1" l="1"/>
  <c r="Q1758" i="1" s="1"/>
  <c r="P1758" i="1" l="1"/>
  <c r="R1758" i="1" l="1"/>
  <c r="Q1759" i="1" s="1"/>
  <c r="P1759" i="1" l="1"/>
  <c r="R1759" i="1" l="1"/>
  <c r="Q1760" i="1" s="1"/>
  <c r="P1760" i="1" l="1"/>
  <c r="R1760" i="1" l="1"/>
  <c r="Q1761" i="1" s="1"/>
  <c r="P1761" i="1" l="1"/>
  <c r="R1761" i="1" l="1"/>
  <c r="Q1762" i="1" s="1"/>
  <c r="P1762" i="1" l="1"/>
  <c r="R1762" i="1" l="1"/>
  <c r="Q1763" i="1" s="1"/>
  <c r="P1763" i="1" l="1"/>
  <c r="R1763" i="1" l="1"/>
  <c r="Q1764" i="1" s="1"/>
  <c r="P1764" i="1" l="1"/>
  <c r="R1764" i="1" l="1"/>
  <c r="Q1765" i="1" s="1"/>
  <c r="P1765" i="1" l="1"/>
  <c r="R1765" i="1" l="1"/>
  <c r="Q1766" i="1" s="1"/>
  <c r="P1766" i="1" l="1"/>
  <c r="R1766" i="1" l="1"/>
  <c r="Q1767" i="1" s="1"/>
  <c r="P1767" i="1" l="1"/>
  <c r="R1767" i="1" l="1"/>
  <c r="Q1768" i="1" s="1"/>
  <c r="P1768" i="1" l="1"/>
  <c r="R1768" i="1" l="1"/>
  <c r="Q1769" i="1" s="1"/>
  <c r="P1769" i="1" l="1"/>
  <c r="R1769" i="1" l="1"/>
  <c r="Q1770" i="1" s="1"/>
  <c r="P1770" i="1" l="1"/>
  <c r="R1770" i="1" l="1"/>
  <c r="Q1771" i="1" s="1"/>
  <c r="P1771" i="1" l="1"/>
  <c r="R1771" i="1" l="1"/>
  <c r="Q1772" i="1" s="1"/>
  <c r="P1772" i="1" l="1"/>
  <c r="R1772" i="1" l="1"/>
  <c r="Q1773" i="1" s="1"/>
  <c r="P1773" i="1" l="1"/>
  <c r="R1773" i="1" l="1"/>
  <c r="Q1774" i="1" s="1"/>
  <c r="P1774" i="1" l="1"/>
  <c r="R1774" i="1" l="1"/>
  <c r="Q1775" i="1" s="1"/>
  <c r="P1775" i="1" l="1"/>
  <c r="R1775" i="1" l="1"/>
  <c r="Q1776" i="1" s="1"/>
  <c r="P1776" i="1" l="1"/>
  <c r="R1776" i="1" l="1"/>
  <c r="Q1777" i="1" s="1"/>
  <c r="P1777" i="1" l="1"/>
  <c r="R1777" i="1" l="1"/>
  <c r="Q1778" i="1" s="1"/>
  <c r="P1778" i="1" l="1"/>
  <c r="R1778" i="1" l="1"/>
  <c r="Q1779" i="1" s="1"/>
  <c r="P1779" i="1" l="1"/>
  <c r="R1779" i="1" l="1"/>
  <c r="Q1780" i="1" s="1"/>
  <c r="P1780" i="1" l="1"/>
  <c r="R1780" i="1" l="1"/>
  <c r="Q1781" i="1" s="1"/>
  <c r="P1781" i="1" l="1"/>
  <c r="R1781" i="1" l="1"/>
  <c r="Q1782" i="1" s="1"/>
  <c r="P1782" i="1" l="1"/>
  <c r="R1782" i="1" l="1"/>
  <c r="Q1783" i="1" s="1"/>
  <c r="P1783" i="1" l="1"/>
  <c r="R1783" i="1" l="1"/>
  <c r="Q1784" i="1" s="1"/>
  <c r="P1784" i="1" l="1"/>
  <c r="R1784" i="1" l="1"/>
  <c r="Q1785" i="1" s="1"/>
  <c r="P1785" i="1" l="1"/>
  <c r="R1785" i="1" l="1"/>
  <c r="Q1786" i="1" s="1"/>
  <c r="P1786" i="1" l="1"/>
  <c r="R1786" i="1" l="1"/>
  <c r="Q1787" i="1" s="1"/>
  <c r="P1787" i="1" l="1"/>
  <c r="R1787" i="1" l="1"/>
  <c r="Q1788" i="1" s="1"/>
  <c r="P1788" i="1" l="1"/>
  <c r="R1788" i="1" l="1"/>
  <c r="Q1789" i="1" s="1"/>
  <c r="P1789" i="1" l="1"/>
  <c r="R1789" i="1" l="1"/>
  <c r="Q1790" i="1" s="1"/>
  <c r="P1790" i="1" l="1"/>
  <c r="R1790" i="1" l="1"/>
  <c r="Q1791" i="1" s="1"/>
  <c r="P1791" i="1" l="1"/>
  <c r="R1791" i="1" l="1"/>
  <c r="Q1792" i="1" s="1"/>
  <c r="P1792" i="1" l="1"/>
  <c r="R1792" i="1" l="1"/>
  <c r="Q1793" i="1" s="1"/>
  <c r="P1793" i="1" l="1"/>
  <c r="R1793" i="1" l="1"/>
  <c r="Q1794" i="1" s="1"/>
  <c r="P1794" i="1" l="1"/>
  <c r="R1794" i="1" l="1"/>
  <c r="Q1795" i="1" s="1"/>
  <c r="P1795" i="1" l="1"/>
  <c r="R1795" i="1" l="1"/>
  <c r="Q1796" i="1" s="1"/>
  <c r="P1796" i="1" l="1"/>
  <c r="R1796" i="1" l="1"/>
  <c r="Q1797" i="1" s="1"/>
  <c r="P1797" i="1" l="1"/>
  <c r="R1797" i="1" l="1"/>
  <c r="Q1798" i="1" s="1"/>
  <c r="P1798" i="1" l="1"/>
  <c r="R1798" i="1" l="1"/>
  <c r="Q1799" i="1" s="1"/>
  <c r="P1799" i="1" l="1"/>
  <c r="R1799" i="1" l="1"/>
  <c r="Q1800" i="1" s="1"/>
  <c r="P1800" i="1" l="1"/>
  <c r="R1800" i="1" l="1"/>
  <c r="Q1801" i="1" s="1"/>
  <c r="P1801" i="1" l="1"/>
  <c r="R1801" i="1" l="1"/>
  <c r="Q1802" i="1" s="1"/>
  <c r="P1802" i="1" l="1"/>
  <c r="R1802" i="1" l="1"/>
  <c r="Q1803" i="1" s="1"/>
  <c r="P1803" i="1" l="1"/>
  <c r="R1803" i="1" l="1"/>
  <c r="Q1804" i="1" s="1"/>
  <c r="P1804" i="1" l="1"/>
  <c r="R1804" i="1" l="1"/>
  <c r="Q1805" i="1" s="1"/>
  <c r="P1805" i="1" l="1"/>
  <c r="R1805" i="1" l="1"/>
  <c r="Q1806" i="1" s="1"/>
  <c r="P1806" i="1" l="1"/>
  <c r="R1806" i="1" l="1"/>
  <c r="Q1807" i="1" s="1"/>
  <c r="P1807" i="1" l="1"/>
  <c r="R1807" i="1" l="1"/>
  <c r="Q1808" i="1" s="1"/>
  <c r="P1808" i="1" l="1"/>
  <c r="R1808" i="1" l="1"/>
  <c r="Q1809" i="1" s="1"/>
  <c r="P1809" i="1" l="1"/>
  <c r="R1809" i="1" l="1"/>
  <c r="Q1810" i="1" s="1"/>
  <c r="P1810" i="1" l="1"/>
  <c r="R1810" i="1" l="1"/>
  <c r="Q1811" i="1" s="1"/>
  <c r="P1811" i="1" l="1"/>
  <c r="R1811" i="1" l="1"/>
  <c r="Q1812" i="1" s="1"/>
  <c r="P1812" i="1" l="1"/>
  <c r="R1812" i="1" l="1"/>
  <c r="Q1813" i="1" s="1"/>
  <c r="P1813" i="1" l="1"/>
  <c r="R1813" i="1" l="1"/>
  <c r="Q1814" i="1" s="1"/>
  <c r="P1814" i="1" l="1"/>
  <c r="R1814" i="1" l="1"/>
  <c r="Q1815" i="1" s="1"/>
  <c r="P1815" i="1" l="1"/>
  <c r="R1815" i="1" l="1"/>
  <c r="Q1816" i="1" s="1"/>
  <c r="P1816" i="1" l="1"/>
  <c r="R1816" i="1" l="1"/>
  <c r="Q1817" i="1" s="1"/>
  <c r="P1817" i="1" l="1"/>
  <c r="R1817" i="1" l="1"/>
  <c r="Q1818" i="1" s="1"/>
  <c r="P1818" i="1" l="1"/>
  <c r="R1818" i="1" l="1"/>
  <c r="Q1819" i="1" s="1"/>
  <c r="P1819" i="1" l="1"/>
  <c r="R1819" i="1" l="1"/>
  <c r="Q1820" i="1" s="1"/>
  <c r="P1820" i="1" l="1"/>
  <c r="R1820" i="1" l="1"/>
  <c r="Q1821" i="1" s="1"/>
  <c r="P1821" i="1" l="1"/>
  <c r="R1821" i="1" l="1"/>
  <c r="Q1822" i="1" s="1"/>
  <c r="P1822" i="1" l="1"/>
  <c r="R1822" i="1" l="1"/>
  <c r="Q1823" i="1" s="1"/>
  <c r="P1823" i="1" l="1"/>
  <c r="R1823" i="1" l="1"/>
  <c r="Q1824" i="1" s="1"/>
  <c r="P1824" i="1" l="1"/>
  <c r="R1824" i="1" l="1"/>
  <c r="Q1825" i="1" s="1"/>
  <c r="P1825" i="1" l="1"/>
  <c r="R1825" i="1" l="1"/>
  <c r="Q1826" i="1" s="1"/>
  <c r="P1826" i="1" l="1"/>
  <c r="R1826" i="1" l="1"/>
  <c r="Q1827" i="1" s="1"/>
  <c r="P1827" i="1" l="1"/>
  <c r="R1827" i="1" l="1"/>
  <c r="Q1828" i="1" s="1"/>
  <c r="P1828" i="1" l="1"/>
  <c r="R1828" i="1" l="1"/>
  <c r="Q1829" i="1" s="1"/>
  <c r="P1829" i="1" l="1"/>
  <c r="R1829" i="1" l="1"/>
  <c r="Q1830" i="1" s="1"/>
  <c r="P1830" i="1" l="1"/>
  <c r="R1830" i="1" l="1"/>
  <c r="Q1831" i="1" s="1"/>
  <c r="P1831" i="1" l="1"/>
  <c r="R1831" i="1" l="1"/>
  <c r="Q1832" i="1" s="1"/>
  <c r="P1832" i="1" l="1"/>
  <c r="R1832" i="1" l="1"/>
  <c r="Q1833" i="1" s="1"/>
  <c r="P1833" i="1" l="1"/>
  <c r="R1833" i="1" l="1"/>
  <c r="Q1834" i="1" s="1"/>
  <c r="P1834" i="1" l="1"/>
  <c r="R1834" i="1" l="1"/>
  <c r="Q1835" i="1" s="1"/>
  <c r="P1835" i="1" l="1"/>
  <c r="R1835" i="1" l="1"/>
  <c r="Q1836" i="1" s="1"/>
  <c r="P1836" i="1" l="1"/>
  <c r="R1836" i="1" l="1"/>
  <c r="Q1837" i="1" s="1"/>
  <c r="P1837" i="1" l="1"/>
  <c r="R1837" i="1" l="1"/>
  <c r="Q1838" i="1" s="1"/>
  <c r="P1838" i="1" l="1"/>
  <c r="R1838" i="1" l="1"/>
  <c r="Q1839" i="1" s="1"/>
  <c r="P1839" i="1" l="1"/>
  <c r="R1839" i="1" l="1"/>
  <c r="Q1840" i="1" s="1"/>
  <c r="P1840" i="1" l="1"/>
  <c r="R1840" i="1" l="1"/>
  <c r="Q1841" i="1" s="1"/>
  <c r="P1841" i="1" l="1"/>
  <c r="R1841" i="1" l="1"/>
  <c r="Q1842" i="1" s="1"/>
  <c r="P1842" i="1" l="1"/>
  <c r="R1842" i="1" l="1"/>
  <c r="Q1843" i="1" s="1"/>
  <c r="P1843" i="1" l="1"/>
  <c r="R1843" i="1" l="1"/>
  <c r="Q1844" i="1" s="1"/>
  <c r="P1844" i="1" l="1"/>
  <c r="R1844" i="1" l="1"/>
  <c r="Q1845" i="1" s="1"/>
  <c r="P1845" i="1" l="1"/>
  <c r="R1845" i="1" l="1"/>
  <c r="Q1846" i="1" s="1"/>
  <c r="P1846" i="1" l="1"/>
  <c r="R1846" i="1" l="1"/>
  <c r="Q1847" i="1" s="1"/>
  <c r="P1847" i="1" l="1"/>
  <c r="R1847" i="1" l="1"/>
  <c r="Q1848" i="1" s="1"/>
  <c r="P1848" i="1" l="1"/>
  <c r="R1848" i="1" l="1"/>
  <c r="Q1849" i="1" s="1"/>
  <c r="P1849" i="1" l="1"/>
  <c r="R1849" i="1" l="1"/>
  <c r="Q1850" i="1" s="1"/>
  <c r="P1850" i="1" l="1"/>
  <c r="R1850" i="1" l="1"/>
  <c r="Q1851" i="1" s="1"/>
  <c r="P1851" i="1" l="1"/>
  <c r="R1851" i="1" l="1"/>
  <c r="Q1852" i="1" s="1"/>
  <c r="P1852" i="1" l="1"/>
  <c r="R1852" i="1" l="1"/>
  <c r="Q1853" i="1" s="1"/>
  <c r="P1853" i="1" l="1"/>
  <c r="R1853" i="1" l="1"/>
  <c r="Q1854" i="1" s="1"/>
  <c r="P1854" i="1" l="1"/>
  <c r="R1854" i="1" l="1"/>
  <c r="Q1855" i="1" s="1"/>
  <c r="P1855" i="1" l="1"/>
  <c r="R1855" i="1" l="1"/>
  <c r="Q1856" i="1" s="1"/>
  <c r="P1856" i="1" l="1"/>
  <c r="R1856" i="1" l="1"/>
  <c r="Q1857" i="1" s="1"/>
  <c r="P1857" i="1" l="1"/>
  <c r="R1857" i="1" l="1"/>
  <c r="Q1858" i="1" s="1"/>
  <c r="P1858" i="1" l="1"/>
  <c r="R1858" i="1" l="1"/>
  <c r="Q1859" i="1" s="1"/>
  <c r="P1859" i="1" l="1"/>
  <c r="R1859" i="1" l="1"/>
  <c r="Q1860" i="1" s="1"/>
  <c r="P1860" i="1" l="1"/>
  <c r="R1860" i="1" l="1"/>
  <c r="Q1861" i="1" s="1"/>
  <c r="P1861" i="1" l="1"/>
  <c r="R1861" i="1" l="1"/>
  <c r="Q1862" i="1" s="1"/>
  <c r="P1862" i="1" l="1"/>
  <c r="R1862" i="1" l="1"/>
  <c r="Q1863" i="1" s="1"/>
  <c r="P1863" i="1" l="1"/>
  <c r="R1863" i="1" l="1"/>
  <c r="Q1864" i="1" s="1"/>
  <c r="P1864" i="1" l="1"/>
  <c r="R1864" i="1" l="1"/>
  <c r="Q1865" i="1" s="1"/>
  <c r="P1865" i="1" l="1"/>
  <c r="R1865" i="1" l="1"/>
  <c r="Q1866" i="1" s="1"/>
  <c r="P1866" i="1" l="1"/>
  <c r="R1866" i="1" l="1"/>
  <c r="Q1867" i="1" s="1"/>
  <c r="P1867" i="1" l="1"/>
  <c r="R1867" i="1" l="1"/>
  <c r="Q1868" i="1" s="1"/>
  <c r="P1868" i="1" l="1"/>
  <c r="R1868" i="1" l="1"/>
  <c r="Q1869" i="1" s="1"/>
  <c r="P1869" i="1" l="1"/>
  <c r="R1869" i="1" l="1"/>
  <c r="Q1870" i="1" s="1"/>
  <c r="P1870" i="1" l="1"/>
  <c r="R1870" i="1" l="1"/>
  <c r="Q1871" i="1" s="1"/>
  <c r="P1871" i="1" l="1"/>
  <c r="R1871" i="1" l="1"/>
  <c r="Q1872" i="1" s="1"/>
  <c r="P1872" i="1" l="1"/>
  <c r="R1872" i="1" l="1"/>
  <c r="Q1873" i="1" s="1"/>
  <c r="P1873" i="1" l="1"/>
  <c r="R1873" i="1" l="1"/>
  <c r="Q1874" i="1" s="1"/>
  <c r="P1874" i="1" l="1"/>
  <c r="R1874" i="1" l="1"/>
  <c r="Q1875" i="1" s="1"/>
  <c r="P1875" i="1" l="1"/>
  <c r="R1875" i="1" l="1"/>
  <c r="Q1876" i="1" s="1"/>
  <c r="P1876" i="1" l="1"/>
  <c r="R1876" i="1" l="1"/>
  <c r="Q1877" i="1" s="1"/>
  <c r="P1877" i="1" l="1"/>
  <c r="R1877" i="1" l="1"/>
  <c r="Q1878" i="1" s="1"/>
  <c r="P1878" i="1" l="1"/>
  <c r="R1878" i="1" l="1"/>
  <c r="Q1879" i="1" s="1"/>
  <c r="P1879" i="1" l="1"/>
  <c r="R1879" i="1" l="1"/>
  <c r="Q1880" i="1" s="1"/>
  <c r="P1880" i="1" l="1"/>
  <c r="R1880" i="1" l="1"/>
  <c r="Q1881" i="1" s="1"/>
  <c r="P1881" i="1" l="1"/>
  <c r="R1881" i="1" l="1"/>
  <c r="Q1882" i="1" s="1"/>
  <c r="P1882" i="1" l="1"/>
  <c r="R1882" i="1" l="1"/>
  <c r="Q1883" i="1" s="1"/>
  <c r="P1883" i="1" l="1"/>
  <c r="R1883" i="1" l="1"/>
  <c r="Q1884" i="1" s="1"/>
  <c r="P1884" i="1" l="1"/>
  <c r="R1884" i="1" l="1"/>
  <c r="Q1885" i="1" s="1"/>
  <c r="P1885" i="1" l="1"/>
  <c r="R1885" i="1" l="1"/>
  <c r="Q1886" i="1" s="1"/>
  <c r="P1886" i="1" l="1"/>
  <c r="R1886" i="1" l="1"/>
  <c r="Q1887" i="1" s="1"/>
  <c r="P1887" i="1" l="1"/>
  <c r="R1887" i="1" l="1"/>
  <c r="Q1888" i="1" s="1"/>
  <c r="P1888" i="1" l="1"/>
  <c r="R1888" i="1" l="1"/>
  <c r="Q1889" i="1" s="1"/>
  <c r="P1889" i="1" l="1"/>
  <c r="R1889" i="1" l="1"/>
  <c r="Q1890" i="1" s="1"/>
  <c r="P1890" i="1" l="1"/>
  <c r="R1890" i="1" l="1"/>
  <c r="Q1891" i="1" s="1"/>
  <c r="P1891" i="1" l="1"/>
  <c r="R1891" i="1" l="1"/>
  <c r="Q1892" i="1" s="1"/>
  <c r="P1892" i="1" l="1"/>
  <c r="R1892" i="1" l="1"/>
  <c r="Q1893" i="1" s="1"/>
  <c r="P1893" i="1" l="1"/>
  <c r="R1893" i="1" l="1"/>
  <c r="Q1894" i="1" s="1"/>
  <c r="P1894" i="1" l="1"/>
  <c r="R1894" i="1" l="1"/>
  <c r="Q1895" i="1" s="1"/>
  <c r="P1895" i="1" l="1"/>
  <c r="R1895" i="1" l="1"/>
  <c r="Q1896" i="1" s="1"/>
  <c r="P1896" i="1" l="1"/>
  <c r="R1896" i="1" l="1"/>
  <c r="Q1897" i="1" s="1"/>
  <c r="P1897" i="1" l="1"/>
  <c r="R1897" i="1" l="1"/>
  <c r="Q1898" i="1" s="1"/>
  <c r="P1898" i="1" l="1"/>
  <c r="R1898" i="1" l="1"/>
  <c r="Q1899" i="1" s="1"/>
  <c r="P1899" i="1" l="1"/>
  <c r="R1899" i="1" l="1"/>
  <c r="Q1900" i="1" s="1"/>
  <c r="P1900" i="1" l="1"/>
  <c r="R1900" i="1" l="1"/>
  <c r="Q1901" i="1" s="1"/>
  <c r="P1901" i="1" l="1"/>
  <c r="R1901" i="1" l="1"/>
  <c r="Q1902" i="1" s="1"/>
  <c r="P1902" i="1" l="1"/>
  <c r="R1902" i="1" l="1"/>
  <c r="Q1903" i="1" s="1"/>
  <c r="P1903" i="1" l="1"/>
  <c r="R1903" i="1" l="1"/>
  <c r="Q1904" i="1" s="1"/>
  <c r="P1904" i="1" l="1"/>
  <c r="R1904" i="1" l="1"/>
  <c r="Q1905" i="1" s="1"/>
  <c r="P1905" i="1" l="1"/>
  <c r="R1905" i="1" l="1"/>
  <c r="Q1906" i="1" s="1"/>
  <c r="P1906" i="1" l="1"/>
  <c r="R1906" i="1" l="1"/>
  <c r="Q1907" i="1" s="1"/>
  <c r="P1907" i="1" l="1"/>
  <c r="R1907" i="1" l="1"/>
  <c r="Q1908" i="1" s="1"/>
  <c r="P1908" i="1" l="1"/>
  <c r="R1908" i="1" l="1"/>
  <c r="Q1909" i="1" s="1"/>
  <c r="P1909" i="1" l="1"/>
  <c r="R1909" i="1" l="1"/>
  <c r="Q1910" i="1" s="1"/>
  <c r="P1910" i="1" l="1"/>
  <c r="R1910" i="1" l="1"/>
  <c r="Q1911" i="1" s="1"/>
  <c r="P1911" i="1" l="1"/>
  <c r="R1911" i="1" l="1"/>
  <c r="Q1912" i="1" s="1"/>
  <c r="P1912" i="1" l="1"/>
  <c r="R1912" i="1" l="1"/>
  <c r="Q1913" i="1" s="1"/>
  <c r="P1913" i="1" l="1"/>
  <c r="R1913" i="1" l="1"/>
  <c r="Q1914" i="1" s="1"/>
  <c r="P1914" i="1" l="1"/>
  <c r="R1914" i="1" l="1"/>
  <c r="Q1915" i="1" s="1"/>
  <c r="P1915" i="1" l="1"/>
  <c r="R1915" i="1" l="1"/>
  <c r="Q1916" i="1" s="1"/>
  <c r="P1916" i="1" l="1"/>
  <c r="R1916" i="1" l="1"/>
  <c r="Q1917" i="1" s="1"/>
  <c r="P1917" i="1" l="1"/>
  <c r="R1917" i="1" l="1"/>
  <c r="Q1918" i="1" s="1"/>
  <c r="P1918" i="1" l="1"/>
  <c r="R1918" i="1" l="1"/>
  <c r="Q1919" i="1" s="1"/>
  <c r="P1919" i="1" l="1"/>
  <c r="R1919" i="1" l="1"/>
  <c r="Q1920" i="1" s="1"/>
  <c r="P1920" i="1" l="1"/>
  <c r="R1920" i="1" l="1"/>
  <c r="Q1921" i="1" s="1"/>
  <c r="P1921" i="1" l="1"/>
  <c r="R1921" i="1" l="1"/>
  <c r="Q1922" i="1" s="1"/>
  <c r="P1922" i="1" l="1"/>
  <c r="R1922" i="1" l="1"/>
  <c r="Q1923" i="1" s="1"/>
  <c r="P1923" i="1" l="1"/>
  <c r="R1923" i="1" l="1"/>
  <c r="Q1924" i="1" s="1"/>
  <c r="P1924" i="1" l="1"/>
  <c r="R1924" i="1" l="1"/>
  <c r="Q1925" i="1" s="1"/>
  <c r="P1925" i="1" l="1"/>
  <c r="R1925" i="1" l="1"/>
  <c r="Q1926" i="1" s="1"/>
  <c r="P1926" i="1" l="1"/>
  <c r="R1926" i="1" l="1"/>
  <c r="Q1927" i="1" s="1"/>
  <c r="P1927" i="1" l="1"/>
  <c r="R1927" i="1" l="1"/>
  <c r="Q1928" i="1" s="1"/>
  <c r="P1928" i="1" l="1"/>
  <c r="R1928" i="1" l="1"/>
  <c r="Q1929" i="1" s="1"/>
  <c r="P1929" i="1" l="1"/>
  <c r="R1929" i="1" l="1"/>
  <c r="Q1930" i="1" s="1"/>
  <c r="P1930" i="1" l="1"/>
  <c r="R1930" i="1" l="1"/>
  <c r="Q1931" i="1" s="1"/>
  <c r="P1931" i="1" l="1"/>
  <c r="R1931" i="1" l="1"/>
  <c r="Q1932" i="1" s="1"/>
  <c r="P1932" i="1" l="1"/>
  <c r="R1932" i="1" l="1"/>
  <c r="Q1933" i="1" s="1"/>
  <c r="P1933" i="1" l="1"/>
  <c r="R1933" i="1" l="1"/>
  <c r="Q1934" i="1" s="1"/>
  <c r="P1934" i="1" l="1"/>
  <c r="R1934" i="1" l="1"/>
  <c r="Q1935" i="1" s="1"/>
  <c r="P1935" i="1" l="1"/>
  <c r="R1935" i="1" l="1"/>
  <c r="Q1936" i="1" s="1"/>
  <c r="P1936" i="1" l="1"/>
  <c r="R1936" i="1" l="1"/>
  <c r="Q1937" i="1" s="1"/>
  <c r="P1937" i="1" l="1"/>
  <c r="R1937" i="1" l="1"/>
  <c r="Q1938" i="1" s="1"/>
  <c r="P1938" i="1" l="1"/>
  <c r="R1938" i="1" l="1"/>
  <c r="Q1939" i="1" s="1"/>
  <c r="P1939" i="1" l="1"/>
  <c r="R1939" i="1" l="1"/>
  <c r="Q1940" i="1" s="1"/>
  <c r="P1940" i="1" l="1"/>
  <c r="R1940" i="1" l="1"/>
  <c r="Q1941" i="1" s="1"/>
  <c r="P1941" i="1" l="1"/>
  <c r="R1941" i="1" l="1"/>
  <c r="Q1942" i="1" s="1"/>
  <c r="P1942" i="1" l="1"/>
  <c r="R1942" i="1" l="1"/>
  <c r="Q1943" i="1" s="1"/>
  <c r="P1943" i="1" l="1"/>
  <c r="R1943" i="1" l="1"/>
  <c r="Q1944" i="1" s="1"/>
  <c r="P1944" i="1" l="1"/>
  <c r="R1944" i="1" l="1"/>
  <c r="Q1945" i="1" s="1"/>
  <c r="P1945" i="1" l="1"/>
  <c r="R1945" i="1" l="1"/>
  <c r="Q1946" i="1" s="1"/>
  <c r="P1946" i="1" l="1"/>
  <c r="R1946" i="1" l="1"/>
  <c r="Q1947" i="1" s="1"/>
  <c r="P1947" i="1" l="1"/>
  <c r="R1947" i="1" l="1"/>
  <c r="Q1948" i="1" s="1"/>
  <c r="P1948" i="1" l="1"/>
  <c r="R1948" i="1" l="1"/>
  <c r="Q1949" i="1" s="1"/>
  <c r="P1949" i="1" l="1"/>
  <c r="R1949" i="1" l="1"/>
  <c r="Q1950" i="1" s="1"/>
  <c r="P1950" i="1" l="1"/>
  <c r="R1950" i="1" l="1"/>
  <c r="Q1951" i="1" s="1"/>
  <c r="P1951" i="1" l="1"/>
  <c r="R1951" i="1" l="1"/>
  <c r="Q1952" i="1" s="1"/>
  <c r="P1952" i="1" l="1"/>
  <c r="R1952" i="1" l="1"/>
  <c r="Q1953" i="1" s="1"/>
  <c r="P1953" i="1" l="1"/>
  <c r="R1953" i="1" l="1"/>
  <c r="Q1954" i="1" s="1"/>
  <c r="P1954" i="1" l="1"/>
  <c r="R1954" i="1" l="1"/>
  <c r="Q1955" i="1" s="1"/>
  <c r="P1955" i="1" l="1"/>
  <c r="R1955" i="1" l="1"/>
  <c r="Q1956" i="1" s="1"/>
  <c r="P1956" i="1" l="1"/>
  <c r="R1956" i="1" l="1"/>
  <c r="Q1957" i="1" s="1"/>
  <c r="P1957" i="1" l="1"/>
  <c r="R1957" i="1" l="1"/>
  <c r="Q1958" i="1" s="1"/>
  <c r="P1958" i="1" l="1"/>
  <c r="R1958" i="1" l="1"/>
  <c r="Q1959" i="1" s="1"/>
  <c r="P1959" i="1" l="1"/>
  <c r="R1959" i="1" l="1"/>
  <c r="Q1960" i="1" s="1"/>
  <c r="P1960" i="1" l="1"/>
  <c r="R1960" i="1" l="1"/>
  <c r="Q1961" i="1" s="1"/>
  <c r="P1961" i="1" l="1"/>
  <c r="R1961" i="1" l="1"/>
  <c r="Q1962" i="1" s="1"/>
  <c r="P1962" i="1" l="1"/>
  <c r="R1962" i="1" l="1"/>
  <c r="Q1963" i="1" s="1"/>
  <c r="P1963" i="1" l="1"/>
  <c r="R1963" i="1" l="1"/>
  <c r="Q1964" i="1" s="1"/>
  <c r="P1964" i="1" l="1"/>
  <c r="R1964" i="1" l="1"/>
  <c r="Q1965" i="1" s="1"/>
  <c r="P1965" i="1" l="1"/>
  <c r="R1965" i="1" l="1"/>
  <c r="Q1966" i="1" s="1"/>
  <c r="P1966" i="1" l="1"/>
  <c r="R1966" i="1" l="1"/>
  <c r="Q1967" i="1" s="1"/>
  <c r="P1967" i="1" l="1"/>
  <c r="R1967" i="1" l="1"/>
  <c r="Q1968" i="1" s="1"/>
  <c r="P1968" i="1" l="1"/>
  <c r="R1968" i="1" l="1"/>
  <c r="Q1969" i="1" s="1"/>
  <c r="P1969" i="1" l="1"/>
  <c r="R1969" i="1" l="1"/>
  <c r="Q1970" i="1" s="1"/>
  <c r="P1970" i="1" l="1"/>
  <c r="R1970" i="1" l="1"/>
  <c r="Q1971" i="1" s="1"/>
  <c r="P1971" i="1" l="1"/>
  <c r="R1971" i="1" l="1"/>
  <c r="Q1972" i="1" s="1"/>
  <c r="P1972" i="1" l="1"/>
  <c r="R1972" i="1" l="1"/>
  <c r="Q1973" i="1" s="1"/>
  <c r="P1973" i="1" l="1"/>
  <c r="R1973" i="1" l="1"/>
  <c r="Q1974" i="1" s="1"/>
  <c r="P1974" i="1" l="1"/>
  <c r="R1974" i="1" l="1"/>
  <c r="Q1975" i="1" s="1"/>
  <c r="P1975" i="1" l="1"/>
  <c r="R1975" i="1" l="1"/>
  <c r="Q1976" i="1" s="1"/>
  <c r="P1976" i="1" l="1"/>
  <c r="R1976" i="1" l="1"/>
  <c r="Q1977" i="1" s="1"/>
  <c r="P1977" i="1" l="1"/>
  <c r="R1977" i="1" l="1"/>
  <c r="Q1978" i="1" s="1"/>
  <c r="P1978" i="1" l="1"/>
  <c r="R1978" i="1" l="1"/>
  <c r="Q1979" i="1" s="1"/>
  <c r="P1979" i="1" l="1"/>
  <c r="R1979" i="1" l="1"/>
  <c r="Q1980" i="1" s="1"/>
  <c r="P1980" i="1" l="1"/>
  <c r="R1980" i="1" l="1"/>
  <c r="Q1981" i="1" s="1"/>
  <c r="P1981" i="1" l="1"/>
  <c r="R1981" i="1" l="1"/>
  <c r="Q1982" i="1" s="1"/>
  <c r="P1982" i="1" l="1"/>
  <c r="R1982" i="1" l="1"/>
  <c r="Q1983" i="1" s="1"/>
  <c r="P1983" i="1" l="1"/>
  <c r="R1983" i="1" l="1"/>
  <c r="Q1984" i="1" s="1"/>
  <c r="P1984" i="1" l="1"/>
  <c r="R1984" i="1" l="1"/>
  <c r="Q1985" i="1" s="1"/>
  <c r="P1985" i="1" l="1"/>
  <c r="R1985" i="1" l="1"/>
  <c r="Q1986" i="1" s="1"/>
  <c r="P1986" i="1" l="1"/>
  <c r="R1986" i="1" l="1"/>
  <c r="Q1987" i="1" s="1"/>
  <c r="P1987" i="1" l="1"/>
  <c r="R1987" i="1" l="1"/>
  <c r="Q1988" i="1" s="1"/>
  <c r="P1988" i="1" l="1"/>
  <c r="R1988" i="1" l="1"/>
  <c r="Q1989" i="1" s="1"/>
  <c r="P1989" i="1" l="1"/>
  <c r="R1989" i="1" l="1"/>
  <c r="Q1990" i="1" s="1"/>
  <c r="P1990" i="1" l="1"/>
  <c r="R1990" i="1" l="1"/>
  <c r="Q1991" i="1" s="1"/>
  <c r="P1991" i="1" l="1"/>
  <c r="R1991" i="1" l="1"/>
  <c r="Q1992" i="1" s="1"/>
  <c r="P1992" i="1" l="1"/>
  <c r="R1992" i="1" l="1"/>
  <c r="Q1993" i="1" s="1"/>
  <c r="P1993" i="1" l="1"/>
  <c r="R1993" i="1" l="1"/>
  <c r="Q1994" i="1" s="1"/>
  <c r="P1994" i="1" l="1"/>
  <c r="R1994" i="1" l="1"/>
  <c r="Q1995" i="1" s="1"/>
  <c r="P1995" i="1" l="1"/>
  <c r="R1995" i="1" l="1"/>
  <c r="Q1996" i="1" s="1"/>
  <c r="P1996" i="1" l="1"/>
  <c r="R1996" i="1" l="1"/>
  <c r="Q1997" i="1" s="1"/>
  <c r="P1997" i="1" l="1"/>
  <c r="R1997" i="1" l="1"/>
  <c r="Q1998" i="1" s="1"/>
  <c r="P1998" i="1" l="1"/>
  <c r="R1998" i="1" l="1"/>
  <c r="Q1999" i="1" s="1"/>
  <c r="P1999" i="1" l="1"/>
  <c r="R1999" i="1" l="1"/>
  <c r="Q2000" i="1" s="1"/>
  <c r="P2000" i="1" l="1"/>
  <c r="R2000" i="1" l="1"/>
  <c r="Q2001" i="1" s="1"/>
  <c r="P2001" i="1" l="1"/>
  <c r="R2001" i="1" l="1"/>
  <c r="Q2002" i="1" s="1"/>
  <c r="P2002" i="1" l="1"/>
  <c r="R2002" i="1" l="1"/>
  <c r="Q2003" i="1" s="1"/>
  <c r="P2003" i="1" l="1"/>
  <c r="R2003" i="1" l="1"/>
  <c r="Q2004" i="1" s="1"/>
  <c r="P2004" i="1" l="1"/>
  <c r="R2004" i="1" l="1"/>
  <c r="Q2005" i="1" s="1"/>
  <c r="P2005" i="1" l="1"/>
  <c r="R2005" i="1" l="1"/>
  <c r="Q2006" i="1" s="1"/>
  <c r="P2006" i="1" l="1"/>
  <c r="R2006" i="1" l="1"/>
  <c r="Q2007" i="1" s="1"/>
  <c r="P2007" i="1" l="1"/>
  <c r="R2007" i="1" l="1"/>
  <c r="Q2008" i="1" s="1"/>
  <c r="P2008" i="1" l="1"/>
  <c r="R2008" i="1" l="1"/>
  <c r="Q2009" i="1" s="1"/>
  <c r="P2009" i="1" l="1"/>
  <c r="R2009" i="1" l="1"/>
  <c r="Q2010" i="1" s="1"/>
  <c r="P2010" i="1" l="1"/>
  <c r="R2010" i="1" l="1"/>
  <c r="Q2011" i="1" s="1"/>
  <c r="P2011" i="1" l="1"/>
  <c r="R2011" i="1" l="1"/>
  <c r="Q2012" i="1" s="1"/>
  <c r="P2012" i="1" l="1"/>
  <c r="R2012" i="1" l="1"/>
  <c r="Q2013" i="1" s="1"/>
  <c r="P2013" i="1" l="1"/>
  <c r="R2013" i="1" l="1"/>
  <c r="Q2014" i="1" s="1"/>
  <c r="P2014" i="1" l="1"/>
  <c r="R2014" i="1" l="1"/>
  <c r="Q2015" i="1" s="1"/>
  <c r="P2015" i="1" l="1"/>
  <c r="R2015" i="1" l="1"/>
  <c r="Q2016" i="1" s="1"/>
  <c r="P2016" i="1" l="1"/>
  <c r="R2016" i="1" l="1"/>
  <c r="Q2017" i="1" s="1"/>
  <c r="P2017" i="1" l="1"/>
  <c r="R2017" i="1" l="1"/>
  <c r="Q2018" i="1" s="1"/>
  <c r="P2018" i="1" l="1"/>
  <c r="R2018" i="1" l="1"/>
  <c r="Q2019" i="1" s="1"/>
  <c r="P2019" i="1" l="1"/>
  <c r="R2019" i="1" l="1"/>
  <c r="Q2020" i="1" s="1"/>
  <c r="P2020" i="1" l="1"/>
  <c r="R2020" i="1" l="1"/>
  <c r="Q2021" i="1" s="1"/>
  <c r="P2021" i="1" l="1"/>
  <c r="R2021" i="1" l="1"/>
  <c r="Q2022" i="1" s="1"/>
  <c r="P2022" i="1" l="1"/>
  <c r="R2022" i="1" l="1"/>
  <c r="Q2023" i="1" s="1"/>
  <c r="P2023" i="1" l="1"/>
  <c r="R2023" i="1" l="1"/>
  <c r="Q2024" i="1" s="1"/>
  <c r="P2024" i="1" l="1"/>
  <c r="R2024" i="1" l="1"/>
  <c r="Q2025" i="1" s="1"/>
  <c r="P2025" i="1" l="1"/>
  <c r="R2025" i="1" l="1"/>
  <c r="Q2026" i="1" s="1"/>
  <c r="P2026" i="1" l="1"/>
  <c r="R2026" i="1" l="1"/>
  <c r="Q2027" i="1" s="1"/>
  <c r="P2027" i="1" l="1"/>
  <c r="R2027" i="1" l="1"/>
  <c r="Q2028" i="1" s="1"/>
  <c r="P2028" i="1" l="1"/>
  <c r="R2028" i="1" l="1"/>
  <c r="Q2029" i="1" s="1"/>
  <c r="P2029" i="1" l="1"/>
  <c r="R2029" i="1" l="1"/>
  <c r="Q2030" i="1" s="1"/>
  <c r="P2030" i="1" l="1"/>
  <c r="R2030" i="1" l="1"/>
  <c r="Q2031" i="1" s="1"/>
  <c r="P2031" i="1" l="1"/>
  <c r="R2031" i="1" l="1"/>
  <c r="Q2032" i="1" s="1"/>
  <c r="P2032" i="1" l="1"/>
  <c r="R2032" i="1" l="1"/>
  <c r="Q2033" i="1" s="1"/>
  <c r="P2033" i="1" l="1"/>
  <c r="R2033" i="1" l="1"/>
  <c r="Q2034" i="1" s="1"/>
  <c r="P2034" i="1" l="1"/>
  <c r="R2034" i="1" l="1"/>
  <c r="Q2035" i="1" s="1"/>
  <c r="P2035" i="1" l="1"/>
  <c r="R2035" i="1" l="1"/>
  <c r="Q2036" i="1" s="1"/>
  <c r="P2036" i="1" l="1"/>
  <c r="R2036" i="1" l="1"/>
  <c r="Q2037" i="1" s="1"/>
  <c r="P2037" i="1" l="1"/>
  <c r="R2037" i="1" l="1"/>
  <c r="Q2038" i="1" s="1"/>
  <c r="P2038" i="1" l="1"/>
  <c r="R2038" i="1" l="1"/>
  <c r="Q2039" i="1" s="1"/>
  <c r="P2039" i="1" l="1"/>
  <c r="R2039" i="1" l="1"/>
  <c r="Q2040" i="1" s="1"/>
  <c r="P2040" i="1" l="1"/>
  <c r="R2040" i="1" l="1"/>
  <c r="Q2041" i="1" s="1"/>
  <c r="P2041" i="1" l="1"/>
  <c r="R2041" i="1" l="1"/>
  <c r="Q2042" i="1" s="1"/>
  <c r="P2042" i="1" l="1"/>
  <c r="R2042" i="1" l="1"/>
  <c r="Q2043" i="1" s="1"/>
  <c r="P2043" i="1" l="1"/>
  <c r="R2043" i="1" l="1"/>
  <c r="Q2044" i="1" s="1"/>
  <c r="P2044" i="1" l="1"/>
  <c r="R2044" i="1" l="1"/>
  <c r="Q2045" i="1" s="1"/>
  <c r="P2045" i="1" l="1"/>
  <c r="R2045" i="1" l="1"/>
  <c r="Q2046" i="1" s="1"/>
  <c r="P2046" i="1" l="1"/>
  <c r="R2046" i="1" l="1"/>
  <c r="Q2047" i="1" s="1"/>
  <c r="P2047" i="1" l="1"/>
  <c r="R2047" i="1" l="1"/>
  <c r="Q2048" i="1" s="1"/>
  <c r="P2048" i="1" l="1"/>
  <c r="R2048" i="1" l="1"/>
  <c r="Q2049" i="1" s="1"/>
  <c r="P2049" i="1" l="1"/>
  <c r="R2049" i="1" l="1"/>
  <c r="Q2050" i="1" s="1"/>
  <c r="P2050" i="1" l="1"/>
  <c r="R2050" i="1" l="1"/>
  <c r="Q2051" i="1" s="1"/>
  <c r="P2051" i="1" l="1"/>
  <c r="R2051" i="1" l="1"/>
  <c r="Q2052" i="1" s="1"/>
  <c r="P2052" i="1" l="1"/>
  <c r="R2052" i="1" l="1"/>
  <c r="Q2053" i="1" s="1"/>
  <c r="P2053" i="1" l="1"/>
  <c r="R2053" i="1" l="1"/>
  <c r="Q2054" i="1" s="1"/>
  <c r="P2054" i="1" l="1"/>
  <c r="R2054" i="1" l="1"/>
  <c r="Q2055" i="1" s="1"/>
  <c r="P2055" i="1" l="1"/>
  <c r="R2055" i="1" l="1"/>
  <c r="Q2056" i="1" s="1"/>
  <c r="P2056" i="1" l="1"/>
  <c r="R2056" i="1" l="1"/>
  <c r="Q2057" i="1" s="1"/>
  <c r="P2057" i="1" l="1"/>
  <c r="R2057" i="1" l="1"/>
  <c r="Q2058" i="1" s="1"/>
  <c r="P2058" i="1" l="1"/>
  <c r="R2058" i="1" l="1"/>
  <c r="Q2059" i="1" s="1"/>
  <c r="P2059" i="1" l="1"/>
  <c r="R2059" i="1" l="1"/>
  <c r="Q2060" i="1" s="1"/>
  <c r="P2060" i="1" l="1"/>
  <c r="R2060" i="1" l="1"/>
  <c r="Q2061" i="1" s="1"/>
  <c r="P2061" i="1" l="1"/>
  <c r="R2061" i="1" l="1"/>
  <c r="Q2062" i="1" s="1"/>
  <c r="P2062" i="1" l="1"/>
  <c r="R2062" i="1" l="1"/>
  <c r="Q2063" i="1" s="1"/>
  <c r="P2063" i="1" l="1"/>
  <c r="R2063" i="1" l="1"/>
  <c r="Q2064" i="1" s="1"/>
  <c r="P2064" i="1" l="1"/>
  <c r="R2064" i="1" l="1"/>
  <c r="Q2065" i="1" s="1"/>
  <c r="P2065" i="1" l="1"/>
  <c r="R2065" i="1" l="1"/>
  <c r="Q2066" i="1" s="1"/>
  <c r="P2066" i="1" l="1"/>
  <c r="R2066" i="1" l="1"/>
  <c r="Q2067" i="1" s="1"/>
  <c r="P2067" i="1" l="1"/>
  <c r="R2067" i="1" l="1"/>
  <c r="Q2068" i="1" s="1"/>
  <c r="P2068" i="1" l="1"/>
  <c r="R2068" i="1" l="1"/>
  <c r="Q2069" i="1" s="1"/>
  <c r="P2069" i="1" l="1"/>
  <c r="R2069" i="1" l="1"/>
  <c r="Q2070" i="1" s="1"/>
  <c r="P2070" i="1" l="1"/>
  <c r="R2070" i="1" l="1"/>
  <c r="Q2071" i="1" s="1"/>
  <c r="P2071" i="1" l="1"/>
  <c r="R2071" i="1" l="1"/>
  <c r="Q2072" i="1" s="1"/>
  <c r="P2072" i="1" l="1"/>
  <c r="R2072" i="1" l="1"/>
  <c r="Q2073" i="1" s="1"/>
  <c r="P2073" i="1" l="1"/>
  <c r="R2073" i="1" l="1"/>
  <c r="Q2074" i="1" s="1"/>
  <c r="P2074" i="1" l="1"/>
  <c r="R2074" i="1" l="1"/>
  <c r="Q2075" i="1" s="1"/>
  <c r="P2075" i="1" l="1"/>
  <c r="R2075" i="1" l="1"/>
  <c r="Q2076" i="1" s="1"/>
  <c r="P2076" i="1" l="1"/>
  <c r="R2076" i="1" l="1"/>
  <c r="Q2077" i="1" s="1"/>
  <c r="P2077" i="1" l="1"/>
  <c r="R2077" i="1" l="1"/>
  <c r="Q2078" i="1" s="1"/>
  <c r="P2078" i="1" l="1"/>
  <c r="R2078" i="1" l="1"/>
  <c r="Q2079" i="1" s="1"/>
  <c r="P2079" i="1" l="1"/>
  <c r="R2079" i="1" l="1"/>
  <c r="Q2080" i="1" s="1"/>
  <c r="P2080" i="1" l="1"/>
  <c r="R2080" i="1" l="1"/>
  <c r="Q2081" i="1" s="1"/>
  <c r="P2081" i="1" l="1"/>
  <c r="R2081" i="1" l="1"/>
  <c r="Q2082" i="1" s="1"/>
  <c r="P2082" i="1" l="1"/>
  <c r="R2082" i="1" l="1"/>
  <c r="Q2083" i="1" s="1"/>
  <c r="P2083" i="1" l="1"/>
  <c r="R2083" i="1" l="1"/>
  <c r="Q2084" i="1" s="1"/>
  <c r="P2084" i="1" l="1"/>
  <c r="R2084" i="1" l="1"/>
  <c r="Q2085" i="1" s="1"/>
  <c r="P2085" i="1" l="1"/>
  <c r="R2085" i="1" l="1"/>
  <c r="Q2086" i="1" s="1"/>
  <c r="P2086" i="1" l="1"/>
  <c r="R2086" i="1" l="1"/>
  <c r="Q2087" i="1" s="1"/>
  <c r="P2087" i="1" l="1"/>
  <c r="R2087" i="1" l="1"/>
  <c r="Q2088" i="1" s="1"/>
  <c r="P2088" i="1" l="1"/>
  <c r="R2088" i="1" l="1"/>
  <c r="Q2089" i="1" s="1"/>
  <c r="P2089" i="1" l="1"/>
  <c r="R2089" i="1" l="1"/>
  <c r="Q2090" i="1" s="1"/>
  <c r="P2090" i="1" l="1"/>
  <c r="R2090" i="1" l="1"/>
  <c r="Q2091" i="1" s="1"/>
  <c r="P2091" i="1" l="1"/>
  <c r="R2091" i="1" l="1"/>
  <c r="Q2092" i="1" s="1"/>
  <c r="P2092" i="1" l="1"/>
  <c r="R2092" i="1" l="1"/>
  <c r="Q2093" i="1" s="1"/>
  <c r="P2093" i="1" l="1"/>
  <c r="R2093" i="1" l="1"/>
  <c r="Q2094" i="1" s="1"/>
  <c r="P2094" i="1" l="1"/>
  <c r="R2094" i="1" l="1"/>
  <c r="Q2095" i="1" s="1"/>
  <c r="P2095" i="1" l="1"/>
  <c r="R2095" i="1" l="1"/>
  <c r="Q2096" i="1" s="1"/>
  <c r="P2096" i="1" l="1"/>
  <c r="R2096" i="1" l="1"/>
  <c r="Q2097" i="1" s="1"/>
  <c r="P2097" i="1" l="1"/>
  <c r="R2097" i="1" l="1"/>
  <c r="Q2098" i="1" s="1"/>
  <c r="P2098" i="1" l="1"/>
  <c r="R2098" i="1" l="1"/>
  <c r="Q2099" i="1" s="1"/>
  <c r="P2099" i="1" l="1"/>
  <c r="R2099" i="1" l="1"/>
  <c r="Q2100" i="1" s="1"/>
  <c r="P2100" i="1" l="1"/>
  <c r="R2100" i="1" l="1"/>
  <c r="Q2101" i="1" s="1"/>
  <c r="P2101" i="1" l="1"/>
  <c r="R2101" i="1" l="1"/>
  <c r="Q2102" i="1" s="1"/>
  <c r="P2102" i="1" l="1"/>
  <c r="R2102" i="1" l="1"/>
  <c r="Q2103" i="1" s="1"/>
  <c r="P2103" i="1" l="1"/>
  <c r="R2103" i="1" l="1"/>
  <c r="Q2104" i="1" s="1"/>
  <c r="P2104" i="1" l="1"/>
  <c r="R2104" i="1" l="1"/>
  <c r="Q2105" i="1" s="1"/>
  <c r="P2105" i="1" l="1"/>
  <c r="R2105" i="1" l="1"/>
  <c r="Q2106" i="1" s="1"/>
  <c r="P2106" i="1" l="1"/>
  <c r="R2106" i="1" l="1"/>
  <c r="Q2107" i="1" s="1"/>
  <c r="P2107" i="1" l="1"/>
  <c r="R2107" i="1" l="1"/>
  <c r="Q2108" i="1" s="1"/>
  <c r="P2108" i="1" l="1"/>
  <c r="R2108" i="1" l="1"/>
  <c r="Q2109" i="1" s="1"/>
  <c r="P2109" i="1" l="1"/>
  <c r="R2109" i="1" l="1"/>
  <c r="Q2110" i="1" s="1"/>
  <c r="P2110" i="1" l="1"/>
  <c r="R2110" i="1" l="1"/>
  <c r="Q2111" i="1" s="1"/>
  <c r="P2111" i="1" l="1"/>
  <c r="R2111" i="1" l="1"/>
  <c r="Q2112" i="1" s="1"/>
  <c r="P2112" i="1" l="1"/>
  <c r="R2112" i="1" l="1"/>
  <c r="Q2113" i="1" s="1"/>
  <c r="P2113" i="1" l="1"/>
  <c r="R2113" i="1" l="1"/>
  <c r="Q2114" i="1" s="1"/>
  <c r="P2114" i="1" l="1"/>
  <c r="R2114" i="1" l="1"/>
  <c r="Q2115" i="1" s="1"/>
  <c r="P2115" i="1" l="1"/>
  <c r="R2115" i="1" l="1"/>
  <c r="Q2116" i="1" s="1"/>
  <c r="P2116" i="1" l="1"/>
  <c r="R2116" i="1" l="1"/>
  <c r="Q2117" i="1" s="1"/>
  <c r="P2117" i="1" l="1"/>
  <c r="R2117" i="1" l="1"/>
  <c r="Q2118" i="1" s="1"/>
  <c r="P2118" i="1" l="1"/>
  <c r="R2118" i="1" l="1"/>
  <c r="Q2119" i="1" s="1"/>
  <c r="P2119" i="1" l="1"/>
  <c r="R2119" i="1" l="1"/>
  <c r="Q2120" i="1" s="1"/>
  <c r="P2120" i="1" l="1"/>
  <c r="R2120" i="1" l="1"/>
  <c r="Q2121" i="1" s="1"/>
  <c r="P2121" i="1" l="1"/>
  <c r="R2121" i="1" l="1"/>
  <c r="Q2122" i="1" s="1"/>
  <c r="P2122" i="1" l="1"/>
  <c r="R2122" i="1" l="1"/>
  <c r="Q2123" i="1" s="1"/>
  <c r="P2123" i="1" l="1"/>
  <c r="R2123" i="1" l="1"/>
  <c r="Q2124" i="1" s="1"/>
  <c r="P2124" i="1" l="1"/>
  <c r="R2124" i="1" l="1"/>
  <c r="Q2125" i="1" s="1"/>
  <c r="P2125" i="1" l="1"/>
  <c r="R2125" i="1" l="1"/>
  <c r="Q2126" i="1" s="1"/>
  <c r="P2126" i="1" l="1"/>
  <c r="R2126" i="1" l="1"/>
  <c r="Q2127" i="1" s="1"/>
  <c r="P2127" i="1" l="1"/>
  <c r="R2127" i="1" l="1"/>
  <c r="Q2128" i="1" s="1"/>
  <c r="P2128" i="1" l="1"/>
  <c r="R2128" i="1" l="1"/>
  <c r="Q2129" i="1" s="1"/>
  <c r="P2129" i="1" l="1"/>
  <c r="R2129" i="1" l="1"/>
  <c r="Q2130" i="1" s="1"/>
  <c r="P2130" i="1" l="1"/>
  <c r="R2130" i="1" l="1"/>
  <c r="Q2131" i="1" s="1"/>
  <c r="P2131" i="1" l="1"/>
  <c r="R2131" i="1" l="1"/>
  <c r="Q2132" i="1" s="1"/>
  <c r="P2132" i="1" l="1"/>
  <c r="R2132" i="1" l="1"/>
  <c r="Q2133" i="1" s="1"/>
  <c r="P2133" i="1" l="1"/>
  <c r="R2133" i="1" l="1"/>
  <c r="Q2134" i="1" s="1"/>
  <c r="P2134" i="1" l="1"/>
  <c r="R2134" i="1" l="1"/>
  <c r="Q2135" i="1" s="1"/>
  <c r="P2135" i="1" l="1"/>
  <c r="R2135" i="1" l="1"/>
  <c r="Q2136" i="1" s="1"/>
  <c r="P2136" i="1" l="1"/>
  <c r="R2136" i="1" l="1"/>
  <c r="Q2137" i="1" s="1"/>
  <c r="P2137" i="1" l="1"/>
  <c r="R2137" i="1" l="1"/>
  <c r="Q2138" i="1" s="1"/>
  <c r="P2138" i="1" l="1"/>
  <c r="R2138" i="1" l="1"/>
  <c r="Q2139" i="1" s="1"/>
  <c r="P2139" i="1" l="1"/>
  <c r="R2139" i="1" l="1"/>
  <c r="Q2140" i="1" s="1"/>
  <c r="P2140" i="1" l="1"/>
  <c r="R2140" i="1" l="1"/>
  <c r="Q2141" i="1" s="1"/>
  <c r="P2141" i="1" l="1"/>
  <c r="R2141" i="1" l="1"/>
  <c r="Q2142" i="1" s="1"/>
  <c r="P2142" i="1" l="1"/>
  <c r="R2142" i="1" l="1"/>
  <c r="Q2143" i="1" s="1"/>
  <c r="P2143" i="1" l="1"/>
  <c r="R2143" i="1" l="1"/>
  <c r="Q2144" i="1" s="1"/>
  <c r="P2144" i="1" l="1"/>
  <c r="R2144" i="1" l="1"/>
  <c r="Q2145" i="1" s="1"/>
  <c r="P2145" i="1" l="1"/>
  <c r="R2145" i="1" l="1"/>
  <c r="Q2146" i="1" s="1"/>
  <c r="P2146" i="1" l="1"/>
  <c r="R2146" i="1" l="1"/>
  <c r="Q2147" i="1" s="1"/>
  <c r="P2147" i="1" l="1"/>
  <c r="R2147" i="1" l="1"/>
  <c r="Q2148" i="1" s="1"/>
  <c r="P2148" i="1" l="1"/>
  <c r="R2148" i="1" l="1"/>
  <c r="Q2149" i="1" s="1"/>
  <c r="P2149" i="1" l="1"/>
  <c r="R2149" i="1" l="1"/>
  <c r="Q2150" i="1" s="1"/>
  <c r="P2150" i="1" l="1"/>
  <c r="R2150" i="1" l="1"/>
  <c r="Q2151" i="1" s="1"/>
  <c r="P2151" i="1" l="1"/>
  <c r="R2151" i="1" l="1"/>
  <c r="Q2152" i="1" s="1"/>
  <c r="P2152" i="1" l="1"/>
  <c r="R2152" i="1" l="1"/>
  <c r="Q2153" i="1" s="1"/>
  <c r="P2153" i="1" l="1"/>
  <c r="R2153" i="1" l="1"/>
  <c r="Q2154" i="1" s="1"/>
  <c r="P2154" i="1" l="1"/>
  <c r="R2154" i="1" l="1"/>
  <c r="Q2155" i="1" s="1"/>
  <c r="P2155" i="1" l="1"/>
  <c r="R2155" i="1" l="1"/>
  <c r="Q2156" i="1" s="1"/>
  <c r="P2156" i="1" l="1"/>
  <c r="R2156" i="1" l="1"/>
  <c r="Q2157" i="1" s="1"/>
  <c r="P2157" i="1" l="1"/>
  <c r="R2157" i="1" l="1"/>
  <c r="Q2158" i="1" s="1"/>
  <c r="P2158" i="1" l="1"/>
  <c r="R2158" i="1" l="1"/>
  <c r="Q2159" i="1" s="1"/>
  <c r="P2159" i="1" l="1"/>
  <c r="R2159" i="1" l="1"/>
  <c r="Q2160" i="1" s="1"/>
  <c r="P2160" i="1" l="1"/>
  <c r="R2160" i="1" l="1"/>
  <c r="Q2161" i="1" s="1"/>
  <c r="P2161" i="1" l="1"/>
  <c r="R2161" i="1" l="1"/>
  <c r="Q2162" i="1" s="1"/>
  <c r="P2162" i="1" l="1"/>
  <c r="R2162" i="1" l="1"/>
  <c r="Q2163" i="1" s="1"/>
  <c r="P2163" i="1" l="1"/>
  <c r="R2163" i="1" l="1"/>
  <c r="Q2164" i="1" s="1"/>
  <c r="P2164" i="1" l="1"/>
  <c r="R2164" i="1" l="1"/>
  <c r="Q2165" i="1" s="1"/>
  <c r="P2165" i="1" l="1"/>
  <c r="R2165" i="1" l="1"/>
  <c r="Q2166" i="1" s="1"/>
  <c r="P2166" i="1" l="1"/>
  <c r="R2166" i="1" l="1"/>
  <c r="Q2167" i="1" s="1"/>
  <c r="P2167" i="1" l="1"/>
  <c r="R2167" i="1" l="1"/>
  <c r="Q2168" i="1" s="1"/>
  <c r="P2168" i="1" l="1"/>
  <c r="R2168" i="1" l="1"/>
  <c r="Q2169" i="1" s="1"/>
  <c r="P2169" i="1" l="1"/>
  <c r="R2169" i="1" l="1"/>
  <c r="Q2170" i="1" s="1"/>
  <c r="P2170" i="1" l="1"/>
  <c r="R2170" i="1" l="1"/>
  <c r="Q2171" i="1" s="1"/>
  <c r="P2171" i="1" l="1"/>
  <c r="R2171" i="1" l="1"/>
  <c r="Q2172" i="1" s="1"/>
  <c r="P2172" i="1" l="1"/>
  <c r="R2172" i="1" l="1"/>
  <c r="Q2173" i="1" s="1"/>
  <c r="P2173" i="1" l="1"/>
  <c r="R2173" i="1" l="1"/>
  <c r="Q2174" i="1" s="1"/>
  <c r="P2174" i="1" l="1"/>
  <c r="R2174" i="1" l="1"/>
  <c r="Q2175" i="1" s="1"/>
  <c r="P2175" i="1" l="1"/>
  <c r="R2175" i="1" l="1"/>
  <c r="Q2176" i="1" s="1"/>
  <c r="P2176" i="1" l="1"/>
  <c r="R2176" i="1" l="1"/>
  <c r="Q2177" i="1" s="1"/>
  <c r="P2177" i="1" l="1"/>
  <c r="R2177" i="1" l="1"/>
  <c r="Q2178" i="1" s="1"/>
  <c r="P2178" i="1" l="1"/>
  <c r="R2178" i="1" l="1"/>
  <c r="Q2179" i="1" s="1"/>
  <c r="P2179" i="1" l="1"/>
  <c r="R2179" i="1" l="1"/>
  <c r="Q2180" i="1" s="1"/>
  <c r="P2180" i="1" l="1"/>
  <c r="R2180" i="1" l="1"/>
  <c r="Q2181" i="1" s="1"/>
  <c r="P2181" i="1" l="1"/>
  <c r="R2181" i="1" l="1"/>
  <c r="Q2182" i="1" s="1"/>
  <c r="P2182" i="1" l="1"/>
  <c r="R2182" i="1" l="1"/>
  <c r="Q2183" i="1" s="1"/>
  <c r="P2183" i="1" l="1"/>
  <c r="R2183" i="1" l="1"/>
  <c r="Q2184" i="1" s="1"/>
  <c r="P2184" i="1" l="1"/>
  <c r="R2184" i="1" l="1"/>
  <c r="Q2185" i="1" s="1"/>
  <c r="P2185" i="1" l="1"/>
  <c r="R2185" i="1" l="1"/>
  <c r="Q2186" i="1" s="1"/>
  <c r="P2186" i="1" l="1"/>
  <c r="R2186" i="1" l="1"/>
  <c r="Q2187" i="1" s="1"/>
  <c r="P2187" i="1" l="1"/>
  <c r="R2187" i="1" l="1"/>
  <c r="Q2188" i="1" s="1"/>
  <c r="P2188" i="1" l="1"/>
  <c r="R2188" i="1" l="1"/>
  <c r="Q2189" i="1" s="1"/>
  <c r="P2189" i="1" l="1"/>
  <c r="R2189" i="1" l="1"/>
  <c r="Q2190" i="1" s="1"/>
  <c r="P2190" i="1" l="1"/>
  <c r="R2190" i="1" l="1"/>
  <c r="Q2191" i="1" s="1"/>
  <c r="P2191" i="1" l="1"/>
  <c r="R2191" i="1" l="1"/>
  <c r="Q2192" i="1" s="1"/>
  <c r="P2192" i="1" l="1"/>
  <c r="R2192" i="1" l="1"/>
  <c r="Q2193" i="1" s="1"/>
  <c r="P2193" i="1" l="1"/>
  <c r="R2193" i="1" l="1"/>
  <c r="Q2194" i="1" s="1"/>
  <c r="P2194" i="1" l="1"/>
  <c r="R2194" i="1" l="1"/>
  <c r="Q2195" i="1" s="1"/>
  <c r="P2195" i="1" l="1"/>
  <c r="R2195" i="1" l="1"/>
  <c r="Q2196" i="1" s="1"/>
  <c r="P2196" i="1" l="1"/>
  <c r="R2196" i="1" l="1"/>
  <c r="Q2197" i="1" s="1"/>
  <c r="P2197" i="1" l="1"/>
  <c r="R2197" i="1" l="1"/>
  <c r="Q2198" i="1" s="1"/>
  <c r="P2198" i="1" l="1"/>
  <c r="R2198" i="1" l="1"/>
  <c r="Q2199" i="1" s="1"/>
  <c r="P2199" i="1" l="1"/>
  <c r="R2199" i="1" l="1"/>
  <c r="Q2200" i="1" s="1"/>
  <c r="P2200" i="1" l="1"/>
  <c r="R2200" i="1" l="1"/>
  <c r="Q2201" i="1" s="1"/>
  <c r="P2201" i="1" l="1"/>
  <c r="R2201" i="1" l="1"/>
  <c r="Q2202" i="1" s="1"/>
  <c r="P2202" i="1" l="1"/>
  <c r="R2202" i="1" l="1"/>
  <c r="Q2203" i="1" s="1"/>
  <c r="P2203" i="1" l="1"/>
  <c r="R2203" i="1" l="1"/>
  <c r="Q2204" i="1" s="1"/>
  <c r="P2204" i="1" l="1"/>
  <c r="R2204" i="1" l="1"/>
  <c r="Q2205" i="1" s="1"/>
  <c r="P2205" i="1" l="1"/>
  <c r="R2205" i="1" l="1"/>
  <c r="Q2206" i="1" s="1"/>
  <c r="P2206" i="1" l="1"/>
  <c r="R2206" i="1" l="1"/>
  <c r="Q2207" i="1" s="1"/>
  <c r="P2207" i="1" l="1"/>
  <c r="R2207" i="1" l="1"/>
  <c r="Q2208" i="1" s="1"/>
  <c r="P2208" i="1" l="1"/>
  <c r="R2208" i="1" l="1"/>
  <c r="Q2209" i="1" s="1"/>
  <c r="P2209" i="1" l="1"/>
  <c r="R2209" i="1" l="1"/>
  <c r="Q2210" i="1" s="1"/>
  <c r="P2210" i="1" l="1"/>
  <c r="R2210" i="1" l="1"/>
  <c r="Q2211" i="1" s="1"/>
  <c r="P2211" i="1" l="1"/>
  <c r="R2211" i="1" l="1"/>
  <c r="Q2212" i="1" s="1"/>
  <c r="P2212" i="1" l="1"/>
  <c r="R2212" i="1" l="1"/>
  <c r="Q2213" i="1" s="1"/>
  <c r="P2213" i="1" l="1"/>
  <c r="R2213" i="1" l="1"/>
  <c r="Q2214" i="1" s="1"/>
  <c r="P2214" i="1" l="1"/>
  <c r="R2214" i="1" l="1"/>
  <c r="Q2215" i="1" s="1"/>
  <c r="P2215" i="1" l="1"/>
  <c r="R2215" i="1" l="1"/>
  <c r="Q2216" i="1" s="1"/>
  <c r="P2216" i="1" l="1"/>
  <c r="R2216" i="1" l="1"/>
  <c r="Q2217" i="1" s="1"/>
  <c r="P2217" i="1" l="1"/>
  <c r="R2217" i="1" l="1"/>
  <c r="Q2218" i="1" s="1"/>
  <c r="P2218" i="1" l="1"/>
  <c r="R2218" i="1" l="1"/>
  <c r="Q2219" i="1" s="1"/>
  <c r="P2219" i="1" l="1"/>
  <c r="R2219" i="1" l="1"/>
  <c r="Q2220" i="1" s="1"/>
  <c r="P2220" i="1" l="1"/>
  <c r="R2220" i="1" l="1"/>
  <c r="Q2221" i="1" s="1"/>
  <c r="P2221" i="1" l="1"/>
  <c r="R2221" i="1" l="1"/>
  <c r="Q2222" i="1" s="1"/>
  <c r="P2222" i="1" l="1"/>
  <c r="R2222" i="1" l="1"/>
  <c r="Q2223" i="1" s="1"/>
  <c r="P2223" i="1" l="1"/>
  <c r="R2223" i="1" l="1"/>
  <c r="Q2224" i="1" s="1"/>
  <c r="P2224" i="1" l="1"/>
  <c r="R2224" i="1" l="1"/>
  <c r="Q2225" i="1" s="1"/>
  <c r="P2225" i="1" l="1"/>
  <c r="R2225" i="1" l="1"/>
  <c r="Q2226" i="1" s="1"/>
  <c r="P2226" i="1" l="1"/>
  <c r="R2226" i="1" l="1"/>
  <c r="Q2227" i="1" s="1"/>
  <c r="P2227" i="1" l="1"/>
  <c r="R2227" i="1" l="1"/>
  <c r="Q2228" i="1" s="1"/>
  <c r="P2228" i="1" l="1"/>
  <c r="R2228" i="1" l="1"/>
  <c r="Q2229" i="1" s="1"/>
  <c r="P2229" i="1" l="1"/>
  <c r="R2229" i="1" l="1"/>
  <c r="Q2230" i="1" s="1"/>
  <c r="R2230" i="1" l="1"/>
  <c r="Q2231" i="1" s="1"/>
  <c r="P2231" i="1" l="1"/>
  <c r="P2230" i="1"/>
  <c r="R2231" i="1" l="1"/>
  <c r="Q2232" i="1" s="1"/>
  <c r="P2232" i="1" l="1"/>
  <c r="R2232" i="1" l="1"/>
  <c r="Q2233" i="1" s="1"/>
  <c r="P2233" i="1" l="1"/>
  <c r="R2233" i="1" l="1"/>
  <c r="Q2234" i="1" s="1"/>
  <c r="P2234" i="1" s="1"/>
  <c r="R2234" i="1" l="1"/>
  <c r="Q2235" i="1" s="1"/>
  <c r="P2235" i="1" l="1"/>
  <c r="R2235" i="1" l="1"/>
  <c r="Q2236" i="1" s="1"/>
  <c r="P2236" i="1" l="1"/>
  <c r="R2236" i="1" l="1"/>
  <c r="Q2237" i="1" s="1"/>
  <c r="P2237" i="1" l="1"/>
  <c r="R2237" i="1" l="1"/>
  <c r="Q2238" i="1" s="1"/>
  <c r="P2238" i="1" l="1"/>
  <c r="R2238" i="1" l="1"/>
  <c r="Q2239" i="1" s="1"/>
  <c r="P2239" i="1" l="1"/>
  <c r="R2239" i="1" l="1"/>
  <c r="Q2240" i="1" s="1"/>
  <c r="P2240" i="1" l="1"/>
  <c r="R2240" i="1" l="1"/>
  <c r="Q2241" i="1" s="1"/>
  <c r="P2241" i="1" l="1"/>
  <c r="R2241" i="1" l="1"/>
  <c r="Q2242" i="1" s="1"/>
  <c r="P2242" i="1" l="1"/>
  <c r="R2242" i="1" l="1"/>
  <c r="Q2243" i="1" s="1"/>
  <c r="P2243" i="1" l="1"/>
  <c r="R2243" i="1" l="1"/>
  <c r="Q2244" i="1" s="1"/>
  <c r="P2244" i="1" l="1"/>
  <c r="R2244" i="1" l="1"/>
  <c r="Q2245" i="1" s="1"/>
  <c r="P2245" i="1" l="1"/>
  <c r="R2245" i="1" l="1"/>
  <c r="Q2246" i="1" s="1"/>
  <c r="P2246" i="1" l="1"/>
  <c r="R2246" i="1" l="1"/>
  <c r="Q2247" i="1" s="1"/>
  <c r="P2247" i="1" l="1"/>
  <c r="R2247" i="1" l="1"/>
  <c r="Q2248" i="1" s="1"/>
  <c r="P2248" i="1" l="1"/>
  <c r="R2248" i="1" l="1"/>
  <c r="Q2249" i="1" s="1"/>
  <c r="P2249" i="1" l="1"/>
  <c r="R2249" i="1" l="1"/>
  <c r="Q2250" i="1" s="1"/>
  <c r="P2250" i="1" l="1"/>
  <c r="R2250" i="1" l="1"/>
  <c r="Q2251" i="1" s="1"/>
  <c r="P2251" i="1" l="1"/>
  <c r="R2251" i="1" l="1"/>
  <c r="Q2252" i="1" s="1"/>
  <c r="P2252" i="1" l="1"/>
  <c r="R2252" i="1" l="1"/>
  <c r="Q2253" i="1" s="1"/>
  <c r="P2253" i="1" l="1"/>
  <c r="R2253" i="1" l="1"/>
  <c r="Q2254" i="1" s="1"/>
  <c r="P2254" i="1" l="1"/>
  <c r="R2254" i="1" l="1"/>
  <c r="Q2255" i="1" s="1"/>
  <c r="P2255" i="1" l="1"/>
  <c r="R2255" i="1" l="1"/>
  <c r="Q2256" i="1" s="1"/>
  <c r="P2256" i="1" l="1"/>
  <c r="R2256" i="1" l="1"/>
  <c r="Q2257" i="1" s="1"/>
  <c r="P2257" i="1" l="1"/>
  <c r="R2257" i="1" l="1"/>
  <c r="Q2258" i="1" s="1"/>
  <c r="P2258" i="1" l="1"/>
  <c r="R2258" i="1" l="1"/>
  <c r="Q2259" i="1" s="1"/>
  <c r="P2259" i="1" l="1"/>
  <c r="R2259" i="1" l="1"/>
  <c r="Q2260" i="1" s="1"/>
  <c r="P2260" i="1" l="1"/>
  <c r="R2260" i="1" l="1"/>
  <c r="Q2261" i="1" s="1"/>
  <c r="P2261" i="1" l="1"/>
  <c r="R2261" i="1" l="1"/>
  <c r="Q2262" i="1" s="1"/>
  <c r="P2262" i="1" l="1"/>
  <c r="R2262" i="1" l="1"/>
  <c r="Q2263" i="1" s="1"/>
  <c r="P2263" i="1" l="1"/>
  <c r="R2263" i="1" l="1"/>
  <c r="Q2264" i="1" s="1"/>
  <c r="P2264" i="1" l="1"/>
  <c r="R2264" i="1" l="1"/>
  <c r="Q2265" i="1" s="1"/>
  <c r="P2265" i="1" l="1"/>
  <c r="R2265" i="1" l="1"/>
  <c r="Q2266" i="1" s="1"/>
  <c r="P2266" i="1" l="1"/>
  <c r="R2266" i="1" l="1"/>
  <c r="Q2267" i="1" s="1"/>
  <c r="P2267" i="1" l="1"/>
  <c r="R2267" i="1" l="1"/>
  <c r="Q2268" i="1" s="1"/>
  <c r="P2268" i="1" l="1"/>
  <c r="R2268" i="1" l="1"/>
  <c r="Q2269" i="1" s="1"/>
  <c r="P2269" i="1" l="1"/>
  <c r="R2269" i="1" l="1"/>
  <c r="Q2270" i="1" s="1"/>
  <c r="P2270" i="1" l="1"/>
  <c r="R2270" i="1" l="1"/>
  <c r="Q2271" i="1" s="1"/>
  <c r="P2271" i="1" l="1"/>
  <c r="R2271" i="1" l="1"/>
  <c r="Q2272" i="1" s="1"/>
  <c r="P2272" i="1" l="1"/>
  <c r="R2272" i="1" l="1"/>
  <c r="Q2273" i="1" s="1"/>
  <c r="P2273" i="1" l="1"/>
  <c r="R2273" i="1" l="1"/>
  <c r="Q2274" i="1" s="1"/>
  <c r="P2274" i="1" l="1"/>
  <c r="R2274" i="1" l="1"/>
  <c r="Q2275" i="1" s="1"/>
  <c r="P2275" i="1" l="1"/>
  <c r="R2275" i="1" l="1"/>
  <c r="Q2276" i="1" s="1"/>
  <c r="P2276" i="1" l="1"/>
  <c r="R2276" i="1" l="1"/>
  <c r="Q2277" i="1" s="1"/>
  <c r="P2277" i="1" l="1"/>
  <c r="R2277" i="1" l="1"/>
  <c r="Q2278" i="1" s="1"/>
  <c r="P2278" i="1" l="1"/>
  <c r="R2278" i="1" l="1"/>
  <c r="Q2279" i="1" s="1"/>
  <c r="P2279" i="1" l="1"/>
  <c r="R2279" i="1" l="1"/>
  <c r="Q2280" i="1" s="1"/>
  <c r="P2280" i="1" l="1"/>
  <c r="R2280" i="1" l="1"/>
  <c r="Q2281" i="1" s="1"/>
  <c r="P2281" i="1" l="1"/>
  <c r="R2281" i="1" l="1"/>
  <c r="Q2282" i="1" s="1"/>
  <c r="P2282" i="1" l="1"/>
  <c r="R2282" i="1" l="1"/>
  <c r="Q2283" i="1" s="1"/>
  <c r="P2283" i="1" l="1"/>
  <c r="R2283" i="1" l="1"/>
  <c r="Q2284" i="1" s="1"/>
  <c r="P2284" i="1" l="1"/>
  <c r="R2284" i="1" l="1"/>
  <c r="Q2285" i="1" s="1"/>
  <c r="P2285" i="1" l="1"/>
  <c r="R2285" i="1" l="1"/>
  <c r="Q2286" i="1" s="1"/>
  <c r="P2286" i="1" l="1"/>
  <c r="R2286" i="1" l="1"/>
  <c r="Q2287" i="1" s="1"/>
  <c r="P2287" i="1" l="1"/>
  <c r="R2287" i="1" l="1"/>
  <c r="Q2288" i="1" s="1"/>
  <c r="P2288" i="1" l="1"/>
  <c r="R2288" i="1" l="1"/>
  <c r="Q2289" i="1" s="1"/>
  <c r="P2289" i="1" l="1"/>
  <c r="R2289" i="1" l="1"/>
  <c r="Q2290" i="1" s="1"/>
  <c r="P2290" i="1" l="1"/>
  <c r="R2290" i="1" l="1"/>
  <c r="Q2291" i="1" s="1"/>
  <c r="P2291" i="1" l="1"/>
  <c r="R2291" i="1" l="1"/>
  <c r="Q2292" i="1" s="1"/>
  <c r="P2292" i="1" l="1"/>
  <c r="R2292" i="1" l="1"/>
  <c r="Q2293" i="1" s="1"/>
  <c r="P2293" i="1" l="1"/>
  <c r="R2293" i="1" l="1"/>
  <c r="Q2294" i="1" s="1"/>
  <c r="P2294" i="1" l="1"/>
  <c r="R2294" i="1" l="1"/>
  <c r="Q2295" i="1" s="1"/>
  <c r="P2295" i="1" l="1"/>
  <c r="I4" i="1"/>
  <c r="J4" i="1" s="1"/>
  <c r="R2295" i="1" l="1"/>
  <c r="Q2296" i="1" s="1"/>
  <c r="L4" i="1"/>
  <c r="K5" i="1" s="1"/>
  <c r="J5" i="1" s="1"/>
  <c r="P2296" i="1" l="1"/>
  <c r="L5" i="1"/>
  <c r="R2296" i="1" l="1"/>
  <c r="Q2297" i="1" s="1"/>
  <c r="K6" i="1"/>
  <c r="J6" i="1" s="1"/>
  <c r="P2297" i="1" l="1"/>
  <c r="L6" i="1"/>
  <c r="K7" i="1" s="1"/>
  <c r="J7" i="1" s="1"/>
  <c r="R2297" i="1" l="1"/>
  <c r="Q2298" i="1" s="1"/>
  <c r="L7" i="1"/>
  <c r="K8" i="1" s="1"/>
  <c r="J8" i="1" s="1"/>
  <c r="P2298" i="1" l="1"/>
  <c r="L8" i="1"/>
  <c r="K9" i="1" s="1"/>
  <c r="J9" i="1" s="1"/>
  <c r="R2298" i="1" l="1"/>
  <c r="Q2299" i="1" s="1"/>
  <c r="L9" i="1"/>
  <c r="P2299" i="1" l="1"/>
  <c r="K10" i="1"/>
  <c r="J10" i="1" s="1"/>
  <c r="R2299" i="1" l="1"/>
  <c r="Q2300" i="1" s="1"/>
  <c r="L10" i="1"/>
  <c r="P2300" i="1" l="1"/>
  <c r="K11" i="1"/>
  <c r="J11" i="1" s="1"/>
  <c r="R2300" i="1" l="1"/>
  <c r="Q2301" i="1" s="1"/>
  <c r="L11" i="1"/>
  <c r="P2301" i="1" l="1"/>
  <c r="K12" i="1"/>
  <c r="J12" i="1" s="1"/>
  <c r="R2301" i="1" l="1"/>
  <c r="Q2302" i="1" s="1"/>
  <c r="L12" i="1"/>
  <c r="P2302" i="1" l="1"/>
  <c r="K13" i="1"/>
  <c r="J13" i="1" s="1"/>
  <c r="R2302" i="1" l="1"/>
  <c r="Q2303" i="1" s="1"/>
  <c r="L13" i="1"/>
  <c r="P2303" i="1" l="1"/>
  <c r="K14" i="1"/>
  <c r="J14" i="1" s="1"/>
  <c r="R2303" i="1" l="1"/>
  <c r="Q2304" i="1" s="1"/>
  <c r="L14" i="1"/>
  <c r="K15" i="1" s="1"/>
  <c r="J15" i="1" s="1"/>
  <c r="P2304" i="1" l="1"/>
  <c r="L15" i="1"/>
  <c r="R2304" i="1" l="1"/>
  <c r="Q2305" i="1" s="1"/>
  <c r="K16" i="1"/>
  <c r="J16" i="1" s="1"/>
  <c r="P2305" i="1" l="1"/>
  <c r="L16" i="1"/>
  <c r="R2305" i="1" l="1"/>
  <c r="Q2306" i="1" s="1"/>
  <c r="K17" i="1"/>
  <c r="J17" i="1" s="1"/>
  <c r="P2306" i="1" l="1"/>
  <c r="L17" i="1"/>
  <c r="K18" i="1" s="1"/>
  <c r="J18" i="1" s="1"/>
  <c r="R2306" i="1" l="1"/>
  <c r="Q2307" i="1" s="1"/>
  <c r="L18" i="1"/>
  <c r="K19" i="1" s="1"/>
  <c r="J19" i="1" s="1"/>
  <c r="P2307" i="1" l="1"/>
  <c r="L19" i="1"/>
  <c r="R2307" i="1" l="1"/>
  <c r="Q2308" i="1" s="1"/>
  <c r="K20" i="1"/>
  <c r="J20" i="1" s="1"/>
  <c r="P2308" i="1" l="1"/>
  <c r="L20" i="1"/>
  <c r="K21" i="1" s="1"/>
  <c r="J21" i="1" s="1"/>
  <c r="R2308" i="1" l="1"/>
  <c r="Q2309" i="1" s="1"/>
  <c r="L21" i="1"/>
  <c r="P2309" i="1" l="1"/>
  <c r="K22" i="1"/>
  <c r="J22" i="1" s="1"/>
  <c r="R2309" i="1" l="1"/>
  <c r="Q2310" i="1" s="1"/>
  <c r="L22" i="1"/>
  <c r="K23" i="1" s="1"/>
  <c r="J23" i="1" s="1"/>
  <c r="P2310" i="1" l="1"/>
  <c r="L23" i="1"/>
  <c r="K24" i="1" s="1"/>
  <c r="J24" i="1" s="1"/>
  <c r="R2310" i="1" l="1"/>
  <c r="Q2311" i="1" s="1"/>
  <c r="L24" i="1"/>
  <c r="P2311" i="1" l="1"/>
  <c r="K25" i="1"/>
  <c r="J25" i="1" s="1"/>
  <c r="R2311" i="1" l="1"/>
  <c r="Q2312" i="1" s="1"/>
  <c r="L25" i="1"/>
  <c r="P2312" i="1" l="1"/>
  <c r="K26" i="1"/>
  <c r="J26" i="1" s="1"/>
  <c r="R2312" i="1" l="1"/>
  <c r="Q2313" i="1" s="1"/>
  <c r="L26" i="1"/>
  <c r="K27" i="1" s="1"/>
  <c r="J27" i="1" s="1"/>
  <c r="P2313" i="1" l="1"/>
  <c r="L27" i="1"/>
  <c r="R2313" i="1" l="1"/>
  <c r="Q2314" i="1" s="1"/>
  <c r="K28" i="1"/>
  <c r="J28" i="1" s="1"/>
  <c r="P2314" i="1" l="1"/>
  <c r="L28" i="1"/>
  <c r="R2314" i="1" l="1"/>
  <c r="Q2315" i="1" s="1"/>
  <c r="K29" i="1"/>
  <c r="J29" i="1" s="1"/>
  <c r="P2315" i="1" l="1"/>
  <c r="L29" i="1"/>
  <c r="R2315" i="1" l="1"/>
  <c r="Q2316" i="1" s="1"/>
  <c r="K30" i="1"/>
  <c r="J30" i="1" s="1"/>
  <c r="P2316" i="1" l="1"/>
  <c r="L30" i="1"/>
  <c r="R2316" i="1" l="1"/>
  <c r="Q2317" i="1" s="1"/>
  <c r="K31" i="1"/>
  <c r="J31" i="1" s="1"/>
  <c r="P2317" i="1" l="1"/>
  <c r="L31" i="1"/>
  <c r="R2317" i="1" l="1"/>
  <c r="Q2318" i="1" s="1"/>
  <c r="K32" i="1"/>
  <c r="J32" i="1" s="1"/>
  <c r="P2318" i="1" l="1"/>
  <c r="L32" i="1"/>
  <c r="R2318" i="1" l="1"/>
  <c r="Q2319" i="1" s="1"/>
  <c r="K33" i="1"/>
  <c r="J33" i="1" s="1"/>
  <c r="P2319" i="1" l="1"/>
  <c r="L33" i="1"/>
  <c r="R2319" i="1" l="1"/>
  <c r="Q2320" i="1" s="1"/>
  <c r="K34" i="1"/>
  <c r="J34" i="1" s="1"/>
  <c r="P2320" i="1" l="1"/>
  <c r="L34" i="1"/>
  <c r="K35" i="1" s="1"/>
  <c r="J35" i="1" s="1"/>
  <c r="R2320" i="1" l="1"/>
  <c r="Q2321" i="1" s="1"/>
  <c r="L35" i="1"/>
  <c r="P2321" i="1" l="1"/>
  <c r="K36" i="1"/>
  <c r="J36" i="1" s="1"/>
  <c r="R2321" i="1" l="1"/>
  <c r="Q2322" i="1" s="1"/>
  <c r="L36" i="1"/>
  <c r="K37" i="1" s="1"/>
  <c r="J37" i="1" s="1"/>
  <c r="P2322" i="1" l="1"/>
  <c r="L37" i="1"/>
  <c r="R2322" i="1" l="1"/>
  <c r="Q2323" i="1" s="1"/>
  <c r="K38" i="1"/>
  <c r="J38" i="1" s="1"/>
  <c r="P2323" i="1" l="1"/>
  <c r="L38" i="1"/>
  <c r="K39" i="1" s="1"/>
  <c r="J39" i="1" s="1"/>
  <c r="R2323" i="1" l="1"/>
  <c r="Q2324" i="1" s="1"/>
  <c r="L39" i="1"/>
  <c r="K40" i="1" s="1"/>
  <c r="J40" i="1" s="1"/>
  <c r="P2324" i="1" l="1"/>
  <c r="L40" i="1"/>
  <c r="R2324" i="1" l="1"/>
  <c r="Q2325" i="1" s="1"/>
  <c r="K41" i="1"/>
  <c r="J41" i="1" s="1"/>
  <c r="P2325" i="1" l="1"/>
  <c r="L41" i="1"/>
  <c r="K42" i="1" s="1"/>
  <c r="J42" i="1" s="1"/>
  <c r="R2325" i="1" l="1"/>
  <c r="Q2326" i="1" s="1"/>
  <c r="L42" i="1"/>
  <c r="K43" i="1" s="1"/>
  <c r="J43" i="1" s="1"/>
  <c r="P2326" i="1" l="1"/>
  <c r="L43" i="1"/>
  <c r="R2326" i="1" l="1"/>
  <c r="Q2327" i="1" s="1"/>
  <c r="K44" i="1"/>
  <c r="J44" i="1" s="1"/>
  <c r="P2327" i="1" l="1"/>
  <c r="L44" i="1"/>
  <c r="R2327" i="1" l="1"/>
  <c r="Q2328" i="1" s="1"/>
  <c r="K45" i="1"/>
  <c r="J45" i="1" s="1"/>
  <c r="P2328" i="1" l="1"/>
  <c r="L45" i="1"/>
  <c r="K46" i="1" s="1"/>
  <c r="J46" i="1" s="1"/>
  <c r="R2328" i="1" l="1"/>
  <c r="Q2329" i="1" s="1"/>
  <c r="L46" i="1"/>
  <c r="K47" i="1" s="1"/>
  <c r="J47" i="1" s="1"/>
  <c r="P2329" i="1" l="1"/>
  <c r="L47" i="1"/>
  <c r="R2329" i="1" l="1"/>
  <c r="Q2330" i="1" s="1"/>
  <c r="K48" i="1"/>
  <c r="J48" i="1" s="1"/>
  <c r="P2330" i="1" l="1"/>
  <c r="L48" i="1"/>
  <c r="R2330" i="1" l="1"/>
  <c r="Q2331" i="1" s="1"/>
  <c r="K49" i="1"/>
  <c r="J49" i="1" s="1"/>
  <c r="P2331" i="1" l="1"/>
  <c r="L49" i="1"/>
  <c r="K50" i="1" s="1"/>
  <c r="J50" i="1" s="1"/>
  <c r="R2331" i="1" l="1"/>
  <c r="Q2332" i="1" s="1"/>
  <c r="L50" i="1"/>
  <c r="K51" i="1" s="1"/>
  <c r="J51" i="1" s="1"/>
  <c r="P2332" i="1" l="1"/>
  <c r="L51" i="1"/>
  <c r="R2332" i="1" l="1"/>
  <c r="Q2333" i="1" s="1"/>
  <c r="K52" i="1"/>
  <c r="J52" i="1" s="1"/>
  <c r="P2333" i="1" l="1"/>
  <c r="L52" i="1"/>
  <c r="K53" i="1" s="1"/>
  <c r="J53" i="1" s="1"/>
  <c r="R2333" i="1" l="1"/>
  <c r="Q2334" i="1" s="1"/>
  <c r="L53" i="1"/>
  <c r="P2334" i="1" l="1"/>
  <c r="K54" i="1"/>
  <c r="J54" i="1" s="1"/>
  <c r="R2334" i="1" l="1"/>
  <c r="Q2335" i="1" s="1"/>
  <c r="L54" i="1"/>
  <c r="K55" i="1" s="1"/>
  <c r="J55" i="1" s="1"/>
  <c r="P2335" i="1" l="1"/>
  <c r="L55" i="1"/>
  <c r="K56" i="1" s="1"/>
  <c r="J56" i="1" s="1"/>
  <c r="R2335" i="1" l="1"/>
  <c r="Q2336" i="1" s="1"/>
  <c r="L56" i="1"/>
  <c r="K57" i="1" s="1"/>
  <c r="J57" i="1" s="1"/>
  <c r="P2336" i="1" l="1"/>
  <c r="L57" i="1"/>
  <c r="K58" i="1" s="1"/>
  <c r="J58" i="1" s="1"/>
  <c r="R2336" i="1" l="1"/>
  <c r="Q2337" i="1" s="1"/>
  <c r="L58" i="1"/>
  <c r="K59" i="1" s="1"/>
  <c r="J59" i="1" s="1"/>
  <c r="P2337" i="1" l="1"/>
  <c r="L59" i="1"/>
  <c r="R2337" i="1" l="1"/>
  <c r="Q2338" i="1" s="1"/>
  <c r="K60" i="1"/>
  <c r="J60" i="1" s="1"/>
  <c r="P2338" i="1" l="1"/>
  <c r="L60" i="1"/>
  <c r="R2338" i="1" l="1"/>
  <c r="Q2339" i="1" s="1"/>
  <c r="K61" i="1"/>
  <c r="J61" i="1" s="1"/>
  <c r="P2339" i="1" l="1"/>
  <c r="L61" i="1"/>
  <c r="K62" i="1" s="1"/>
  <c r="J62" i="1" s="1"/>
  <c r="R2339" i="1" l="1"/>
  <c r="Q2340" i="1" s="1"/>
  <c r="L62" i="1"/>
  <c r="K63" i="1" s="1"/>
  <c r="J63" i="1" s="1"/>
  <c r="P2340" i="1" l="1"/>
  <c r="L63" i="1"/>
  <c r="R2340" i="1" l="1"/>
  <c r="Q2341" i="1" s="1"/>
  <c r="K64" i="1"/>
  <c r="J64" i="1" s="1"/>
  <c r="P2341" i="1" l="1"/>
  <c r="L64" i="1"/>
  <c r="R2341" i="1" l="1"/>
  <c r="Q2342" i="1" s="1"/>
  <c r="K65" i="1"/>
  <c r="J65" i="1" s="1"/>
  <c r="P2342" i="1" l="1"/>
  <c r="L65" i="1"/>
  <c r="K66" i="1" s="1"/>
  <c r="J66" i="1" s="1"/>
  <c r="R2342" i="1" l="1"/>
  <c r="Q2343" i="1" s="1"/>
  <c r="L66" i="1"/>
  <c r="P2343" i="1" l="1"/>
  <c r="K67" i="1"/>
  <c r="J67" i="1" s="1"/>
  <c r="R2343" i="1" l="1"/>
  <c r="Q2344" i="1" s="1"/>
  <c r="L67" i="1"/>
  <c r="K68" i="1" s="1"/>
  <c r="P2344" i="1" l="1"/>
  <c r="J68" i="1"/>
  <c r="L68" i="1"/>
  <c r="R2344" i="1" l="1"/>
  <c r="Q2345" i="1" s="1"/>
  <c r="K69" i="1"/>
  <c r="J69" i="1" s="1"/>
  <c r="P2345" i="1" l="1"/>
  <c r="L69" i="1"/>
  <c r="K70" i="1" s="1"/>
  <c r="J70" i="1" s="1"/>
  <c r="R2345" i="1" l="1"/>
  <c r="Q2346" i="1" s="1"/>
  <c r="L70" i="1"/>
  <c r="P2346" i="1" l="1"/>
  <c r="K71" i="1"/>
  <c r="J71" i="1" s="1"/>
  <c r="R2346" i="1" l="1"/>
  <c r="Q2347" i="1" s="1"/>
  <c r="L71" i="1"/>
  <c r="P2347" i="1" l="1"/>
  <c r="K72" i="1"/>
  <c r="J72" i="1" s="1"/>
  <c r="R2347" i="1" l="1"/>
  <c r="Q2348" i="1" s="1"/>
  <c r="L72" i="1"/>
  <c r="P2348" i="1" l="1"/>
  <c r="K73" i="1"/>
  <c r="J73" i="1" s="1"/>
  <c r="R2348" i="1" l="1"/>
  <c r="Q2349" i="1" s="1"/>
  <c r="L73" i="1"/>
  <c r="P2349" i="1" l="1"/>
  <c r="K74" i="1"/>
  <c r="J74" i="1" s="1"/>
  <c r="R2349" i="1" l="1"/>
  <c r="Q2350" i="1" s="1"/>
  <c r="L74" i="1"/>
  <c r="P2350" i="1" l="1"/>
  <c r="K75" i="1"/>
  <c r="J75" i="1" s="1"/>
  <c r="R2350" i="1" l="1"/>
  <c r="Q2351" i="1" s="1"/>
  <c r="L75" i="1"/>
  <c r="P2351" i="1" l="1"/>
  <c r="K76" i="1"/>
  <c r="J76" i="1" s="1"/>
  <c r="R2351" i="1" l="1"/>
  <c r="Q2352" i="1" s="1"/>
  <c r="L76" i="1"/>
  <c r="P2352" i="1" l="1"/>
  <c r="K77" i="1"/>
  <c r="J77" i="1" s="1"/>
  <c r="R2352" i="1" l="1"/>
  <c r="Q2353" i="1" s="1"/>
  <c r="L77" i="1"/>
  <c r="P2353" i="1" l="1"/>
  <c r="K78" i="1"/>
  <c r="J78" i="1" s="1"/>
  <c r="R2353" i="1" l="1"/>
  <c r="Q2354" i="1" s="1"/>
  <c r="L78" i="1"/>
  <c r="P2354" i="1" l="1"/>
  <c r="K79" i="1"/>
  <c r="J79" i="1" s="1"/>
  <c r="R2354" i="1" l="1"/>
  <c r="Q2355" i="1" s="1"/>
  <c r="L79" i="1"/>
  <c r="P2355" i="1" l="1"/>
  <c r="K80" i="1"/>
  <c r="J80" i="1" s="1"/>
  <c r="R2355" i="1" l="1"/>
  <c r="Q2356" i="1" s="1"/>
  <c r="L80" i="1"/>
  <c r="K81" i="1" s="1"/>
  <c r="J81" i="1" s="1"/>
  <c r="P2356" i="1" l="1"/>
  <c r="L81" i="1"/>
  <c r="R2356" i="1" l="1"/>
  <c r="Q2357" i="1" s="1"/>
  <c r="K82" i="1"/>
  <c r="J82" i="1" s="1"/>
  <c r="P2357" i="1" l="1"/>
  <c r="L82" i="1"/>
  <c r="K83" i="1" s="1"/>
  <c r="J83" i="1" s="1"/>
  <c r="R2357" i="1" l="1"/>
  <c r="Q2358" i="1" s="1"/>
  <c r="L83" i="1"/>
  <c r="P2358" i="1" l="1"/>
  <c r="R2358" i="1" l="1"/>
  <c r="Q2359" i="1" s="1"/>
  <c r="P2359" i="1" l="1"/>
  <c r="R2359" i="1" l="1"/>
  <c r="Q2360" i="1" s="1"/>
  <c r="P2360" i="1" l="1"/>
  <c r="R2360" i="1" l="1"/>
  <c r="Q2361" i="1" s="1"/>
  <c r="P2361" i="1" l="1"/>
  <c r="R2361" i="1" l="1"/>
  <c r="Q2362" i="1" s="1"/>
  <c r="P2362" i="1" l="1"/>
  <c r="R2362" i="1" l="1"/>
  <c r="Q2363" i="1" s="1"/>
  <c r="P2363" i="1" l="1"/>
  <c r="R2363" i="1" l="1"/>
  <c r="Q2364" i="1" s="1"/>
  <c r="P2364" i="1" l="1"/>
  <c r="R2364" i="1" l="1"/>
  <c r="Q2365" i="1" s="1"/>
  <c r="P2365" i="1" l="1"/>
  <c r="R2365" i="1" l="1"/>
  <c r="Q2366" i="1" s="1"/>
  <c r="P2366" i="1" l="1"/>
  <c r="R2366" i="1" l="1"/>
  <c r="Q2367" i="1" s="1"/>
  <c r="P2367" i="1" l="1"/>
  <c r="R2367" i="1" l="1"/>
  <c r="Q2368" i="1" s="1"/>
  <c r="P2368" i="1" l="1"/>
  <c r="R2368" i="1" l="1"/>
  <c r="Q2369" i="1" s="1"/>
  <c r="P2369" i="1" l="1"/>
  <c r="R2369" i="1" l="1"/>
  <c r="Q2370" i="1" s="1"/>
  <c r="P2370" i="1" l="1"/>
  <c r="R2370" i="1" l="1"/>
  <c r="Q2371" i="1" s="1"/>
  <c r="P2371" i="1" l="1"/>
  <c r="R2371" i="1" l="1"/>
  <c r="Q2372" i="1" s="1"/>
  <c r="P2372" i="1" l="1"/>
  <c r="R2372" i="1" l="1"/>
  <c r="Q2373" i="1" s="1"/>
  <c r="P2373" i="1" l="1"/>
  <c r="R2373" i="1" l="1"/>
  <c r="Q2374" i="1" s="1"/>
  <c r="P2374" i="1" l="1"/>
  <c r="R2374" i="1" l="1"/>
  <c r="Q2375" i="1" s="1"/>
  <c r="P2375" i="1" l="1"/>
  <c r="R2375" i="1" l="1"/>
  <c r="Q2376" i="1" s="1"/>
  <c r="P2376" i="1" l="1"/>
  <c r="R2376" i="1" l="1"/>
  <c r="Q2377" i="1" s="1"/>
  <c r="P2377" i="1" l="1"/>
  <c r="R2377" i="1" l="1"/>
  <c r="Q2378" i="1" s="1"/>
  <c r="P2378" i="1" l="1"/>
  <c r="R2378" i="1" l="1"/>
  <c r="Q2379" i="1" s="1"/>
  <c r="P2379" i="1" l="1"/>
  <c r="R2379" i="1" l="1"/>
  <c r="Q2380" i="1" s="1"/>
  <c r="P2380" i="1" l="1"/>
  <c r="R2380" i="1" l="1"/>
  <c r="Q2381" i="1" s="1"/>
  <c r="P2381" i="1" l="1"/>
  <c r="R2381" i="1" l="1"/>
  <c r="Q2382" i="1" s="1"/>
  <c r="P2382" i="1" l="1"/>
  <c r="R2382" i="1" l="1"/>
  <c r="Q2383" i="1" s="1"/>
  <c r="P2383" i="1" l="1"/>
  <c r="R2383" i="1" l="1"/>
  <c r="Q2384" i="1" s="1"/>
  <c r="P2384" i="1" l="1"/>
  <c r="R2384" i="1" l="1"/>
  <c r="Q2385" i="1" s="1"/>
  <c r="P2385" i="1" l="1"/>
  <c r="R2385" i="1" l="1"/>
  <c r="Q2386" i="1" s="1"/>
  <c r="P2386" i="1" l="1"/>
  <c r="R2386" i="1" l="1"/>
  <c r="Q2387" i="1" s="1"/>
  <c r="P2387" i="1" l="1"/>
  <c r="R2387" i="1" l="1"/>
  <c r="Q2388" i="1" s="1"/>
  <c r="P2388" i="1" l="1"/>
  <c r="R2388" i="1" l="1"/>
  <c r="Q2389" i="1" s="1"/>
  <c r="P2389" i="1" l="1"/>
  <c r="R2389" i="1" l="1"/>
  <c r="Q2390" i="1" s="1"/>
  <c r="P2390" i="1" l="1"/>
  <c r="R2390" i="1" l="1"/>
  <c r="Q2391" i="1" s="1"/>
  <c r="P2391" i="1" l="1"/>
  <c r="R2391" i="1" l="1"/>
  <c r="Q2392" i="1" s="1"/>
  <c r="P2392" i="1" l="1"/>
  <c r="R2392" i="1" l="1"/>
  <c r="Q2393" i="1" s="1"/>
  <c r="P2393" i="1" l="1"/>
  <c r="R2393" i="1" l="1"/>
  <c r="Q2394" i="1" s="1"/>
  <c r="P2394" i="1" l="1"/>
  <c r="R2394" i="1" l="1"/>
  <c r="Q2395" i="1" s="1"/>
  <c r="P2395" i="1" l="1"/>
  <c r="R2395" i="1" l="1"/>
  <c r="Q2396" i="1" s="1"/>
  <c r="P2396" i="1" l="1"/>
  <c r="R2396" i="1" l="1"/>
  <c r="Q2397" i="1" s="1"/>
  <c r="P2397" i="1" l="1"/>
  <c r="R2397" i="1" l="1"/>
  <c r="Q2398" i="1" s="1"/>
  <c r="P2398" i="1" l="1"/>
  <c r="R2398" i="1" l="1"/>
  <c r="Q2399" i="1" s="1"/>
  <c r="P2399" i="1" l="1"/>
  <c r="R2399" i="1" l="1"/>
  <c r="Q2400" i="1" s="1"/>
  <c r="P2400" i="1" l="1"/>
  <c r="R2400" i="1" l="1"/>
  <c r="Q2401" i="1" s="1"/>
  <c r="P2401" i="1" l="1"/>
  <c r="R2401" i="1" l="1"/>
  <c r="Q2402" i="1" s="1"/>
  <c r="P2402" i="1" l="1"/>
  <c r="R2402" i="1" l="1"/>
  <c r="Q2403" i="1" s="1"/>
  <c r="P2403" i="1" l="1"/>
  <c r="R2403" i="1" l="1"/>
  <c r="Q2404" i="1" s="1"/>
  <c r="P2404" i="1" l="1"/>
  <c r="R2404" i="1" l="1"/>
  <c r="Q2405" i="1" s="1"/>
  <c r="P2405" i="1" l="1"/>
  <c r="R2405" i="1" l="1"/>
  <c r="Q2406" i="1" s="1"/>
  <c r="P2406" i="1" l="1"/>
  <c r="R2406" i="1" l="1"/>
  <c r="Q2407" i="1" s="1"/>
  <c r="P2407" i="1" l="1"/>
  <c r="R2407" i="1" l="1"/>
  <c r="Q2408" i="1" s="1"/>
  <c r="P2408" i="1" l="1"/>
  <c r="R2408" i="1" l="1"/>
  <c r="Q2409" i="1" s="1"/>
  <c r="P2409" i="1" l="1"/>
  <c r="R2409" i="1" l="1"/>
  <c r="Q2410" i="1" s="1"/>
  <c r="P2410" i="1" l="1"/>
  <c r="R2410" i="1" l="1"/>
  <c r="Q2411" i="1" s="1"/>
  <c r="P2411" i="1" l="1"/>
  <c r="R2411" i="1" l="1"/>
  <c r="Q2412" i="1" s="1"/>
  <c r="P2412" i="1" l="1"/>
  <c r="R2412" i="1" l="1"/>
  <c r="Q2413" i="1" s="1"/>
  <c r="P2413" i="1" l="1"/>
  <c r="R2413" i="1" l="1"/>
  <c r="Q2414" i="1" s="1"/>
  <c r="P2414" i="1" l="1"/>
  <c r="R2414" i="1" l="1"/>
  <c r="Q2415" i="1" s="1"/>
  <c r="P2415" i="1" l="1"/>
  <c r="R2415" i="1" l="1"/>
  <c r="Q2416" i="1" s="1"/>
  <c r="P2416" i="1" l="1"/>
  <c r="R2416" i="1" l="1"/>
  <c r="Q2417" i="1" s="1"/>
  <c r="P2417" i="1" l="1"/>
  <c r="R2417" i="1" l="1"/>
  <c r="Q2418" i="1" s="1"/>
  <c r="P2418" i="1" l="1"/>
  <c r="R2418" i="1" l="1"/>
  <c r="Q2419" i="1" s="1"/>
  <c r="P2419" i="1" l="1"/>
  <c r="R2419" i="1" l="1"/>
  <c r="Q2420" i="1" s="1"/>
  <c r="P2420" i="1" l="1"/>
  <c r="R2420" i="1" l="1"/>
  <c r="Q2421" i="1" s="1"/>
  <c r="P2421" i="1" l="1"/>
  <c r="R2421" i="1" l="1"/>
  <c r="Q2422" i="1" s="1"/>
  <c r="P2422" i="1" l="1"/>
  <c r="R2422" i="1" l="1"/>
  <c r="Q2423" i="1" s="1"/>
  <c r="P2423" i="1" l="1"/>
  <c r="R2423" i="1" l="1"/>
  <c r="Q2424" i="1" s="1"/>
  <c r="P2424" i="1" l="1"/>
  <c r="R2424" i="1" l="1"/>
  <c r="Q2425" i="1" s="1"/>
  <c r="P2425" i="1" l="1"/>
  <c r="R2425" i="1" l="1"/>
  <c r="Q2426" i="1" s="1"/>
  <c r="P2426" i="1" l="1"/>
  <c r="R2426" i="1" l="1"/>
  <c r="Q2427" i="1" s="1"/>
  <c r="P2427" i="1" l="1"/>
  <c r="R2427" i="1" l="1"/>
  <c r="Q2428" i="1" s="1"/>
  <c r="P2428" i="1" l="1"/>
  <c r="R2428" i="1" l="1"/>
  <c r="Q2429" i="1" s="1"/>
  <c r="P2429" i="1" l="1"/>
  <c r="R2429" i="1" l="1"/>
  <c r="Q2430" i="1" s="1"/>
  <c r="P2430" i="1" l="1"/>
  <c r="R2430" i="1" l="1"/>
  <c r="Q2431" i="1" s="1"/>
  <c r="P2431" i="1" l="1"/>
  <c r="R2431" i="1" l="1"/>
  <c r="Q2432" i="1" s="1"/>
  <c r="P2432" i="1" l="1"/>
  <c r="R2432" i="1" l="1"/>
  <c r="Q2433" i="1" s="1"/>
  <c r="P2433" i="1" l="1"/>
  <c r="R2433" i="1" l="1"/>
  <c r="Q2434" i="1" s="1"/>
  <c r="P2434" i="1" l="1"/>
  <c r="R2434" i="1" l="1"/>
  <c r="Q2435" i="1" s="1"/>
  <c r="P2435" i="1" l="1"/>
  <c r="R2435" i="1" l="1"/>
  <c r="Q2436" i="1" s="1"/>
  <c r="P2436" i="1" l="1"/>
  <c r="R2436" i="1" l="1"/>
  <c r="Q2437" i="1" s="1"/>
  <c r="P2437" i="1" l="1"/>
  <c r="R2437" i="1" l="1"/>
  <c r="Q2438" i="1" s="1"/>
  <c r="P2438" i="1" l="1"/>
  <c r="R2438" i="1" l="1"/>
  <c r="Q2439" i="1" s="1"/>
  <c r="P2439" i="1" l="1"/>
  <c r="R2439" i="1" l="1"/>
  <c r="Q2440" i="1" s="1"/>
  <c r="P2440" i="1" l="1"/>
  <c r="R2440" i="1" l="1"/>
  <c r="Q2441" i="1" s="1"/>
  <c r="P2441" i="1" l="1"/>
  <c r="R2441" i="1" l="1"/>
  <c r="Q2442" i="1" s="1"/>
  <c r="P2442" i="1" l="1"/>
  <c r="R2442" i="1" l="1"/>
  <c r="Q2443" i="1" s="1"/>
  <c r="P2443" i="1" l="1"/>
  <c r="R2443" i="1" l="1"/>
  <c r="Q2444" i="1" s="1"/>
  <c r="P2444" i="1" l="1"/>
  <c r="R2444" i="1" l="1"/>
  <c r="Q2445" i="1" s="1"/>
  <c r="P2445" i="1" l="1"/>
  <c r="R2445" i="1" l="1"/>
  <c r="Q2446" i="1" s="1"/>
  <c r="P2446" i="1" l="1"/>
  <c r="R2446" i="1" l="1"/>
  <c r="Q2447" i="1" s="1"/>
  <c r="P2447" i="1" l="1"/>
  <c r="R2447" i="1" l="1"/>
  <c r="Q2448" i="1" s="1"/>
  <c r="P2448" i="1" l="1"/>
  <c r="R2448" i="1" l="1"/>
  <c r="Q2449" i="1" s="1"/>
  <c r="P2449" i="1" l="1"/>
  <c r="R2449" i="1" l="1"/>
  <c r="Q2450" i="1" s="1"/>
  <c r="P2450" i="1" l="1"/>
  <c r="R2450" i="1" l="1"/>
  <c r="Q2451" i="1" s="1"/>
  <c r="P2451" i="1" l="1"/>
  <c r="R2451" i="1" l="1"/>
  <c r="Q2452" i="1" s="1"/>
  <c r="P2452" i="1" l="1"/>
  <c r="R2452" i="1" l="1"/>
  <c r="Q2453" i="1" s="1"/>
  <c r="P2453" i="1" l="1"/>
  <c r="R2453" i="1" l="1"/>
  <c r="Q2454" i="1" s="1"/>
  <c r="P2454" i="1" l="1"/>
  <c r="R2454" i="1" l="1"/>
  <c r="Q2455" i="1" s="1"/>
  <c r="P2455" i="1" l="1"/>
  <c r="R2455" i="1" l="1"/>
  <c r="Q2456" i="1" s="1"/>
  <c r="P2456" i="1" l="1"/>
  <c r="R2456" i="1" l="1"/>
  <c r="Q2457" i="1" s="1"/>
  <c r="P2457" i="1" l="1"/>
  <c r="R2457" i="1" l="1"/>
  <c r="Q2458" i="1" s="1"/>
  <c r="P2458" i="1" l="1"/>
  <c r="R2458" i="1" l="1"/>
  <c r="Q2459" i="1" s="1"/>
  <c r="P2459" i="1" l="1"/>
  <c r="R2459" i="1" l="1"/>
  <c r="Q2460" i="1" s="1"/>
  <c r="P2460" i="1" l="1"/>
  <c r="R2460" i="1" l="1"/>
  <c r="Q2461" i="1" s="1"/>
  <c r="P2461" i="1" l="1"/>
  <c r="R2461" i="1" l="1"/>
  <c r="Q2462" i="1" s="1"/>
  <c r="P2462" i="1" l="1"/>
  <c r="R2462" i="1" l="1"/>
  <c r="Q2463" i="1" s="1"/>
  <c r="P2463" i="1" l="1"/>
  <c r="R2463" i="1" l="1"/>
  <c r="Q2464" i="1" s="1"/>
  <c r="P2464" i="1" l="1"/>
  <c r="R2464" i="1" l="1"/>
  <c r="Q2465" i="1" s="1"/>
  <c r="P2465" i="1" l="1"/>
  <c r="R2465" i="1" l="1"/>
  <c r="Q2466" i="1" s="1"/>
  <c r="P2466" i="1" l="1"/>
  <c r="R2466" i="1" l="1"/>
  <c r="Q2467" i="1" s="1"/>
  <c r="P2467" i="1" l="1"/>
  <c r="R2467" i="1" l="1"/>
  <c r="Q2468" i="1" s="1"/>
  <c r="P2468" i="1" l="1"/>
  <c r="R2468" i="1" l="1"/>
  <c r="Q2469" i="1" s="1"/>
  <c r="P2469" i="1" l="1"/>
  <c r="R2469" i="1" l="1"/>
  <c r="Q2470" i="1" s="1"/>
  <c r="P2470" i="1" l="1"/>
  <c r="R2470" i="1" l="1"/>
  <c r="Q2471" i="1" s="1"/>
  <c r="P2471" i="1" l="1"/>
  <c r="R2471" i="1" l="1"/>
  <c r="Q2472" i="1" s="1"/>
  <c r="P2472" i="1" l="1"/>
  <c r="R2472" i="1" l="1"/>
  <c r="Q2473" i="1" s="1"/>
  <c r="P2473" i="1" l="1"/>
  <c r="R2473" i="1" l="1"/>
  <c r="Q2474" i="1" s="1"/>
  <c r="P2474" i="1" l="1"/>
  <c r="R2474" i="1" l="1"/>
  <c r="Q2475" i="1" s="1"/>
  <c r="P2475" i="1" l="1"/>
  <c r="R2475" i="1" l="1"/>
  <c r="Q2476" i="1" s="1"/>
  <c r="P2476" i="1" l="1"/>
  <c r="R2476" i="1" l="1"/>
  <c r="Q2477" i="1" s="1"/>
  <c r="P2477" i="1" l="1"/>
  <c r="R2477" i="1" l="1"/>
  <c r="Q2478" i="1" s="1"/>
  <c r="P2478" i="1" l="1"/>
  <c r="R2478" i="1" l="1"/>
  <c r="Q2479" i="1" s="1"/>
  <c r="P2479" i="1" l="1"/>
  <c r="R2479" i="1" l="1"/>
  <c r="Q2480" i="1" s="1"/>
  <c r="P2480" i="1" l="1"/>
  <c r="R2480" i="1" l="1"/>
  <c r="Q2481" i="1" s="1"/>
  <c r="P2481" i="1" l="1"/>
  <c r="R2481" i="1" l="1"/>
  <c r="Q2482" i="1" s="1"/>
  <c r="P2482" i="1" l="1"/>
  <c r="R2482" i="1" l="1"/>
  <c r="Q2483" i="1" s="1"/>
  <c r="P2483" i="1" l="1"/>
  <c r="R2483" i="1" l="1"/>
  <c r="Q2484" i="1" s="1"/>
  <c r="P2484" i="1" l="1"/>
  <c r="R2484" i="1" l="1"/>
  <c r="Q2485" i="1" s="1"/>
  <c r="P2485" i="1" l="1"/>
  <c r="R2485" i="1" l="1"/>
  <c r="Q2486" i="1" s="1"/>
  <c r="P2486" i="1" l="1"/>
  <c r="R2486" i="1" l="1"/>
  <c r="Q2487" i="1" s="1"/>
  <c r="P2487" i="1" l="1"/>
  <c r="R2487" i="1" l="1"/>
  <c r="Q2488" i="1" s="1"/>
  <c r="P2488" i="1" l="1"/>
  <c r="R2488" i="1" l="1"/>
  <c r="Q2489" i="1" s="1"/>
  <c r="P2489" i="1" l="1"/>
  <c r="R2489" i="1" l="1"/>
  <c r="Q2490" i="1" s="1"/>
  <c r="P2490" i="1" l="1"/>
  <c r="R2490" i="1" l="1"/>
  <c r="Q2491" i="1" s="1"/>
  <c r="P2491" i="1" l="1"/>
  <c r="R2491" i="1" l="1"/>
  <c r="Q2492" i="1" s="1"/>
  <c r="P2492" i="1" l="1"/>
  <c r="R2492" i="1" l="1"/>
  <c r="Q2493" i="1" s="1"/>
  <c r="P2493" i="1" l="1"/>
  <c r="R2493" i="1" l="1"/>
  <c r="Q2494" i="1" s="1"/>
  <c r="P2494" i="1" l="1"/>
  <c r="R2494" i="1" l="1"/>
  <c r="Q2495" i="1" s="1"/>
  <c r="P2495" i="1" l="1"/>
  <c r="R2495" i="1" l="1"/>
  <c r="Q2496" i="1" s="1"/>
  <c r="P2496" i="1" l="1"/>
  <c r="R2496" i="1" l="1"/>
  <c r="Q2497" i="1" s="1"/>
  <c r="P2497" i="1" l="1"/>
  <c r="R2497" i="1" l="1"/>
  <c r="Q2498" i="1" s="1"/>
  <c r="P2498" i="1" l="1"/>
  <c r="R2498" i="1" l="1"/>
  <c r="Q2499" i="1" s="1"/>
  <c r="P2499" i="1" l="1"/>
  <c r="R2499" i="1" l="1"/>
  <c r="Q2500" i="1" s="1"/>
  <c r="P2500" i="1" l="1"/>
  <c r="R2500" i="1" l="1"/>
  <c r="Q2501" i="1" s="1"/>
  <c r="P2501" i="1" l="1"/>
  <c r="R2501" i="1" l="1"/>
  <c r="Q2502" i="1" s="1"/>
  <c r="P2502" i="1" l="1"/>
  <c r="R2502" i="1" l="1"/>
  <c r="Q2503" i="1" s="1"/>
  <c r="P2503" i="1" l="1"/>
  <c r="R2503" i="1" l="1"/>
  <c r="Q2504" i="1" s="1"/>
  <c r="P2504" i="1" l="1"/>
  <c r="R2504" i="1" l="1"/>
  <c r="Q2505" i="1" s="1"/>
  <c r="P2505" i="1" l="1"/>
  <c r="R2505" i="1" l="1"/>
  <c r="Q2506" i="1" s="1"/>
  <c r="P2506" i="1" l="1"/>
  <c r="R2506" i="1" l="1"/>
  <c r="Q2507" i="1" s="1"/>
  <c r="P2507" i="1" l="1"/>
  <c r="R2507" i="1" l="1"/>
  <c r="Q2508" i="1" s="1"/>
  <c r="P2508" i="1" l="1"/>
  <c r="R2508" i="1" l="1"/>
  <c r="Q2509" i="1" s="1"/>
  <c r="P2509" i="1" l="1"/>
  <c r="R2509" i="1" l="1"/>
  <c r="Q2510" i="1" s="1"/>
  <c r="P2510" i="1" l="1"/>
  <c r="R2510" i="1" l="1"/>
  <c r="Q2511" i="1" s="1"/>
  <c r="P2511" i="1" l="1"/>
  <c r="R2511" i="1" l="1"/>
  <c r="Q2512" i="1" s="1"/>
  <c r="P2512" i="1" l="1"/>
  <c r="R2512" i="1" l="1"/>
  <c r="Q2513" i="1" s="1"/>
  <c r="P2513" i="1" l="1"/>
  <c r="R2513" i="1" l="1"/>
  <c r="Q2514" i="1" s="1"/>
  <c r="P2514" i="1" l="1"/>
  <c r="R2514" i="1" l="1"/>
  <c r="Q2515" i="1" s="1"/>
  <c r="P2515" i="1" l="1"/>
  <c r="R2515" i="1" l="1"/>
  <c r="Q2516" i="1" s="1"/>
  <c r="P2516" i="1" l="1"/>
  <c r="R2516" i="1" l="1"/>
  <c r="Q2517" i="1" s="1"/>
  <c r="P2517" i="1" l="1"/>
  <c r="R2517" i="1" l="1"/>
  <c r="Q2518" i="1" s="1"/>
  <c r="P2518" i="1" l="1"/>
  <c r="R2518" i="1" l="1"/>
  <c r="Q2519" i="1" s="1"/>
  <c r="P2519" i="1" l="1"/>
  <c r="R2519" i="1" l="1"/>
  <c r="Q2520" i="1" s="1"/>
  <c r="P2520" i="1" l="1"/>
  <c r="R2520" i="1" l="1"/>
  <c r="Q2521" i="1" s="1"/>
  <c r="P2521" i="1" l="1"/>
  <c r="R2521" i="1" l="1"/>
  <c r="Q2522" i="1" s="1"/>
  <c r="P2522" i="1" l="1"/>
  <c r="R2522" i="1" l="1"/>
  <c r="Q2523" i="1" s="1"/>
  <c r="P2523" i="1" l="1"/>
  <c r="R2523" i="1" l="1"/>
  <c r="Q2524" i="1" s="1"/>
  <c r="P2524" i="1" l="1"/>
  <c r="R2524" i="1" l="1"/>
  <c r="Q2525" i="1" s="1"/>
  <c r="P2525" i="1" l="1"/>
  <c r="R2525" i="1" l="1"/>
  <c r="Q2526" i="1" s="1"/>
  <c r="P2526" i="1" l="1"/>
  <c r="R2526" i="1" l="1"/>
  <c r="Q2527" i="1" s="1"/>
  <c r="P2527" i="1" l="1"/>
  <c r="R2527" i="1" l="1"/>
  <c r="Q2528" i="1" s="1"/>
  <c r="P2528" i="1" l="1"/>
  <c r="R2528" i="1" l="1"/>
  <c r="Q2529" i="1" s="1"/>
  <c r="P2529" i="1" l="1"/>
  <c r="R2529" i="1" l="1"/>
  <c r="Q2530" i="1" s="1"/>
  <c r="P2530" i="1" l="1"/>
  <c r="R2530" i="1" l="1"/>
  <c r="Q2531" i="1" s="1"/>
  <c r="P2531" i="1" l="1"/>
  <c r="R2531" i="1" l="1"/>
  <c r="Q2532" i="1" s="1"/>
  <c r="P2532" i="1" l="1"/>
  <c r="R2532" i="1" l="1"/>
  <c r="Q2533" i="1" s="1"/>
  <c r="P2533" i="1" l="1"/>
  <c r="R2533" i="1" l="1"/>
  <c r="Q2534" i="1" s="1"/>
  <c r="P2534" i="1" l="1"/>
  <c r="R2534" i="1" l="1"/>
  <c r="Q2535" i="1" s="1"/>
  <c r="P2535" i="1" l="1"/>
  <c r="R2535" i="1" l="1"/>
  <c r="Q2536" i="1" s="1"/>
  <c r="P2536" i="1" l="1"/>
  <c r="R2536" i="1" l="1"/>
  <c r="Q2537" i="1" s="1"/>
  <c r="P2537" i="1" l="1"/>
  <c r="R2537" i="1" l="1"/>
  <c r="Q2538" i="1" s="1"/>
  <c r="P2538" i="1" l="1"/>
  <c r="R2538" i="1" l="1"/>
  <c r="Q2539" i="1" s="1"/>
  <c r="P2539" i="1" l="1"/>
  <c r="R2539" i="1" l="1"/>
  <c r="Q2540" i="1" s="1"/>
  <c r="P2540" i="1" l="1"/>
  <c r="R2540" i="1" l="1"/>
  <c r="Q2541" i="1" s="1"/>
  <c r="P2541" i="1" l="1"/>
  <c r="R2541" i="1" l="1"/>
  <c r="Q2542" i="1" s="1"/>
  <c r="P2542" i="1" l="1"/>
  <c r="R2542" i="1" l="1"/>
  <c r="Q2543" i="1" s="1"/>
  <c r="P2543" i="1" l="1"/>
  <c r="R2543" i="1" l="1"/>
  <c r="Q2544" i="1" s="1"/>
  <c r="P2544" i="1" l="1"/>
  <c r="R2544" i="1" l="1"/>
  <c r="Q2545" i="1" s="1"/>
  <c r="P2545" i="1" l="1"/>
  <c r="R2545" i="1" l="1"/>
  <c r="Q2546" i="1" s="1"/>
  <c r="P2546" i="1" l="1"/>
  <c r="R2546" i="1" l="1"/>
  <c r="Q2547" i="1" s="1"/>
  <c r="P2547" i="1" l="1"/>
  <c r="R2547" i="1" l="1"/>
  <c r="Q2548" i="1" s="1"/>
  <c r="P2548" i="1" l="1"/>
  <c r="R2548" i="1" l="1"/>
  <c r="Q2549" i="1" s="1"/>
  <c r="P2549" i="1" l="1"/>
  <c r="R2549" i="1" l="1"/>
  <c r="Q2550" i="1" s="1"/>
  <c r="P2550" i="1" l="1"/>
  <c r="R2550" i="1" l="1"/>
  <c r="Q2551" i="1" s="1"/>
  <c r="P2551" i="1" l="1"/>
  <c r="R2551" i="1" l="1"/>
  <c r="Q2552" i="1" s="1"/>
  <c r="P2552" i="1" l="1"/>
  <c r="R2552" i="1" l="1"/>
  <c r="Q2553" i="1" s="1"/>
  <c r="P2553" i="1" l="1"/>
  <c r="R2553" i="1" l="1"/>
  <c r="Q2554" i="1" s="1"/>
  <c r="P2554" i="1" l="1"/>
  <c r="R2554" i="1" l="1"/>
  <c r="Q2555" i="1" s="1"/>
  <c r="P2555" i="1" l="1"/>
  <c r="R2555" i="1" l="1"/>
  <c r="Q2556" i="1" s="1"/>
  <c r="P2556" i="1" l="1"/>
  <c r="R2556" i="1" l="1"/>
  <c r="Q2557" i="1" s="1"/>
  <c r="P2557" i="1" l="1"/>
  <c r="R2557" i="1" l="1"/>
  <c r="Q2558" i="1" s="1"/>
  <c r="P2558" i="1" l="1"/>
  <c r="R2558" i="1" l="1"/>
  <c r="Q2559" i="1" s="1"/>
  <c r="P2559" i="1" l="1"/>
  <c r="R2559" i="1" l="1"/>
  <c r="Q2560" i="1" s="1"/>
  <c r="P2560" i="1" l="1"/>
  <c r="R2560" i="1" l="1"/>
  <c r="Q2561" i="1" s="1"/>
  <c r="P2561" i="1" l="1"/>
  <c r="R2561" i="1" l="1"/>
  <c r="Q2562" i="1" s="1"/>
  <c r="P2562" i="1" l="1"/>
  <c r="R2562" i="1" l="1"/>
  <c r="Q2563" i="1" s="1"/>
  <c r="P2563" i="1" l="1"/>
  <c r="R2563" i="1" l="1"/>
  <c r="Q2564" i="1" s="1"/>
  <c r="P2564" i="1" l="1"/>
  <c r="R2564" i="1" l="1"/>
  <c r="Q2565" i="1" s="1"/>
  <c r="P2565" i="1" l="1"/>
  <c r="R2565" i="1" l="1"/>
  <c r="Q2566" i="1" s="1"/>
  <c r="P2566" i="1" l="1"/>
  <c r="R2566" i="1" l="1"/>
  <c r="Q2567" i="1" s="1"/>
  <c r="P2567" i="1" l="1"/>
  <c r="R2567" i="1" l="1"/>
  <c r="Q2568" i="1" s="1"/>
  <c r="P2568" i="1" l="1"/>
  <c r="R2568" i="1" l="1"/>
  <c r="Q2569" i="1" s="1"/>
  <c r="P2569" i="1" l="1"/>
  <c r="R2569" i="1" l="1"/>
  <c r="Q2570" i="1" s="1"/>
  <c r="P2570" i="1" l="1"/>
  <c r="R2570" i="1" l="1"/>
  <c r="Q2571" i="1" s="1"/>
  <c r="P2571" i="1" l="1"/>
  <c r="R2571" i="1" l="1"/>
  <c r="Q2572" i="1" s="1"/>
  <c r="P2572" i="1" l="1"/>
  <c r="R2572" i="1" l="1"/>
  <c r="Q2573" i="1" s="1"/>
  <c r="P2573" i="1" l="1"/>
  <c r="R2573" i="1" l="1"/>
  <c r="Q2574" i="1" s="1"/>
  <c r="P2574" i="1" l="1"/>
  <c r="R2574" i="1" l="1"/>
  <c r="Q2575" i="1" s="1"/>
  <c r="P2575" i="1" l="1"/>
  <c r="R2575" i="1" l="1"/>
  <c r="Q2576" i="1" s="1"/>
  <c r="P2576" i="1" l="1"/>
  <c r="R2576" i="1" l="1"/>
  <c r="Q2577" i="1" s="1"/>
  <c r="P2577" i="1" l="1"/>
  <c r="R2577" i="1" l="1"/>
  <c r="Q2578" i="1" s="1"/>
  <c r="P2578" i="1" l="1"/>
  <c r="R2578" i="1" l="1"/>
  <c r="Q2579" i="1" s="1"/>
  <c r="P2579" i="1" l="1"/>
  <c r="R2579" i="1" l="1"/>
  <c r="Q2580" i="1" s="1"/>
  <c r="P2580" i="1" l="1"/>
  <c r="R2580" i="1" l="1"/>
  <c r="Q2581" i="1" s="1"/>
  <c r="P2581" i="1" l="1"/>
  <c r="R2581" i="1" l="1"/>
  <c r="Q2582" i="1" s="1"/>
  <c r="P2582" i="1" l="1"/>
  <c r="R2582" i="1" l="1"/>
  <c r="Q2583" i="1" s="1"/>
  <c r="P2583" i="1" l="1"/>
  <c r="R2583" i="1" l="1"/>
  <c r="Q2584" i="1" s="1"/>
  <c r="P2584" i="1" l="1"/>
  <c r="R2584" i="1" l="1"/>
  <c r="Q2585" i="1" s="1"/>
  <c r="P2585" i="1" l="1"/>
  <c r="R2585" i="1" l="1"/>
  <c r="Q2586" i="1" s="1"/>
  <c r="P2586" i="1" l="1"/>
  <c r="R2586" i="1" l="1"/>
  <c r="Q2587" i="1" s="1"/>
  <c r="P2587" i="1" l="1"/>
  <c r="R2587" i="1" l="1"/>
  <c r="Q2588" i="1" s="1"/>
  <c r="P2588" i="1" l="1"/>
  <c r="R2588" i="1" l="1"/>
  <c r="Q2589" i="1" s="1"/>
  <c r="P2589" i="1" l="1"/>
  <c r="R2589" i="1" l="1"/>
  <c r="Q2590" i="1" s="1"/>
  <c r="P2590" i="1" l="1"/>
  <c r="R2590" i="1" l="1"/>
  <c r="Q2591" i="1" s="1"/>
  <c r="P2591" i="1" l="1"/>
  <c r="R2591" i="1" l="1"/>
  <c r="Q2592" i="1" s="1"/>
  <c r="P2592" i="1" l="1"/>
  <c r="R2592" i="1" l="1"/>
  <c r="Q2593" i="1" s="1"/>
  <c r="P2593" i="1" l="1"/>
  <c r="R2593" i="1" l="1"/>
  <c r="Q2594" i="1" s="1"/>
  <c r="P2594" i="1" l="1"/>
  <c r="R2594" i="1" l="1"/>
  <c r="Q2595" i="1" s="1"/>
  <c r="P2595" i="1" l="1"/>
  <c r="R2595" i="1" l="1"/>
  <c r="Q2596" i="1" s="1"/>
  <c r="P2596" i="1" l="1"/>
  <c r="R2596" i="1" l="1"/>
  <c r="Q2597" i="1" s="1"/>
  <c r="P2597" i="1" l="1"/>
  <c r="R2597" i="1" l="1"/>
  <c r="Q2598" i="1" s="1"/>
  <c r="P2598" i="1" l="1"/>
  <c r="R2598" i="1" l="1"/>
  <c r="Q2599" i="1" s="1"/>
  <c r="P2599" i="1" l="1"/>
  <c r="R2599" i="1" l="1"/>
  <c r="Q2600" i="1" s="1"/>
  <c r="P2600" i="1" l="1"/>
  <c r="R2600" i="1" l="1"/>
  <c r="Q2601" i="1" s="1"/>
  <c r="P2601" i="1" l="1"/>
  <c r="R2601" i="1" l="1"/>
  <c r="Q2602" i="1" s="1"/>
  <c r="P2602" i="1" l="1"/>
  <c r="R2602" i="1" l="1"/>
  <c r="Q2603" i="1" s="1"/>
  <c r="P2603" i="1" l="1"/>
  <c r="R2603" i="1" l="1"/>
  <c r="Q2604" i="1" s="1"/>
  <c r="P2604" i="1" l="1"/>
  <c r="R2604" i="1" l="1"/>
  <c r="Q2605" i="1" s="1"/>
  <c r="P2605" i="1" l="1"/>
  <c r="R2605" i="1" l="1"/>
  <c r="Q2606" i="1" s="1"/>
  <c r="P2606" i="1" l="1"/>
  <c r="R2606" i="1" l="1"/>
  <c r="Q2607" i="1" s="1"/>
  <c r="P2607" i="1" l="1"/>
  <c r="R2607" i="1" l="1"/>
  <c r="Q2608" i="1" s="1"/>
  <c r="P2608" i="1" l="1"/>
  <c r="R2608" i="1" l="1"/>
  <c r="Q2609" i="1" s="1"/>
  <c r="P2609" i="1" l="1"/>
  <c r="R2609" i="1" l="1"/>
  <c r="Q2610" i="1" s="1"/>
  <c r="P2610" i="1" l="1"/>
  <c r="R2610" i="1" l="1"/>
  <c r="Q2611" i="1" s="1"/>
  <c r="P2611" i="1" l="1"/>
  <c r="R2611" i="1" l="1"/>
  <c r="Q2612" i="1" s="1"/>
  <c r="P2612" i="1" l="1"/>
  <c r="R2612" i="1" l="1"/>
  <c r="Q2613" i="1" s="1"/>
  <c r="P2613" i="1" l="1"/>
  <c r="R2613" i="1" l="1"/>
  <c r="Q2614" i="1" s="1"/>
  <c r="P2614" i="1" l="1"/>
  <c r="R2614" i="1" l="1"/>
  <c r="Q2615" i="1" s="1"/>
  <c r="P2615" i="1" l="1"/>
  <c r="R2615" i="1" l="1"/>
  <c r="Q2616" i="1" s="1"/>
  <c r="P2616" i="1" l="1"/>
  <c r="R2616" i="1" l="1"/>
  <c r="Q2617" i="1" s="1"/>
  <c r="P2617" i="1" l="1"/>
  <c r="R2617" i="1" l="1"/>
  <c r="Q2618" i="1" s="1"/>
  <c r="P2618" i="1" l="1"/>
  <c r="R2618" i="1" l="1"/>
  <c r="Q2619" i="1" s="1"/>
  <c r="P2619" i="1" l="1"/>
  <c r="R2619" i="1" l="1"/>
  <c r="Q2620" i="1" s="1"/>
  <c r="P2620" i="1" l="1"/>
  <c r="R2620" i="1" l="1"/>
  <c r="Q2621" i="1" s="1"/>
  <c r="P2621" i="1" l="1"/>
  <c r="R2621" i="1" l="1"/>
  <c r="Q2622" i="1" s="1"/>
  <c r="P2622" i="1" l="1"/>
  <c r="R2622" i="1" l="1"/>
  <c r="Q2623" i="1" s="1"/>
  <c r="P2623" i="1" l="1"/>
  <c r="R2623" i="1" l="1"/>
  <c r="Q2624" i="1" s="1"/>
  <c r="P2624" i="1" l="1"/>
  <c r="R2624" i="1" l="1"/>
  <c r="Q2625" i="1" s="1"/>
  <c r="P2625" i="1" l="1"/>
  <c r="R2625" i="1" l="1"/>
  <c r="Q2626" i="1" s="1"/>
  <c r="P2626" i="1" l="1"/>
  <c r="R2626" i="1" l="1"/>
  <c r="Q2627" i="1" s="1"/>
  <c r="P2627" i="1" l="1"/>
  <c r="R2627" i="1" l="1"/>
  <c r="Q2628" i="1" s="1"/>
  <c r="P2628" i="1" l="1"/>
  <c r="R2628" i="1" l="1"/>
  <c r="Q2629" i="1" s="1"/>
  <c r="P2629" i="1" l="1"/>
  <c r="R2629" i="1" l="1"/>
  <c r="Q2630" i="1" s="1"/>
  <c r="P2630" i="1" l="1"/>
  <c r="R2630" i="1" l="1"/>
  <c r="Q2631" i="1" s="1"/>
  <c r="P2631" i="1" l="1"/>
  <c r="R2631" i="1" l="1"/>
  <c r="Q2632" i="1" s="1"/>
  <c r="P2632" i="1" l="1"/>
  <c r="R2632" i="1" l="1"/>
  <c r="Q2633" i="1" s="1"/>
  <c r="P2633" i="1" l="1"/>
  <c r="R2633" i="1" l="1"/>
  <c r="Q2634" i="1" s="1"/>
  <c r="P2634" i="1" l="1"/>
  <c r="R2634" i="1" l="1"/>
  <c r="Q2635" i="1" s="1"/>
  <c r="P2635" i="1" l="1"/>
  <c r="R2635" i="1" l="1"/>
  <c r="Q2636" i="1" s="1"/>
  <c r="P2636" i="1" l="1"/>
  <c r="R2636" i="1" l="1"/>
  <c r="Q2637" i="1" s="1"/>
  <c r="P2637" i="1" l="1"/>
  <c r="R2637" i="1" l="1"/>
  <c r="Q2638" i="1" s="1"/>
  <c r="P2638" i="1" l="1"/>
  <c r="R2638" i="1" l="1"/>
  <c r="Q2639" i="1" s="1"/>
  <c r="P2639" i="1" l="1"/>
  <c r="R2639" i="1" l="1"/>
  <c r="Q2640" i="1" s="1"/>
  <c r="P2640" i="1" l="1"/>
  <c r="R2640" i="1" l="1"/>
  <c r="Q2641" i="1" s="1"/>
  <c r="P2641" i="1" l="1"/>
  <c r="R2641" i="1" l="1"/>
  <c r="Q2642" i="1" s="1"/>
  <c r="P2642" i="1" l="1"/>
  <c r="R2642" i="1" l="1"/>
  <c r="Q2643" i="1" s="1"/>
  <c r="P2643" i="1" l="1"/>
  <c r="R2643" i="1" l="1"/>
  <c r="Q2644" i="1" s="1"/>
  <c r="P2644" i="1" l="1"/>
  <c r="R2644" i="1" l="1"/>
  <c r="Q2645" i="1" s="1"/>
  <c r="P2645" i="1" l="1"/>
  <c r="R2645" i="1" l="1"/>
  <c r="Q2646" i="1" s="1"/>
  <c r="P2646" i="1" l="1"/>
  <c r="R2646" i="1" l="1"/>
  <c r="Q2647" i="1" s="1"/>
  <c r="P2647" i="1" l="1"/>
  <c r="R2647" i="1" l="1"/>
  <c r="Q2648" i="1" s="1"/>
  <c r="P2648" i="1" l="1"/>
  <c r="R2648" i="1" l="1"/>
  <c r="Q2649" i="1" s="1"/>
  <c r="P2649" i="1" l="1"/>
  <c r="R2649" i="1" l="1"/>
  <c r="Q2650" i="1" s="1"/>
  <c r="P2650" i="1" l="1"/>
  <c r="R2650" i="1" l="1"/>
  <c r="Q2651" i="1" s="1"/>
  <c r="P2651" i="1" l="1"/>
  <c r="R2651" i="1" l="1"/>
  <c r="Q2652" i="1" s="1"/>
  <c r="P2652" i="1" l="1"/>
  <c r="R2652" i="1" l="1"/>
  <c r="Q2653" i="1" s="1"/>
  <c r="P2653" i="1" l="1"/>
  <c r="R2653" i="1" l="1"/>
  <c r="Q2654" i="1" s="1"/>
  <c r="P2654" i="1" l="1"/>
  <c r="R2654" i="1" l="1"/>
  <c r="Q2655" i="1" s="1"/>
  <c r="P2655" i="1" l="1"/>
  <c r="R2655" i="1" l="1"/>
  <c r="Q2656" i="1" s="1"/>
  <c r="P2656" i="1" l="1"/>
  <c r="R2656" i="1" l="1"/>
  <c r="Q2657" i="1" s="1"/>
  <c r="P2657" i="1" l="1"/>
  <c r="R2657" i="1" l="1"/>
  <c r="Q2658" i="1" s="1"/>
  <c r="P2658" i="1" l="1"/>
  <c r="R2658" i="1" l="1"/>
  <c r="Q2659" i="1" s="1"/>
  <c r="P2659" i="1" l="1"/>
  <c r="R2659" i="1" l="1"/>
  <c r="Q2660" i="1" s="1"/>
  <c r="P2660" i="1" l="1"/>
  <c r="R2660" i="1" l="1"/>
  <c r="Q2661" i="1" s="1"/>
  <c r="P2661" i="1" l="1"/>
  <c r="R2661" i="1" l="1"/>
  <c r="Q2662" i="1" s="1"/>
  <c r="P2662" i="1" l="1"/>
  <c r="R2662" i="1" l="1"/>
  <c r="Q2663" i="1" s="1"/>
  <c r="P2663" i="1" l="1"/>
  <c r="R2663" i="1" l="1"/>
  <c r="Q2664" i="1" s="1"/>
  <c r="P2664" i="1" l="1"/>
  <c r="R2664" i="1" l="1"/>
  <c r="Q2665" i="1" s="1"/>
  <c r="P2665" i="1" l="1"/>
  <c r="R2665" i="1" l="1"/>
  <c r="Q2666" i="1" s="1"/>
  <c r="P2666" i="1" l="1"/>
  <c r="R2666" i="1" l="1"/>
  <c r="Q2667" i="1" s="1"/>
  <c r="P2667" i="1" l="1"/>
  <c r="R2667" i="1" l="1"/>
  <c r="Q2668" i="1" s="1"/>
  <c r="P2668" i="1" l="1"/>
  <c r="R2668" i="1" l="1"/>
  <c r="Q2669" i="1" s="1"/>
  <c r="P2669" i="1" l="1"/>
  <c r="R2669" i="1" l="1"/>
  <c r="Q2670" i="1" s="1"/>
  <c r="P2670" i="1" l="1"/>
  <c r="R2670" i="1" l="1"/>
  <c r="Q2671" i="1" s="1"/>
  <c r="P2671" i="1" l="1"/>
  <c r="R2671" i="1" l="1"/>
  <c r="Q2672" i="1" s="1"/>
  <c r="P2672" i="1" l="1"/>
  <c r="R2672" i="1" l="1"/>
  <c r="Q2673" i="1" s="1"/>
  <c r="P2673" i="1" l="1"/>
  <c r="R2673" i="1" l="1"/>
  <c r="Q2674" i="1" s="1"/>
  <c r="P2674" i="1" l="1"/>
  <c r="R2674" i="1" l="1"/>
  <c r="Q2675" i="1" s="1"/>
  <c r="P2675" i="1" l="1"/>
  <c r="R2675" i="1" l="1"/>
  <c r="Q2676" i="1" s="1"/>
  <c r="P2676" i="1" l="1"/>
  <c r="R2676" i="1" l="1"/>
  <c r="Q2677" i="1" s="1"/>
  <c r="P2677" i="1" l="1"/>
  <c r="R2677" i="1" l="1"/>
  <c r="Q2678" i="1" s="1"/>
  <c r="P2678" i="1" l="1"/>
  <c r="R2678" i="1" l="1"/>
  <c r="Q2679" i="1" s="1"/>
  <c r="P2679" i="1" l="1"/>
  <c r="R2679" i="1" l="1"/>
  <c r="Q2680" i="1" s="1"/>
  <c r="P2680" i="1" l="1"/>
  <c r="R2680" i="1" l="1"/>
  <c r="Q2681" i="1" s="1"/>
  <c r="P2681" i="1" l="1"/>
  <c r="R2681" i="1" l="1"/>
  <c r="Q2682" i="1" s="1"/>
  <c r="P2682" i="1" l="1"/>
  <c r="R2682" i="1" l="1"/>
  <c r="Q2683" i="1" s="1"/>
  <c r="P2683" i="1" l="1"/>
  <c r="R2683" i="1" l="1"/>
  <c r="Q2684" i="1" s="1"/>
  <c r="P2684" i="1" l="1"/>
  <c r="R2684" i="1" l="1"/>
  <c r="Q2685" i="1" s="1"/>
  <c r="P2685" i="1" l="1"/>
  <c r="R2685" i="1" l="1"/>
  <c r="Q2686" i="1" s="1"/>
  <c r="P2686" i="1" l="1"/>
  <c r="R2686" i="1" l="1"/>
  <c r="Q2687" i="1" s="1"/>
  <c r="P2687" i="1" l="1"/>
  <c r="R2687" i="1" l="1"/>
  <c r="Q2688" i="1" s="1"/>
  <c r="P2688" i="1" l="1"/>
  <c r="R2688" i="1" l="1"/>
  <c r="Q2689" i="1" s="1"/>
  <c r="P2689" i="1" l="1"/>
  <c r="R2689" i="1" l="1"/>
  <c r="Q2690" i="1" s="1"/>
  <c r="P2690" i="1" l="1"/>
  <c r="R2690" i="1" l="1"/>
  <c r="Q2691" i="1" s="1"/>
  <c r="P2691" i="1" l="1"/>
  <c r="R2691" i="1" l="1"/>
  <c r="Q2692" i="1" s="1"/>
  <c r="P2692" i="1" l="1"/>
  <c r="R2692" i="1" l="1"/>
  <c r="Q2693" i="1" s="1"/>
  <c r="P2693" i="1" l="1"/>
  <c r="R2693" i="1" l="1"/>
  <c r="Q2694" i="1" s="1"/>
  <c r="P2694" i="1" l="1"/>
  <c r="R2694" i="1" l="1"/>
  <c r="Q2695" i="1" s="1"/>
  <c r="P2695" i="1" l="1"/>
  <c r="R2695" i="1" l="1"/>
  <c r="Q2696" i="1" s="1"/>
  <c r="P2696" i="1" l="1"/>
  <c r="R2696" i="1" l="1"/>
  <c r="Q2697" i="1" s="1"/>
  <c r="P2697" i="1" l="1"/>
  <c r="R2697" i="1" l="1"/>
  <c r="Q2698" i="1" s="1"/>
  <c r="P2698" i="1" l="1"/>
  <c r="R2698" i="1" l="1"/>
  <c r="Q2699" i="1" s="1"/>
  <c r="P2699" i="1" l="1"/>
  <c r="R2699" i="1" l="1"/>
  <c r="Q2700" i="1" s="1"/>
  <c r="P2700" i="1" l="1"/>
  <c r="R2700" i="1" l="1"/>
  <c r="Q2701" i="1" s="1"/>
  <c r="P2701" i="1" l="1"/>
  <c r="R2701" i="1" l="1"/>
  <c r="Q2702" i="1" s="1"/>
  <c r="P2702" i="1" l="1"/>
  <c r="R2702" i="1" l="1"/>
  <c r="Q2703" i="1" s="1"/>
  <c r="P2703" i="1" l="1"/>
  <c r="R2703" i="1" l="1"/>
  <c r="Q2704" i="1" s="1"/>
  <c r="P2704" i="1" l="1"/>
  <c r="R2704" i="1" l="1"/>
  <c r="Q2705" i="1" s="1"/>
  <c r="P2705" i="1" l="1"/>
  <c r="R2705" i="1" l="1"/>
  <c r="Q2706" i="1" s="1"/>
  <c r="P2706" i="1" l="1"/>
  <c r="R2706" i="1" l="1"/>
  <c r="Q2707" i="1" s="1"/>
  <c r="P2707" i="1" l="1"/>
  <c r="R2707" i="1" l="1"/>
  <c r="Q2708" i="1" s="1"/>
  <c r="P2708" i="1" l="1"/>
  <c r="R2708" i="1" l="1"/>
  <c r="Q2709" i="1" s="1"/>
  <c r="P2709" i="1" l="1"/>
  <c r="R2709" i="1" l="1"/>
  <c r="Q2710" i="1" s="1"/>
  <c r="P2710" i="1" l="1"/>
  <c r="R2710" i="1" l="1"/>
  <c r="Q2711" i="1" s="1"/>
  <c r="P2711" i="1" l="1"/>
  <c r="R2711" i="1" l="1"/>
  <c r="Q2712" i="1" s="1"/>
  <c r="P2712" i="1" l="1"/>
  <c r="R2712" i="1" l="1"/>
  <c r="Q2713" i="1" s="1"/>
  <c r="P2713" i="1" l="1"/>
  <c r="R2713" i="1" l="1"/>
  <c r="Q2714" i="1" s="1"/>
  <c r="P2714" i="1" l="1"/>
  <c r="R2714" i="1" l="1"/>
  <c r="Q2715" i="1" s="1"/>
  <c r="P2715" i="1" l="1"/>
  <c r="R2715" i="1" l="1"/>
  <c r="Q2716" i="1" s="1"/>
  <c r="P2716" i="1" l="1"/>
  <c r="R2716" i="1" l="1"/>
  <c r="Q2717" i="1" s="1"/>
  <c r="P2717" i="1" l="1"/>
  <c r="R2717" i="1" l="1"/>
  <c r="Q2718" i="1" s="1"/>
  <c r="P2718" i="1" l="1"/>
  <c r="R2718" i="1" l="1"/>
  <c r="Q2719" i="1" s="1"/>
  <c r="P2719" i="1" l="1"/>
  <c r="R2719" i="1" l="1"/>
  <c r="Q2720" i="1" s="1"/>
  <c r="P2720" i="1" l="1"/>
  <c r="R2720" i="1" l="1"/>
  <c r="Q2721" i="1" s="1"/>
  <c r="P2721" i="1" l="1"/>
  <c r="R2721" i="1" l="1"/>
  <c r="Q2722" i="1" s="1"/>
  <c r="P2722" i="1" l="1"/>
  <c r="R2722" i="1" l="1"/>
  <c r="Q2723" i="1" s="1"/>
  <c r="P2723" i="1" l="1"/>
  <c r="R2723" i="1" l="1"/>
  <c r="Q2724" i="1" s="1"/>
  <c r="P2724" i="1" l="1"/>
  <c r="R2724" i="1" l="1"/>
  <c r="Q2725" i="1" s="1"/>
  <c r="P2725" i="1" l="1"/>
  <c r="R2725" i="1" l="1"/>
  <c r="Q2726" i="1" s="1"/>
  <c r="P2726" i="1" l="1"/>
  <c r="R2726" i="1" l="1"/>
  <c r="Q2727" i="1" s="1"/>
  <c r="P2727" i="1" l="1"/>
  <c r="R2727" i="1" l="1"/>
  <c r="Q2728" i="1" s="1"/>
  <c r="P2728" i="1" l="1"/>
  <c r="R2728" i="1" l="1"/>
</calcChain>
</file>

<file path=xl/comments1.xml><?xml version="1.0" encoding="utf-8"?>
<comments xmlns="http://schemas.openxmlformats.org/spreadsheetml/2006/main">
  <authors>
    <author>jhv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jhv:</t>
        </r>
        <r>
          <rPr>
            <sz val="9"/>
            <color indexed="81"/>
            <rFont val="Tahoma"/>
            <family val="2"/>
          </rPr>
          <t xml:space="preserve">
For some reason, having a higher amount is more accurate. Didn't want to investigate why.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jhv:</t>
        </r>
        <r>
          <rPr>
            <sz val="9"/>
            <color indexed="81"/>
            <rFont val="Tahoma"/>
            <family val="2"/>
          </rPr>
          <t xml:space="preserve">
CalcCreditPay is the mathematical formula which gets a pretty decent approximation. This value is used to generate columns H through L for comparison purposes only.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jhv:</t>
        </r>
        <r>
          <rPr>
            <sz val="9"/>
            <color indexed="81"/>
            <rFont val="Tahoma"/>
            <family val="2"/>
          </rPr>
          <t xml:space="preserve">
This is the value that Excel "solves for', it’s the payment amount that goes into the table in N-R (note this is a per-day calculated table, not per month).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>jhv:</t>
        </r>
        <r>
          <rPr>
            <sz val="9"/>
            <color indexed="81"/>
            <rFont val="Tahoma"/>
            <family val="2"/>
          </rPr>
          <t xml:space="preserve">
Just a counter, needed by the written functions. Do not change, the functions will change it as needed.</t>
        </r>
      </text>
    </comment>
    <comment ref="B10" authorId="0">
      <text>
        <r>
          <rPr>
            <b/>
            <sz val="9"/>
            <color indexed="81"/>
            <rFont val="Tahoma"/>
            <family val="2"/>
          </rPr>
          <t>jhv:</t>
        </r>
        <r>
          <rPr>
            <sz val="9"/>
            <color indexed="81"/>
            <rFont val="Tahoma"/>
            <family val="2"/>
          </rPr>
          <t xml:space="preserve">
Average number of Days per month. Technically 30.5 is closer, but rounded up to last payment is always less than needed.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jhv:</t>
        </r>
        <r>
          <rPr>
            <sz val="9"/>
            <color indexed="81"/>
            <rFont val="Tahoma"/>
            <family val="2"/>
          </rPr>
          <t xml:space="preserve">
Extensions increase the maximum term of a loan beyond its originally inteded amount. Beyond 12 may have limitiations on UI and SPs as of 1-31-2016.</t>
        </r>
      </text>
    </comment>
  </commentList>
</comments>
</file>

<file path=xl/sharedStrings.xml><?xml version="1.0" encoding="utf-8"?>
<sst xmlns="http://schemas.openxmlformats.org/spreadsheetml/2006/main" count="48" uniqueCount="37">
  <si>
    <t>Promo Rate</t>
  </si>
  <si>
    <t>Promo Term</t>
  </si>
  <si>
    <t>Standard APR</t>
  </si>
  <si>
    <t>Max Term</t>
  </si>
  <si>
    <t>Balance</t>
  </si>
  <si>
    <t>Payment</t>
  </si>
  <si>
    <t>Principal</t>
  </si>
  <si>
    <t>Interest</t>
  </si>
  <si>
    <t>CalcCreditPay</t>
  </si>
  <si>
    <t>Traditional</t>
  </si>
  <si>
    <t>Smooth Payments</t>
  </si>
  <si>
    <t>MinPayRate</t>
  </si>
  <si>
    <t>Manual Payment</t>
  </si>
  <si>
    <t>CreditTypeID</t>
  </si>
  <si>
    <t>RatePromo</t>
  </si>
  <si>
    <t>TermPromo</t>
  </si>
  <si>
    <t>RateStd</t>
  </si>
  <si>
    <t>TermMax</t>
  </si>
  <si>
    <t>LineCount</t>
  </si>
  <si>
    <t>Truncate Table BlueCreditTypeRainbow</t>
  </si>
  <si>
    <t>2) Paste SQL Results here</t>
  </si>
  <si>
    <t>1) Run SQL:</t>
  </si>
  <si>
    <t>4) Execute SQL:</t>
  </si>
  <si>
    <t>3) Press "Process Blue Credit"</t>
  </si>
  <si>
    <t>Number of Days</t>
  </si>
  <si>
    <t>2) Paste SQL  Results in grid on the right (columns T to X)</t>
  </si>
  <si>
    <t>4) Execute SQL code to Update BlueCreditType table (Column G)</t>
  </si>
  <si>
    <t>MaxExtensions</t>
  </si>
  <si>
    <t>Notes</t>
  </si>
  <si>
    <t xml:space="preserve">Column A represents the Values currently used. </t>
  </si>
  <si>
    <t>Column B Represents the day counts when "months" would end  based on Column A.</t>
  </si>
  <si>
    <t>Column C is a backup of the "worse case" scenario.</t>
  </si>
  <si>
    <t>All these columns are helping to bring the average number of days per month down from 31 to 30.4 or 30.5 (ie column D)</t>
  </si>
  <si>
    <t>Column D is the average number of days per Month ideally approaching 365/12 which is approximately 30.4</t>
  </si>
  <si>
    <t>https://financial-calculators.com/amortization-schedule</t>
  </si>
  <si>
    <t>Extra Calc:</t>
  </si>
  <si>
    <t>select credittypeid, ratepromo, termpromo, ratestd, termmax from bluecredittype where credittypeid &gt; 0 and termpromo &lt;&gt;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</si>
</sst>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_);[Red]\(&quot;$&quot;#,##0.00\)"/>
    <numFmt numFmtId="164" formatCode="0.000000%"/>
    <numFmt numFmtId="165" formatCode="0.0"/>
    <numFmt numFmtId="166" formatCode="0.000000000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4" tint="-0.499984740745262"/>
        <bgColor indexed="64"/>
      </patternFill>
    </fill>
  </fills>
  <borders count="6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10" fontId="0" fillId="0" borderId="0" xfId="0" applyNumberFormat="1"/>
    <xf numFmtId="164" fontId="0" fillId="0" borderId="0" xfId="0" applyNumberFormat="1"/>
    <xf numFmtId="8" fontId="0" fillId="0" borderId="0" xfId="0" applyNumberFormat="1"/>
    <xf numFmtId="0" fontId="0" fillId="0" borderId="1" xfId="0" applyBorder="1"/>
    <xf numFmtId="14" fontId="0" fillId="0" borderId="0" xfId="0" applyNumberFormat="1" applyBorder="1"/>
    <xf numFmtId="0" fontId="0" fillId="0" borderId="0" xfId="0" applyBorder="1"/>
    <xf numFmtId="0" fontId="0" fillId="0" borderId="2" xfId="0" applyBorder="1"/>
    <xf numFmtId="8" fontId="0" fillId="0" borderId="0" xfId="0" applyNumberFormat="1" applyBorder="1"/>
    <xf numFmtId="8" fontId="0" fillId="0" borderId="2" xfId="0" applyNumberFormat="1" applyBorder="1"/>
    <xf numFmtId="165" fontId="0" fillId="2" borderId="0" xfId="0" applyNumberFormat="1" applyFill="1"/>
    <xf numFmtId="1" fontId="0" fillId="2" borderId="0" xfId="0" applyNumberFormat="1" applyFill="1"/>
    <xf numFmtId="0" fontId="0" fillId="2" borderId="0" xfId="0" applyFill="1"/>
    <xf numFmtId="0" fontId="3" fillId="0" borderId="0" xfId="0" applyFont="1"/>
    <xf numFmtId="0" fontId="2" fillId="3" borderId="0" xfId="0" applyFont="1" applyFill="1" applyAlignment="1"/>
    <xf numFmtId="8" fontId="0" fillId="2" borderId="0" xfId="0" applyNumberFormat="1" applyFill="1"/>
    <xf numFmtId="166" fontId="0" fillId="0" borderId="0" xfId="0" applyNumberFormat="1"/>
    <xf numFmtId="0" fontId="2" fillId="3" borderId="0" xfId="0" applyFont="1" applyFill="1" applyAlignment="1">
      <alignment horizontal="left"/>
    </xf>
    <xf numFmtId="0" fontId="2" fillId="3" borderId="2" xfId="0" applyFont="1" applyFill="1" applyBorder="1" applyAlignment="1">
      <alignment horizontal="left"/>
    </xf>
    <xf numFmtId="0" fontId="2" fillId="3" borderId="0" xfId="0" applyFont="1" applyFill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2" fillId="3" borderId="0" xfId="0" applyFont="1" applyFill="1" applyAlignment="1">
      <alignment horizontal="left" wrapText="1"/>
    </xf>
    <xf numFmtId="0" fontId="2" fillId="3" borderId="2" xfId="0" applyFont="1" applyFill="1" applyBorder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0</xdr:row>
          <xdr:rowOff>123825</xdr:rowOff>
        </xdr:from>
        <xdr:to>
          <xdr:col>3</xdr:col>
          <xdr:colOff>400050</xdr:colOff>
          <xdr:row>2</xdr:row>
          <xdr:rowOff>142875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Goal Seek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3</xdr:row>
          <xdr:rowOff>28575</xdr:rowOff>
        </xdr:from>
        <xdr:to>
          <xdr:col>3</xdr:col>
          <xdr:colOff>419100</xdr:colOff>
          <xdr:row>5</xdr:row>
          <xdr:rowOff>76200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Rainbow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5</xdr:row>
          <xdr:rowOff>133350</xdr:rowOff>
        </xdr:from>
        <xdr:to>
          <xdr:col>3</xdr:col>
          <xdr:colOff>419100</xdr:colOff>
          <xdr:row>8</xdr:row>
          <xdr:rowOff>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BlueCredit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959"/>
  <sheetViews>
    <sheetView tabSelected="1" workbookViewId="0">
      <selection activeCell="F2" sqref="F2:G3"/>
    </sheetView>
  </sheetViews>
  <sheetFormatPr defaultRowHeight="15" outlineLevelCol="1" x14ac:dyDescent="0.25"/>
  <cols>
    <col min="1" max="1" width="16" bestFit="1" customWidth="1"/>
    <col min="2" max="2" width="15.28515625" bestFit="1" customWidth="1"/>
    <col min="3" max="3" width="12.42578125" bestFit="1" customWidth="1"/>
    <col min="4" max="4" width="9.28515625" bestFit="1" customWidth="1"/>
    <col min="5" max="5" width="11.5703125" bestFit="1" customWidth="1"/>
    <col min="6" max="6" width="12" bestFit="1" customWidth="1"/>
    <col min="7" max="7" width="71.5703125" customWidth="1"/>
    <col min="8" max="8" width="10.7109375" hidden="1" customWidth="1" outlineLevel="1"/>
    <col min="9" max="9" width="10.85546875" hidden="1" customWidth="1" outlineLevel="1"/>
    <col min="10" max="10" width="16.28515625" hidden="1" customWidth="1" outlineLevel="1"/>
    <col min="11" max="12" width="15.5703125" hidden="1" customWidth="1" outlineLevel="1"/>
    <col min="13" max="13" width="9.140625" collapsed="1"/>
    <col min="14" max="14" width="9.140625" customWidth="1" outlineLevel="1"/>
    <col min="15" max="15" width="17.28515625" customWidth="1" outlineLevel="1"/>
    <col min="16" max="16" width="16.28515625" customWidth="1" outlineLevel="1"/>
    <col min="17" max="17" width="15.5703125" customWidth="1" outlineLevel="1"/>
    <col min="18" max="18" width="20" customWidth="1" outlineLevel="1"/>
    <col min="19" max="19" width="12" bestFit="1" customWidth="1"/>
    <col min="20" max="20" width="12.5703125" bestFit="1" customWidth="1"/>
    <col min="21" max="21" width="10.85546875" bestFit="1" customWidth="1"/>
    <col min="22" max="22" width="11.42578125" bestFit="1" customWidth="1"/>
    <col min="23" max="23" width="7.85546875" bestFit="1" customWidth="1"/>
    <col min="24" max="24" width="9.28515625" bestFit="1" customWidth="1"/>
    <col min="25" max="25" width="14.7109375" bestFit="1" customWidth="1"/>
  </cols>
  <sheetData>
    <row r="1" spans="1:24" ht="15.75" thickBot="1" x14ac:dyDescent="0.3">
      <c r="A1" s="1" t="s">
        <v>0</v>
      </c>
      <c r="B1" s="10">
        <v>0</v>
      </c>
      <c r="H1" s="21" t="s">
        <v>9</v>
      </c>
      <c r="I1" s="22"/>
      <c r="J1" s="22"/>
      <c r="K1" s="22"/>
      <c r="L1" s="23"/>
      <c r="N1" s="21" t="s">
        <v>10</v>
      </c>
      <c r="O1" s="22"/>
      <c r="P1" s="22"/>
      <c r="Q1" s="22"/>
      <c r="R1" s="23"/>
      <c r="T1" s="19" t="s">
        <v>20</v>
      </c>
      <c r="U1" s="19"/>
      <c r="V1" s="19"/>
      <c r="W1" s="19"/>
      <c r="X1" s="20"/>
    </row>
    <row r="2" spans="1:24" ht="15" customHeight="1" x14ac:dyDescent="0.25">
      <c r="A2" s="2" t="s">
        <v>1</v>
      </c>
      <c r="B2" s="11">
        <v>0</v>
      </c>
      <c r="E2" s="14" t="s">
        <v>21</v>
      </c>
      <c r="F2" s="24" t="s">
        <v>36</v>
      </c>
      <c r="G2" s="25"/>
      <c r="H2" s="4"/>
      <c r="I2" s="5" t="s">
        <v>5</v>
      </c>
      <c r="J2" s="6" t="s">
        <v>6</v>
      </c>
      <c r="K2" s="6" t="s">
        <v>7</v>
      </c>
      <c r="L2" s="7" t="s">
        <v>4</v>
      </c>
      <c r="N2" s="4"/>
      <c r="O2" s="5" t="s">
        <v>5</v>
      </c>
      <c r="P2" s="6" t="s">
        <v>6</v>
      </c>
      <c r="Q2" s="6" t="s">
        <v>7</v>
      </c>
      <c r="R2" s="7" t="s">
        <v>4</v>
      </c>
      <c r="T2" t="s">
        <v>13</v>
      </c>
      <c r="U2" t="s">
        <v>14</v>
      </c>
      <c r="V2" t="s">
        <v>15</v>
      </c>
      <c r="W2" t="s">
        <v>16</v>
      </c>
      <c r="X2" t="s">
        <v>17</v>
      </c>
    </row>
    <row r="3" spans="1:24" x14ac:dyDescent="0.25">
      <c r="A3" t="s">
        <v>2</v>
      </c>
      <c r="B3" s="12">
        <v>14.9</v>
      </c>
      <c r="E3" s="14"/>
      <c r="F3" s="24"/>
      <c r="G3" s="25"/>
      <c r="H3" s="4">
        <v>0</v>
      </c>
      <c r="I3" s="8">
        <v>0</v>
      </c>
      <c r="J3" s="8">
        <v>0</v>
      </c>
      <c r="K3" s="8">
        <v>0</v>
      </c>
      <c r="L3" s="9">
        <f>$B$5</f>
        <v>1000000</v>
      </c>
      <c r="N3" s="4">
        <v>0</v>
      </c>
      <c r="O3" s="8"/>
      <c r="P3" s="8">
        <v>0</v>
      </c>
      <c r="Q3" s="8">
        <v>0</v>
      </c>
      <c r="R3" s="9">
        <f>$B$5</f>
        <v>1000000</v>
      </c>
      <c r="T3">
        <v>1</v>
      </c>
      <c r="U3">
        <v>0</v>
      </c>
      <c r="V3">
        <v>3</v>
      </c>
      <c r="W3">
        <v>14.9</v>
      </c>
      <c r="X3">
        <v>18</v>
      </c>
    </row>
    <row r="4" spans="1:24" x14ac:dyDescent="0.25">
      <c r="A4" t="s">
        <v>3</v>
      </c>
      <c r="B4" s="12">
        <v>72</v>
      </c>
      <c r="E4" s="17" t="s">
        <v>25</v>
      </c>
      <c r="F4" s="17"/>
      <c r="G4" s="18"/>
      <c r="H4" s="4">
        <v>1</v>
      </c>
      <c r="I4" s="8">
        <f ca="1">$B$6</f>
        <v>21090.744593075015</v>
      </c>
      <c r="J4" s="8">
        <f t="shared" ref="J4:J20" ca="1" si="0">I4-K4</f>
        <v>8674.0779264083485</v>
      </c>
      <c r="K4" s="8">
        <f>L3*(IF(H4&lt;=$B$2,$B$1/1200,$B$3/1200))</f>
        <v>12416.666666666666</v>
      </c>
      <c r="L4" s="9">
        <f ca="1">L3+K4-I4</f>
        <v>991325.92207359162</v>
      </c>
      <c r="N4" s="4">
        <v>1</v>
      </c>
      <c r="O4" s="8">
        <f>$B$7*COUNTIF(Sheet2!$B$1:$B$132,N4)</f>
        <v>0</v>
      </c>
      <c r="P4" s="8">
        <f ca="1">IF(O4-Q4&gt; 0, O4-Q4, 0)</f>
        <v>0</v>
      </c>
      <c r="Q4" s="8">
        <f ca="1">CEILING(R3*(IF(N4&lt;=IF($B$2=0,0,OFFSET(Sheet2!$B$1,Sheet1!$B$2-1,0)),$B$1/(365*100),$B$3/(365*100)))*100,1)/100</f>
        <v>408.22</v>
      </c>
      <c r="R4" s="9">
        <f ca="1">R3+Q4-O4</f>
        <v>1000408.22</v>
      </c>
      <c r="T4">
        <v>2</v>
      </c>
      <c r="U4">
        <v>0</v>
      </c>
      <c r="V4">
        <v>6</v>
      </c>
      <c r="W4">
        <v>16.899999999999999</v>
      </c>
      <c r="X4">
        <v>24</v>
      </c>
    </row>
    <row r="5" spans="1:24" x14ac:dyDescent="0.25">
      <c r="A5" t="s">
        <v>4</v>
      </c>
      <c r="B5" s="15">
        <v>1000000</v>
      </c>
      <c r="E5" s="17" t="s">
        <v>23</v>
      </c>
      <c r="F5" s="17"/>
      <c r="G5" s="18"/>
      <c r="H5" s="4">
        <v>2</v>
      </c>
      <c r="I5" s="8">
        <f t="shared" ref="I5:I69" ca="1" si="1">$B$6</f>
        <v>21090.744593075015</v>
      </c>
      <c r="J5" s="8">
        <f t="shared" ca="1" si="0"/>
        <v>8781.7810606612529</v>
      </c>
      <c r="K5" s="8">
        <f t="shared" ref="K5:K68" ca="1" si="2">L4*(IF(H5&lt;=$B$2,$B$1/1200,$B$3/1200))</f>
        <v>12308.963532413762</v>
      </c>
      <c r="L5" s="9">
        <f t="shared" ref="L5:L68" ca="1" si="3">L4+K5-I5</f>
        <v>982544.14101293031</v>
      </c>
      <c r="N5" s="4">
        <v>2</v>
      </c>
      <c r="O5" s="8">
        <f>$B$7*COUNTIF(Sheet2!$B$1:$B$132,N5)</f>
        <v>0</v>
      </c>
      <c r="P5" s="8">
        <f t="shared" ref="P5:P68" ca="1" si="4">IF(O5-Q5&gt; 0, O5-Q5, 0)</f>
        <v>0</v>
      </c>
      <c r="Q5" s="8">
        <f ca="1">CEILING(R4*(IF(N5&lt;=IF($B$2=0,0,OFFSET(Sheet2!$B$1,Sheet1!$B$2-1,0)),$B$1/(365*100),$B$3/(365*100)))*100,1)/100</f>
        <v>408.39</v>
      </c>
      <c r="R5" s="9">
        <f t="shared" ref="R5:R19" ca="1" si="5">R4+Q5-O5</f>
        <v>1000816.61</v>
      </c>
      <c r="T5">
        <v>3</v>
      </c>
      <c r="U5">
        <v>0</v>
      </c>
      <c r="V5">
        <v>9</v>
      </c>
      <c r="W5">
        <v>18.899999999999999</v>
      </c>
      <c r="X5">
        <v>30</v>
      </c>
    </row>
    <row r="6" spans="1:24" x14ac:dyDescent="0.25">
      <c r="A6" t="s">
        <v>8</v>
      </c>
      <c r="B6" s="3">
        <f ca="1">OFFSET(L3,0,0)/(1-1/(1+$B$3/1200)^($B$4-$B$2))*$B$3/1200</f>
        <v>21090.744593075015</v>
      </c>
      <c r="E6" s="17" t="s">
        <v>26</v>
      </c>
      <c r="F6" s="17"/>
      <c r="G6" s="18"/>
      <c r="H6" s="4">
        <v>3</v>
      </c>
      <c r="I6" s="8">
        <f t="shared" ca="1" si="1"/>
        <v>21090.744593075015</v>
      </c>
      <c r="J6" s="8">
        <f t="shared" ca="1" si="0"/>
        <v>8890.8215088311299</v>
      </c>
      <c r="K6" s="8">
        <f t="shared" ca="1" si="2"/>
        <v>12199.923084243885</v>
      </c>
      <c r="L6" s="9">
        <f t="shared" ca="1" si="3"/>
        <v>973653.3195040992</v>
      </c>
      <c r="N6" s="4">
        <v>3</v>
      </c>
      <c r="O6" s="8">
        <f>$B$7*COUNTIF(Sheet2!$B$1:$B$132,N6)</f>
        <v>0</v>
      </c>
      <c r="P6" s="8">
        <f t="shared" ca="1" si="4"/>
        <v>0</v>
      </c>
      <c r="Q6" s="8">
        <f ca="1">CEILING(R5*(IF(N6&lt;=IF($B$2=0,0,OFFSET(Sheet2!$B$1,Sheet1!$B$2-1,0)),$B$1/(365*100),$B$3/(365*100)))*100,1)/100</f>
        <v>408.56</v>
      </c>
      <c r="R6" s="9">
        <f t="shared" ca="1" si="5"/>
        <v>1001225.17</v>
      </c>
      <c r="T6">
        <v>4</v>
      </c>
      <c r="U6">
        <v>0</v>
      </c>
      <c r="V6">
        <v>12</v>
      </c>
      <c r="W6">
        <v>22.9</v>
      </c>
      <c r="X6">
        <v>36</v>
      </c>
    </row>
    <row r="7" spans="1:24" x14ac:dyDescent="0.25">
      <c r="A7" t="s">
        <v>12</v>
      </c>
      <c r="B7" s="3">
        <v>21157.10552356458</v>
      </c>
      <c r="H7" s="4">
        <v>4</v>
      </c>
      <c r="I7" s="8">
        <f t="shared" ca="1" si="1"/>
        <v>21090.744593075015</v>
      </c>
      <c r="J7" s="8">
        <f ca="1">I7-K7</f>
        <v>9001.2158758991172</v>
      </c>
      <c r="K7" s="8">
        <f t="shared" ca="1" si="2"/>
        <v>12089.528717175897</v>
      </c>
      <c r="L7" s="9">
        <f t="shared" ca="1" si="3"/>
        <v>964652.10362820013</v>
      </c>
      <c r="N7" s="4">
        <v>4</v>
      </c>
      <c r="O7" s="8">
        <f>$B$7*COUNTIF(Sheet2!$B$1:$B$132,N7)</f>
        <v>0</v>
      </c>
      <c r="P7" s="8">
        <f t="shared" ca="1" si="4"/>
        <v>0</v>
      </c>
      <c r="Q7" s="8">
        <f ca="1">CEILING(R6*(IF(N7&lt;=IF($B$2=0,0,OFFSET(Sheet2!$B$1,Sheet1!$B$2-1,0)),$B$1/(365*100),$B$3/(365*100)))*100,1)/100</f>
        <v>408.72</v>
      </c>
      <c r="R7" s="9">
        <f t="shared" ca="1" si="5"/>
        <v>1001633.89</v>
      </c>
      <c r="T7">
        <v>5</v>
      </c>
      <c r="U7">
        <v>0</v>
      </c>
      <c r="V7">
        <v>18</v>
      </c>
      <c r="W7">
        <v>24.9</v>
      </c>
      <c r="X7">
        <v>42</v>
      </c>
    </row>
    <row r="8" spans="1:24" x14ac:dyDescent="0.25">
      <c r="A8" t="s">
        <v>11</v>
      </c>
      <c r="B8">
        <f>$B$7/$B$5</f>
        <v>2.115710552356458E-2</v>
      </c>
      <c r="E8" t="s">
        <v>35</v>
      </c>
      <c r="F8" t="s">
        <v>34</v>
      </c>
      <c r="H8" s="4">
        <v>5</v>
      </c>
      <c r="I8" s="8">
        <f t="shared" ca="1" si="1"/>
        <v>21090.744593075015</v>
      </c>
      <c r="J8" s="8">
        <f t="shared" ca="1" si="0"/>
        <v>9112.9809730248635</v>
      </c>
      <c r="K8" s="8">
        <f t="shared" ca="1" si="2"/>
        <v>11977.763620050151</v>
      </c>
      <c r="L8" s="9">
        <f t="shared" ca="1" si="3"/>
        <v>955539.12265517528</v>
      </c>
      <c r="N8" s="4">
        <v>5</v>
      </c>
      <c r="O8" s="8">
        <f>$B$7*COUNTIF(Sheet2!$B$1:$B$132,N8)</f>
        <v>0</v>
      </c>
      <c r="P8" s="8">
        <f t="shared" ca="1" si="4"/>
        <v>0</v>
      </c>
      <c r="Q8" s="8">
        <f ca="1">CEILING(R7*(IF(N8&lt;=IF($B$2=0,0,OFFSET(Sheet2!$B$1,Sheet1!$B$2-1,0)),$B$1/(365*100),$B$3/(365*100)))*100,1)/100</f>
        <v>408.89</v>
      </c>
      <c r="R8" s="9">
        <f t="shared" ca="1" si="5"/>
        <v>1002042.78</v>
      </c>
      <c r="T8">
        <v>6</v>
      </c>
      <c r="U8">
        <v>0</v>
      </c>
      <c r="V8">
        <v>24</v>
      </c>
      <c r="W8">
        <v>26.9</v>
      </c>
      <c r="X8">
        <v>48</v>
      </c>
    </row>
    <row r="9" spans="1:24" x14ac:dyDescent="0.25">
      <c r="A9" t="s">
        <v>18</v>
      </c>
      <c r="B9">
        <v>2041</v>
      </c>
      <c r="H9" s="4">
        <v>6</v>
      </c>
      <c r="I9" s="8">
        <f t="shared" ca="1" si="1"/>
        <v>21090.744593075015</v>
      </c>
      <c r="J9" s="8">
        <f t="shared" ca="1" si="0"/>
        <v>9226.1338201065882</v>
      </c>
      <c r="K9" s="8">
        <f t="shared" ca="1" si="2"/>
        <v>11864.610772968426</v>
      </c>
      <c r="L9" s="9">
        <f t="shared" ca="1" si="3"/>
        <v>946312.98883506865</v>
      </c>
      <c r="N9" s="4">
        <v>6</v>
      </c>
      <c r="O9" s="8">
        <f>$B$7*COUNTIF(Sheet2!$B$1:$B$132,N9)</f>
        <v>0</v>
      </c>
      <c r="P9" s="8">
        <f t="shared" ca="1" si="4"/>
        <v>0</v>
      </c>
      <c r="Q9" s="8">
        <f ca="1">CEILING(R8*(IF(N9&lt;=IF($B$2=0,0,OFFSET(Sheet2!$B$1,Sheet1!$B$2-1,0)),$B$1/(365*100),$B$3/(365*100)))*100,1)/100</f>
        <v>409.06</v>
      </c>
      <c r="R9" s="9">
        <f t="shared" ca="1" si="5"/>
        <v>1002451.8400000001</v>
      </c>
      <c r="T9">
        <v>11</v>
      </c>
      <c r="U9">
        <v>2.9</v>
      </c>
      <c r="V9">
        <v>3</v>
      </c>
      <c r="W9">
        <v>12.9</v>
      </c>
      <c r="X9">
        <v>12</v>
      </c>
    </row>
    <row r="10" spans="1:24" x14ac:dyDescent="0.25">
      <c r="A10" t="s">
        <v>24</v>
      </c>
      <c r="B10">
        <v>30</v>
      </c>
      <c r="H10" s="4">
        <v>7</v>
      </c>
      <c r="I10" s="8">
        <f t="shared" ca="1" si="1"/>
        <v>21090.744593075015</v>
      </c>
      <c r="J10" s="8">
        <f t="shared" ca="1" si="0"/>
        <v>9340.6916483729128</v>
      </c>
      <c r="K10" s="8">
        <f t="shared" ca="1" si="2"/>
        <v>11750.052944702102</v>
      </c>
      <c r="L10" s="9">
        <f t="shared" ca="1" si="3"/>
        <v>936972.29718669574</v>
      </c>
      <c r="N10" s="4">
        <v>7</v>
      </c>
      <c r="O10" s="8">
        <f>$B$7*COUNTIF(Sheet2!$B$1:$B$132,N10)</f>
        <v>0</v>
      </c>
      <c r="P10" s="8">
        <f t="shared" ca="1" si="4"/>
        <v>0</v>
      </c>
      <c r="Q10" s="8">
        <f ca="1">CEILING(R9*(IF(N10&lt;=IF($B$2=0,0,OFFSET(Sheet2!$B$1,Sheet1!$B$2-1,0)),$B$1/(365*100),$B$3/(365*100)))*100,1)/100</f>
        <v>409.23</v>
      </c>
      <c r="R10" s="9">
        <f t="shared" ca="1" si="5"/>
        <v>1002861.0700000001</v>
      </c>
      <c r="T10">
        <v>12</v>
      </c>
      <c r="U10">
        <v>3.9</v>
      </c>
      <c r="V10">
        <v>6</v>
      </c>
      <c r="W10">
        <v>13.9</v>
      </c>
      <c r="X10">
        <v>12</v>
      </c>
    </row>
    <row r="11" spans="1:24" x14ac:dyDescent="0.25">
      <c r="A11" t="s">
        <v>27</v>
      </c>
      <c r="B11">
        <v>12</v>
      </c>
      <c r="H11" s="4">
        <v>8</v>
      </c>
      <c r="I11" s="8">
        <f t="shared" ca="1" si="1"/>
        <v>21090.744593075015</v>
      </c>
      <c r="J11" s="8">
        <f t="shared" ca="1" si="0"/>
        <v>9456.6719030068762</v>
      </c>
      <c r="K11" s="8">
        <f t="shared" ca="1" si="2"/>
        <v>11634.072690068138</v>
      </c>
      <c r="L11" s="9">
        <f t="shared" ca="1" si="3"/>
        <v>927515.62528368889</v>
      </c>
      <c r="N11" s="4">
        <v>8</v>
      </c>
      <c r="O11" s="8">
        <f>$B$7*COUNTIF(Sheet2!$B$1:$B$132,N11)</f>
        <v>0</v>
      </c>
      <c r="P11" s="8">
        <f t="shared" ca="1" si="4"/>
        <v>0</v>
      </c>
      <c r="Q11" s="8">
        <f ca="1">CEILING(R10*(IF(N11&lt;=IF($B$2=0,0,OFFSET(Sheet2!$B$1,Sheet1!$B$2-1,0)),$B$1/(365*100),$B$3/(365*100)))*100,1)/100</f>
        <v>409.39</v>
      </c>
      <c r="R11" s="9">
        <f t="shared" ca="1" si="5"/>
        <v>1003270.4600000001</v>
      </c>
      <c r="T11">
        <v>13</v>
      </c>
      <c r="U11">
        <v>5.9</v>
      </c>
      <c r="V11">
        <v>9</v>
      </c>
      <c r="W11">
        <v>15.9</v>
      </c>
      <c r="X11">
        <v>18</v>
      </c>
    </row>
    <row r="12" spans="1:24" x14ac:dyDescent="0.25">
      <c r="G12" s="14" t="s">
        <v>22</v>
      </c>
      <c r="H12" s="4">
        <v>9</v>
      </c>
      <c r="I12" s="8">
        <f t="shared" ca="1" si="1"/>
        <v>21090.744593075015</v>
      </c>
      <c r="J12" s="8">
        <f t="shared" ref="J12" ca="1" si="6">I12-K12</f>
        <v>9574.0922458025452</v>
      </c>
      <c r="K12" s="8">
        <f t="shared" ref="K12" ca="1" si="7">L11*(IF(H12&lt;=$B$2,$B$1/1200,$B$3/1200))</f>
        <v>11516.652347272469</v>
      </c>
      <c r="L12" s="9">
        <f t="shared" ca="1" si="3"/>
        <v>917941.53303788637</v>
      </c>
      <c r="N12" s="4">
        <v>9</v>
      </c>
      <c r="O12" s="8">
        <f>$B$7*COUNTIF(Sheet2!$B$1:$B$132,N12)</f>
        <v>0</v>
      </c>
      <c r="P12" s="8">
        <f t="shared" ca="1" si="4"/>
        <v>0</v>
      </c>
      <c r="Q12" s="8">
        <f ca="1">CEILING(R11*(IF(N12&lt;=IF($B$2=0,0,OFFSET(Sheet2!$B$1,Sheet1!$B$2-1,0)),$B$1/(365*100),$B$3/(365*100)))*100,1)/100</f>
        <v>409.56</v>
      </c>
      <c r="R12" s="9">
        <f ca="1">R11+Q12-O12</f>
        <v>1003680.0200000001</v>
      </c>
      <c r="T12">
        <v>14</v>
      </c>
      <c r="U12">
        <v>6.9</v>
      </c>
      <c r="V12">
        <v>12</v>
      </c>
      <c r="W12">
        <v>16.899999999999999</v>
      </c>
      <c r="X12">
        <v>24</v>
      </c>
    </row>
    <row r="13" spans="1:24" x14ac:dyDescent="0.25">
      <c r="A13" s="13" t="s">
        <v>13</v>
      </c>
      <c r="B13" s="13" t="s">
        <v>14</v>
      </c>
      <c r="C13" s="13" t="s">
        <v>15</v>
      </c>
      <c r="D13" s="13" t="s">
        <v>16</v>
      </c>
      <c r="E13" s="13" t="s">
        <v>17</v>
      </c>
      <c r="F13" s="13" t="s">
        <v>11</v>
      </c>
      <c r="G13" t="s">
        <v>19</v>
      </c>
      <c r="H13" s="4">
        <v>10</v>
      </c>
      <c r="I13" s="8">
        <f t="shared" ca="1" si="1"/>
        <v>21090.744593075015</v>
      </c>
      <c r="J13" s="8">
        <f t="shared" ca="1" si="0"/>
        <v>9692.9705578545927</v>
      </c>
      <c r="K13" s="8">
        <f t="shared" ca="1" si="2"/>
        <v>11397.774035220422</v>
      </c>
      <c r="L13" s="9">
        <f t="shared" ca="1" si="3"/>
        <v>908248.56248003175</v>
      </c>
      <c r="N13" s="4">
        <v>10</v>
      </c>
      <c r="O13" s="8">
        <f>$B$7*COUNTIF(Sheet2!$B$1:$B$132,N13)</f>
        <v>0</v>
      </c>
      <c r="P13" s="8">
        <f t="shared" ca="1" si="4"/>
        <v>0</v>
      </c>
      <c r="Q13" s="8">
        <f ca="1">CEILING(R12*(IF(N13&lt;=IF($B$2=0,0,OFFSET(Sheet2!$B$1,Sheet1!$B$2-1,0)),$B$1/(365*100),$B$3/(365*100)))*100,1)/100</f>
        <v>409.73</v>
      </c>
      <c r="R13" s="9">
        <f t="shared" ca="1" si="5"/>
        <v>1004089.7500000001</v>
      </c>
      <c r="T13">
        <v>15</v>
      </c>
      <c r="U13">
        <v>8.9</v>
      </c>
      <c r="V13">
        <v>15</v>
      </c>
      <c r="W13">
        <v>18.899999999999999</v>
      </c>
      <c r="X13">
        <v>30</v>
      </c>
    </row>
    <row r="14" spans="1:24" x14ac:dyDescent="0.25">
      <c r="A14">
        <v>1</v>
      </c>
      <c r="B14">
        <v>0</v>
      </c>
      <c r="C14">
        <v>3</v>
      </c>
      <c r="D14">
        <v>14.9</v>
      </c>
      <c r="E14">
        <v>18</v>
      </c>
      <c r="F14">
        <v>6.0253027222222248E-2</v>
      </c>
      <c r="G14" t="str">
        <f>CONCATENATE("Insert into BlueCreditTypeRainbow Values (",A14,", ",B14,", ",C14,", ",D14,", ",E14,", ",F14,")")</f>
        <v>Insert into BlueCreditTypeRainbow Values (1, 0, 3, 14.9, 18, 0.0602530272222222)</v>
      </c>
      <c r="H14" s="4">
        <v>11</v>
      </c>
      <c r="I14" s="8">
        <f t="shared" ca="1" si="1"/>
        <v>21090.744593075015</v>
      </c>
      <c r="J14" s="8">
        <f t="shared" ca="1" si="0"/>
        <v>9813.3249422812878</v>
      </c>
      <c r="K14" s="8">
        <f t="shared" ca="1" si="2"/>
        <v>11277.419650793727</v>
      </c>
      <c r="L14" s="9">
        <f t="shared" ca="1" si="3"/>
        <v>898435.23753775051</v>
      </c>
      <c r="N14" s="4">
        <v>11</v>
      </c>
      <c r="O14" s="8">
        <f>$B$7*COUNTIF(Sheet2!$B$1:$B$132,N14)</f>
        <v>0</v>
      </c>
      <c r="P14" s="8">
        <f t="shared" ca="1" si="4"/>
        <v>0</v>
      </c>
      <c r="Q14" s="8">
        <f ca="1">CEILING(R13*(IF(N14&lt;=IF($B$2=0,0,OFFSET(Sheet2!$B$1,Sheet1!$B$2-1,0)),$B$1/(365*100),$B$3/(365*100)))*100,1)/100</f>
        <v>409.89</v>
      </c>
      <c r="R14" s="9">
        <f t="shared" ca="1" si="5"/>
        <v>1004499.6400000001</v>
      </c>
      <c r="T14">
        <v>16</v>
      </c>
      <c r="U14">
        <v>9.9</v>
      </c>
      <c r="V14">
        <v>18</v>
      </c>
      <c r="W14">
        <v>19.899999999999999</v>
      </c>
      <c r="X14">
        <v>36</v>
      </c>
    </row>
    <row r="15" spans="1:24" x14ac:dyDescent="0.25">
      <c r="A15">
        <v>1</v>
      </c>
      <c r="B15">
        <v>0</v>
      </c>
      <c r="C15">
        <v>3</v>
      </c>
      <c r="D15">
        <v>14.9</v>
      </c>
      <c r="E15">
        <v>19</v>
      </c>
      <c r="F15">
        <v>5.7418202105263147E-2</v>
      </c>
      <c r="G15" t="str">
        <f t="shared" ref="G15:G78" si="8">CONCATENATE("Insert into BlueCreditTypeRainbow Values (",A15,", ",B15,", ",C15,", ",D15,", ",E15,", ",F15,")")</f>
        <v>Insert into BlueCreditTypeRainbow Values (1, 0, 3, 14.9, 19, 0.0574182021052631)</v>
      </c>
      <c r="H15" s="4">
        <v>12</v>
      </c>
      <c r="I15" s="8">
        <f t="shared" ca="1" si="1"/>
        <v>21090.744593075015</v>
      </c>
      <c r="J15" s="8">
        <f t="shared" ca="1" si="0"/>
        <v>9935.1737269812802</v>
      </c>
      <c r="K15" s="8">
        <f t="shared" ca="1" si="2"/>
        <v>11155.570866093734</v>
      </c>
      <c r="L15" s="9">
        <f t="shared" ca="1" si="3"/>
        <v>888500.06381076924</v>
      </c>
      <c r="N15" s="4">
        <v>12</v>
      </c>
      <c r="O15" s="8">
        <f>$B$7*COUNTIF(Sheet2!$B$1:$B$132,N15)</f>
        <v>0</v>
      </c>
      <c r="P15" s="8">
        <f t="shared" ca="1" si="4"/>
        <v>0</v>
      </c>
      <c r="Q15" s="8">
        <f ca="1">CEILING(R14*(IF(N15&lt;=IF($B$2=0,0,OFFSET(Sheet2!$B$1,Sheet1!$B$2-1,0)),$B$1/(365*100),$B$3/(365*100)))*100,1)/100</f>
        <v>410.06</v>
      </c>
      <c r="R15" s="9">
        <f t="shared" ca="1" si="5"/>
        <v>1004909.7000000002</v>
      </c>
      <c r="T15">
        <v>21</v>
      </c>
      <c r="U15">
        <v>0</v>
      </c>
      <c r="V15">
        <v>0</v>
      </c>
      <c r="W15">
        <v>14.9</v>
      </c>
      <c r="X15">
        <v>3</v>
      </c>
    </row>
    <row r="16" spans="1:24" x14ac:dyDescent="0.25">
      <c r="A16">
        <v>1</v>
      </c>
      <c r="B16">
        <v>0</v>
      </c>
      <c r="C16">
        <v>3</v>
      </c>
      <c r="D16">
        <v>14.9</v>
      </c>
      <c r="E16">
        <v>20</v>
      </c>
      <c r="F16">
        <v>5.4868128105632713E-2</v>
      </c>
      <c r="G16" t="str">
        <f t="shared" si="8"/>
        <v>Insert into BlueCreditTypeRainbow Values (1, 0, 3, 14.9, 20, 0.0548681281056327)</v>
      </c>
      <c r="H16" s="4">
        <v>13</v>
      </c>
      <c r="I16" s="8">
        <f t="shared" ca="1" si="1"/>
        <v>21090.744593075015</v>
      </c>
      <c r="J16" s="8">
        <f t="shared" ca="1" si="0"/>
        <v>10058.53546742463</v>
      </c>
      <c r="K16" s="8">
        <f t="shared" ca="1" si="2"/>
        <v>11032.209125650385</v>
      </c>
      <c r="L16" s="9">
        <f t="shared" ca="1" si="3"/>
        <v>878441.52834334457</v>
      </c>
      <c r="N16" s="4">
        <v>13</v>
      </c>
      <c r="O16" s="8">
        <f>$B$7*COUNTIF(Sheet2!$B$1:$B$132,N16)</f>
        <v>0</v>
      </c>
      <c r="P16" s="8">
        <f t="shared" ca="1" si="4"/>
        <v>0</v>
      </c>
      <c r="Q16" s="8">
        <f ca="1">CEILING(R15*(IF(N16&lt;=IF($B$2=0,0,OFFSET(Sheet2!$B$1,Sheet1!$B$2-1,0)),$B$1/(365*100),$B$3/(365*100)))*100,1)/100</f>
        <v>410.23</v>
      </c>
      <c r="R16" s="9">
        <f t="shared" ca="1" si="5"/>
        <v>1005319.9300000002</v>
      </c>
      <c r="T16">
        <v>22</v>
      </c>
      <c r="U16">
        <v>0</v>
      </c>
      <c r="V16">
        <v>0</v>
      </c>
      <c r="W16">
        <v>14.9</v>
      </c>
      <c r="X16">
        <v>6</v>
      </c>
    </row>
    <row r="17" spans="1:25" x14ac:dyDescent="0.25">
      <c r="A17">
        <v>1</v>
      </c>
      <c r="B17">
        <v>0</v>
      </c>
      <c r="C17">
        <v>3</v>
      </c>
      <c r="D17">
        <v>14.9</v>
      </c>
      <c r="E17">
        <v>21</v>
      </c>
      <c r="F17">
        <v>5.2563046190476241E-2</v>
      </c>
      <c r="G17" t="str">
        <f t="shared" si="8"/>
        <v>Insert into BlueCreditTypeRainbow Values (1, 0, 3, 14.9, 21, 0.0525630461904762)</v>
      </c>
      <c r="H17" s="4">
        <v>14</v>
      </c>
      <c r="I17" s="8">
        <f t="shared" ca="1" si="1"/>
        <v>21090.744593075015</v>
      </c>
      <c r="J17" s="8">
        <f t="shared" ca="1" si="0"/>
        <v>10183.428949478486</v>
      </c>
      <c r="K17" s="8">
        <f t="shared" ca="1" si="2"/>
        <v>10907.315643596528</v>
      </c>
      <c r="L17" s="9">
        <f t="shared" ca="1" si="3"/>
        <v>868258.09939386614</v>
      </c>
      <c r="N17" s="4">
        <v>14</v>
      </c>
      <c r="O17" s="8">
        <f>$B$7*COUNTIF(Sheet2!$B$1:$B$132,N17)</f>
        <v>0</v>
      </c>
      <c r="P17" s="8">
        <f t="shared" ca="1" si="4"/>
        <v>0</v>
      </c>
      <c r="Q17" s="8">
        <f ca="1">CEILING(R16*(IF(N17&lt;=IF($B$2=0,0,OFFSET(Sheet2!$B$1,Sheet1!$B$2-1,0)),$B$1/(365*100),$B$3/(365*100)))*100,1)/100</f>
        <v>410.4</v>
      </c>
      <c r="R17" s="9">
        <f t="shared" ca="1" si="5"/>
        <v>1005730.3300000002</v>
      </c>
      <c r="T17">
        <v>23</v>
      </c>
      <c r="U17">
        <v>0</v>
      </c>
      <c r="V17">
        <v>0</v>
      </c>
      <c r="W17">
        <v>14.9</v>
      </c>
      <c r="X17">
        <v>9</v>
      </c>
    </row>
    <row r="18" spans="1:25" x14ac:dyDescent="0.25">
      <c r="A18">
        <v>1</v>
      </c>
      <c r="B18">
        <v>0</v>
      </c>
      <c r="C18">
        <v>3</v>
      </c>
      <c r="D18">
        <v>14.9</v>
      </c>
      <c r="E18">
        <v>22</v>
      </c>
      <c r="F18">
        <v>5.0468592272727333E-2</v>
      </c>
      <c r="G18" t="str">
        <f t="shared" si="8"/>
        <v>Insert into BlueCreditTypeRainbow Values (1, 0, 3, 14.9, 22, 0.0504685922727273)</v>
      </c>
      <c r="H18" s="4">
        <v>15</v>
      </c>
      <c r="I18" s="8">
        <f t="shared" ca="1" si="1"/>
        <v>21090.744593075015</v>
      </c>
      <c r="J18" s="8">
        <f t="shared" ca="1" si="0"/>
        <v>10309.873192267843</v>
      </c>
      <c r="K18" s="8">
        <f t="shared" ca="1" si="2"/>
        <v>10780.871400807171</v>
      </c>
      <c r="L18" s="9">
        <f t="shared" ca="1" si="3"/>
        <v>857948.2262015983</v>
      </c>
      <c r="N18" s="4">
        <v>15</v>
      </c>
      <c r="O18" s="8">
        <f>$B$7*COUNTIF(Sheet2!$B$1:$B$132,N18)</f>
        <v>0</v>
      </c>
      <c r="P18" s="8">
        <f t="shared" ca="1" si="4"/>
        <v>0</v>
      </c>
      <c r="Q18" s="8">
        <f ca="1">CEILING(R17*(IF(N18&lt;=IF($B$2=0,0,OFFSET(Sheet2!$B$1,Sheet1!$B$2-1,0)),$B$1/(365*100),$B$3/(365*100)))*100,1)/100</f>
        <v>410.56</v>
      </c>
      <c r="R18" s="9">
        <f t="shared" ca="1" si="5"/>
        <v>1006140.8900000002</v>
      </c>
      <c r="T18">
        <v>24</v>
      </c>
      <c r="U18">
        <v>0</v>
      </c>
      <c r="V18">
        <v>0</v>
      </c>
      <c r="W18">
        <v>14.9</v>
      </c>
      <c r="X18">
        <v>12</v>
      </c>
    </row>
    <row r="19" spans="1:25" x14ac:dyDescent="0.25">
      <c r="A19">
        <v>1</v>
      </c>
      <c r="B19">
        <v>0</v>
      </c>
      <c r="C19">
        <v>3</v>
      </c>
      <c r="D19">
        <v>14.9</v>
      </c>
      <c r="E19">
        <v>23</v>
      </c>
      <c r="F19">
        <v>4.8558046086956533E-2</v>
      </c>
      <c r="G19" t="str">
        <f t="shared" si="8"/>
        <v>Insert into BlueCreditTypeRainbow Values (1, 0, 3, 14.9, 23, 0.0485580460869565)</v>
      </c>
      <c r="H19" s="4">
        <v>16</v>
      </c>
      <c r="I19" s="8">
        <f t="shared" ca="1" si="1"/>
        <v>21090.744593075015</v>
      </c>
      <c r="J19" s="8">
        <f t="shared" ca="1" si="0"/>
        <v>10437.887451071836</v>
      </c>
      <c r="K19" s="8">
        <f t="shared" ca="1" si="2"/>
        <v>10652.857142003179</v>
      </c>
      <c r="L19" s="9">
        <f t="shared" ca="1" si="3"/>
        <v>847510.33875052643</v>
      </c>
      <c r="N19" s="4">
        <v>16</v>
      </c>
      <c r="O19" s="8">
        <f>$B$7*COUNTIF(Sheet2!$B$1:$B$132,N19)</f>
        <v>0</v>
      </c>
      <c r="P19" s="8">
        <f t="shared" ca="1" si="4"/>
        <v>0</v>
      </c>
      <c r="Q19" s="8">
        <f ca="1">CEILING(R18*(IF(N19&lt;=IF($B$2=0,0,OFFSET(Sheet2!$B$1,Sheet1!$B$2-1,0)),$B$1/(365*100),$B$3/(365*100)))*100,1)/100</f>
        <v>410.73</v>
      </c>
      <c r="R19" s="9">
        <f t="shared" ca="1" si="5"/>
        <v>1006551.6200000002</v>
      </c>
      <c r="T19">
        <v>25</v>
      </c>
      <c r="U19">
        <v>0</v>
      </c>
      <c r="V19">
        <v>0</v>
      </c>
      <c r="W19">
        <v>14.9</v>
      </c>
      <c r="X19">
        <v>18</v>
      </c>
    </row>
    <row r="20" spans="1:25" x14ac:dyDescent="0.25">
      <c r="A20">
        <v>1</v>
      </c>
      <c r="B20">
        <v>0</v>
      </c>
      <c r="C20">
        <v>3</v>
      </c>
      <c r="D20">
        <v>14.9</v>
      </c>
      <c r="E20">
        <v>24</v>
      </c>
      <c r="F20">
        <v>4.6807660416666737E-2</v>
      </c>
      <c r="G20" t="str">
        <f t="shared" si="8"/>
        <v>Insert into BlueCreditTypeRainbow Values (1, 0, 3, 14.9, 24, 0.0468076604166667)</v>
      </c>
      <c r="H20" s="4">
        <v>17</v>
      </c>
      <c r="I20" s="8">
        <f t="shared" ca="1" si="1"/>
        <v>21090.744593075015</v>
      </c>
      <c r="J20" s="8">
        <f t="shared" ca="1" si="0"/>
        <v>10567.491220255979</v>
      </c>
      <c r="K20" s="8">
        <f t="shared" ca="1" si="2"/>
        <v>10523.253372819036</v>
      </c>
      <c r="L20" s="9">
        <f t="shared" ca="1" si="3"/>
        <v>836942.84753027046</v>
      </c>
      <c r="N20" s="4">
        <v>17</v>
      </c>
      <c r="O20" s="8">
        <f>$B$7*COUNTIF(Sheet2!$B$1:$B$132,N20)</f>
        <v>0</v>
      </c>
      <c r="P20" s="8">
        <f t="shared" ca="1" si="4"/>
        <v>0</v>
      </c>
      <c r="Q20" s="8">
        <f ca="1">CEILING(R19*(IF(N20&lt;=IF($B$2=0,0,OFFSET(Sheet2!$B$1,Sheet1!$B$2-1,0)),$B$1/(365*100),$B$3/(365*100)))*100,1)/100</f>
        <v>410.9</v>
      </c>
      <c r="R20" s="9">
        <f t="shared" ref="R20:R43" ca="1" si="9">R19+Q20-O20</f>
        <v>1006962.5200000003</v>
      </c>
      <c r="T20">
        <v>26</v>
      </c>
      <c r="U20">
        <v>0</v>
      </c>
      <c r="V20">
        <v>0</v>
      </c>
      <c r="W20">
        <v>14.9</v>
      </c>
      <c r="X20">
        <v>24</v>
      </c>
    </row>
    <row r="21" spans="1:25" x14ac:dyDescent="0.25">
      <c r="A21">
        <v>1</v>
      </c>
      <c r="B21">
        <v>0</v>
      </c>
      <c r="C21">
        <v>3</v>
      </c>
      <c r="D21">
        <v>14.9</v>
      </c>
      <c r="E21">
        <v>25</v>
      </c>
      <c r="F21">
        <v>4.5198840606577105E-2</v>
      </c>
      <c r="G21" t="str">
        <f t="shared" si="8"/>
        <v>Insert into BlueCreditTypeRainbow Values (1, 0, 3, 14.9, 25, 0.0451988406065771)</v>
      </c>
      <c r="H21" s="4">
        <v>18</v>
      </c>
      <c r="I21" s="8">
        <f t="shared" ca="1" si="1"/>
        <v>21090.744593075015</v>
      </c>
      <c r="J21" s="8">
        <f t="shared" ref="J21:J33" ca="1" si="10">I21-K21</f>
        <v>10698.704236240823</v>
      </c>
      <c r="K21" s="8">
        <f t="shared" ca="1" si="2"/>
        <v>10392.040356834192</v>
      </c>
      <c r="L21" s="9">
        <f t="shared" ca="1" si="3"/>
        <v>826244.14329402964</v>
      </c>
      <c r="N21" s="4">
        <v>18</v>
      </c>
      <c r="O21" s="8">
        <f>$B$7*COUNTIF(Sheet2!$B$1:$B$132,N21)</f>
        <v>0</v>
      </c>
      <c r="P21" s="8">
        <f t="shared" ca="1" si="4"/>
        <v>0</v>
      </c>
      <c r="Q21" s="8">
        <f ca="1">CEILING(R20*(IF(N21&lt;=IF($B$2=0,0,OFFSET(Sheet2!$B$1,Sheet1!$B$2-1,0)),$B$1/(365*100),$B$3/(365*100)))*100,1)/100</f>
        <v>411.07</v>
      </c>
      <c r="R21" s="9">
        <f t="shared" ca="1" si="9"/>
        <v>1007373.5900000002</v>
      </c>
      <c r="T21">
        <v>27</v>
      </c>
      <c r="U21">
        <v>0</v>
      </c>
      <c r="V21">
        <v>0</v>
      </c>
      <c r="W21">
        <v>14.9</v>
      </c>
      <c r="X21">
        <v>36</v>
      </c>
    </row>
    <row r="22" spans="1:25" x14ac:dyDescent="0.25">
      <c r="A22">
        <v>1</v>
      </c>
      <c r="B22">
        <v>0</v>
      </c>
      <c r="C22">
        <v>3</v>
      </c>
      <c r="D22">
        <v>14.9</v>
      </c>
      <c r="E22">
        <v>26</v>
      </c>
      <c r="F22">
        <v>4.371520934563753E-2</v>
      </c>
      <c r="G22" t="str">
        <f t="shared" si="8"/>
        <v>Insert into BlueCreditTypeRainbow Values (1, 0, 3, 14.9, 26, 0.0437152093456375)</v>
      </c>
      <c r="H22" s="4">
        <v>19</v>
      </c>
      <c r="I22" s="8">
        <f t="shared" ca="1" si="1"/>
        <v>21090.744593075015</v>
      </c>
      <c r="J22" s="8">
        <f t="shared" ca="1" si="10"/>
        <v>10831.546480507481</v>
      </c>
      <c r="K22" s="8">
        <f t="shared" ca="1" si="2"/>
        <v>10259.198112567534</v>
      </c>
      <c r="L22" s="9">
        <f t="shared" ca="1" si="3"/>
        <v>815412.59681352216</v>
      </c>
      <c r="N22" s="4">
        <v>19</v>
      </c>
      <c r="O22" s="8">
        <f>$B$7*COUNTIF(Sheet2!$B$1:$B$132,N22)</f>
        <v>0</v>
      </c>
      <c r="P22" s="8">
        <f t="shared" ca="1" si="4"/>
        <v>0</v>
      </c>
      <c r="Q22" s="8">
        <f ca="1">CEILING(R21*(IF(N22&lt;=IF($B$2=0,0,OFFSET(Sheet2!$B$1,Sheet1!$B$2-1,0)),$B$1/(365*100),$B$3/(365*100)))*100,1)/100</f>
        <v>411.23</v>
      </c>
      <c r="R22" s="9">
        <f t="shared" ca="1" si="9"/>
        <v>1007784.8200000002</v>
      </c>
      <c r="T22">
        <v>28</v>
      </c>
      <c r="U22">
        <v>0</v>
      </c>
      <c r="V22">
        <v>0</v>
      </c>
      <c r="W22">
        <v>14.9</v>
      </c>
      <c r="X22">
        <v>48</v>
      </c>
    </row>
    <row r="23" spans="1:25" x14ac:dyDescent="0.25">
      <c r="A23">
        <v>1</v>
      </c>
      <c r="B23">
        <v>0</v>
      </c>
      <c r="C23">
        <v>3</v>
      </c>
      <c r="D23">
        <v>14.9</v>
      </c>
      <c r="E23">
        <v>27</v>
      </c>
      <c r="F23">
        <v>4.2342251882922191E-2</v>
      </c>
      <c r="G23" t="str">
        <f t="shared" si="8"/>
        <v>Insert into BlueCreditTypeRainbow Values (1, 0, 3, 14.9, 27, 0.0423422518829222)</v>
      </c>
      <c r="H23" s="4">
        <v>20</v>
      </c>
      <c r="I23" s="8">
        <f t="shared" ca="1" si="1"/>
        <v>21090.744593075015</v>
      </c>
      <c r="J23" s="8">
        <f t="shared" ca="1" si="10"/>
        <v>10966.038182640448</v>
      </c>
      <c r="K23" s="8">
        <f t="shared" ca="1" si="2"/>
        <v>10124.706410434566</v>
      </c>
      <c r="L23" s="9">
        <f t="shared" ca="1" si="3"/>
        <v>804446.55863088171</v>
      </c>
      <c r="N23" s="4">
        <v>20</v>
      </c>
      <c r="O23" s="8">
        <f>$B$7*COUNTIF(Sheet2!$B$1:$B$132,N23)</f>
        <v>0</v>
      </c>
      <c r="P23" s="8">
        <f t="shared" ca="1" si="4"/>
        <v>0</v>
      </c>
      <c r="Q23" s="8">
        <f ca="1">CEILING(R22*(IF(N23&lt;=IF($B$2=0,0,OFFSET(Sheet2!$B$1,Sheet1!$B$2-1,0)),$B$1/(365*100),$B$3/(365*100)))*100,1)/100</f>
        <v>411.4</v>
      </c>
      <c r="R23" s="9">
        <f t="shared" ca="1" si="9"/>
        <v>1008196.2200000002</v>
      </c>
      <c r="T23">
        <v>29</v>
      </c>
      <c r="U23">
        <v>0</v>
      </c>
      <c r="V23">
        <v>0</v>
      </c>
      <c r="W23">
        <v>14.9</v>
      </c>
      <c r="X23">
        <v>60</v>
      </c>
    </row>
    <row r="24" spans="1:25" x14ac:dyDescent="0.25">
      <c r="A24">
        <v>1</v>
      </c>
      <c r="B24">
        <v>0</v>
      </c>
      <c r="C24">
        <v>3</v>
      </c>
      <c r="D24">
        <v>14.9</v>
      </c>
      <c r="E24">
        <v>28</v>
      </c>
      <c r="F24">
        <v>4.106863928571431E-2</v>
      </c>
      <c r="G24" t="str">
        <f t="shared" si="8"/>
        <v>Insert into BlueCreditTypeRainbow Values (1, 0, 3, 14.9, 28, 0.0410686392857143)</v>
      </c>
      <c r="H24" s="4">
        <v>21</v>
      </c>
      <c r="I24" s="8">
        <f t="shared" ca="1" si="1"/>
        <v>21090.744593075015</v>
      </c>
      <c r="J24" s="8">
        <f t="shared" ca="1" si="10"/>
        <v>11102.199823408233</v>
      </c>
      <c r="K24" s="8">
        <f t="shared" ca="1" si="2"/>
        <v>9988.5447696667816</v>
      </c>
      <c r="L24" s="9">
        <f t="shared" ca="1" si="3"/>
        <v>793344.35880747344</v>
      </c>
      <c r="N24" s="4">
        <v>21</v>
      </c>
      <c r="O24" s="8">
        <f>$B$7*COUNTIF(Sheet2!$B$1:$B$132,N24)</f>
        <v>0</v>
      </c>
      <c r="P24" s="8">
        <f t="shared" ca="1" si="4"/>
        <v>0</v>
      </c>
      <c r="Q24" s="8">
        <f ca="1">CEILING(R23*(IF(N24&lt;=IF($B$2=0,0,OFFSET(Sheet2!$B$1,Sheet1!$B$2-1,0)),$B$1/(365*100),$B$3/(365*100)))*100,1)/100</f>
        <v>411.57</v>
      </c>
      <c r="R24" s="9">
        <f t="shared" ca="1" si="9"/>
        <v>1008607.7900000002</v>
      </c>
      <c r="T24">
        <v>30</v>
      </c>
      <c r="U24">
        <v>0</v>
      </c>
      <c r="V24">
        <v>0</v>
      </c>
      <c r="W24">
        <v>14.9</v>
      </c>
      <c r="X24">
        <v>72</v>
      </c>
    </row>
    <row r="25" spans="1:25" x14ac:dyDescent="0.25">
      <c r="A25">
        <v>1</v>
      </c>
      <c r="B25">
        <v>0</v>
      </c>
      <c r="C25">
        <v>3</v>
      </c>
      <c r="D25">
        <v>14.9</v>
      </c>
      <c r="E25">
        <v>29</v>
      </c>
      <c r="F25">
        <v>3.9883574482758727E-2</v>
      </c>
      <c r="G25" t="str">
        <f t="shared" si="8"/>
        <v>Insert into BlueCreditTypeRainbow Values (1, 0, 3, 14.9, 29, 0.0398835744827587)</v>
      </c>
      <c r="H25" s="4">
        <v>22</v>
      </c>
      <c r="I25" s="8">
        <f t="shared" ca="1" si="1"/>
        <v>21090.744593075015</v>
      </c>
      <c r="J25" s="8">
        <f t="shared" ca="1" si="10"/>
        <v>11240.05213788222</v>
      </c>
      <c r="K25" s="8">
        <f t="shared" ca="1" si="2"/>
        <v>9850.692455192795</v>
      </c>
      <c r="L25" s="9">
        <f t="shared" ca="1" si="3"/>
        <v>782104.30666959123</v>
      </c>
      <c r="N25" s="4">
        <v>22</v>
      </c>
      <c r="O25" s="8">
        <f>$B$7*COUNTIF(Sheet2!$B$1:$B$132,N25)</f>
        <v>0</v>
      </c>
      <c r="P25" s="8">
        <f t="shared" ca="1" si="4"/>
        <v>0</v>
      </c>
      <c r="Q25" s="8">
        <f ca="1">CEILING(R24*(IF(N25&lt;=IF($B$2=0,0,OFFSET(Sheet2!$B$1,Sheet1!$B$2-1,0)),$B$1/(365*100),$B$3/(365*100)))*100,1)/100</f>
        <v>411.74</v>
      </c>
      <c r="R25" s="9">
        <f t="shared" ca="1" si="9"/>
        <v>1009019.5300000001</v>
      </c>
      <c r="Y25" s="16"/>
    </row>
    <row r="26" spans="1:25" x14ac:dyDescent="0.25">
      <c r="A26">
        <v>1</v>
      </c>
      <c r="B26">
        <v>0</v>
      </c>
      <c r="C26">
        <v>3</v>
      </c>
      <c r="D26">
        <v>14.9</v>
      </c>
      <c r="E26">
        <v>30</v>
      </c>
      <c r="F26">
        <v>3.8778662031447191E-2</v>
      </c>
      <c r="G26" t="str">
        <f t="shared" si="8"/>
        <v>Insert into BlueCreditTypeRainbow Values (1, 0, 3, 14.9, 30, 0.0387786620314472)</v>
      </c>
      <c r="H26" s="4">
        <v>23</v>
      </c>
      <c r="I26" s="8">
        <f t="shared" ca="1" si="1"/>
        <v>21090.744593075015</v>
      </c>
      <c r="J26" s="8">
        <f t="shared" ca="1" si="10"/>
        <v>11379.616118594256</v>
      </c>
      <c r="K26" s="8">
        <f t="shared" ca="1" si="2"/>
        <v>9711.1284744807581</v>
      </c>
      <c r="L26" s="9">
        <f t="shared" ca="1" si="3"/>
        <v>770724.69055099692</v>
      </c>
      <c r="N26" s="4">
        <v>23</v>
      </c>
      <c r="O26" s="8">
        <f>$B$7*COUNTIF(Sheet2!$B$1:$B$132,N26)</f>
        <v>0</v>
      </c>
      <c r="P26" s="8">
        <f t="shared" ca="1" si="4"/>
        <v>0</v>
      </c>
      <c r="Q26" s="8">
        <f ca="1">CEILING(R25*(IF(N26&lt;=IF($B$2=0,0,OFFSET(Sheet2!$B$1,Sheet1!$B$2-1,0)),$B$1/(365*100),$B$3/(365*100)))*100,1)/100</f>
        <v>411.91</v>
      </c>
      <c r="R26" s="9">
        <f t="shared" ca="1" si="9"/>
        <v>1009431.4400000002</v>
      </c>
      <c r="Y26" s="16"/>
    </row>
    <row r="27" spans="1:25" x14ac:dyDescent="0.25">
      <c r="A27">
        <v>1</v>
      </c>
      <c r="B27">
        <v>0</v>
      </c>
      <c r="C27">
        <v>2</v>
      </c>
      <c r="D27">
        <v>14.9</v>
      </c>
      <c r="E27">
        <v>18</v>
      </c>
      <c r="F27">
        <v>6.0904909444444433E-2</v>
      </c>
      <c r="G27" t="str">
        <f t="shared" si="8"/>
        <v>Insert into BlueCreditTypeRainbow Values (1, 0, 2, 14.9, 18, 0.0609049094444444)</v>
      </c>
      <c r="H27" s="4">
        <v>24</v>
      </c>
      <c r="I27" s="8">
        <f t="shared" ca="1" si="1"/>
        <v>21090.744593075015</v>
      </c>
      <c r="J27" s="8">
        <f t="shared" ca="1" si="10"/>
        <v>11520.91301873347</v>
      </c>
      <c r="K27" s="8">
        <f t="shared" ca="1" si="2"/>
        <v>9569.8315743415442</v>
      </c>
      <c r="L27" s="9">
        <f t="shared" ca="1" si="3"/>
        <v>759203.77753226343</v>
      </c>
      <c r="N27" s="4">
        <v>24</v>
      </c>
      <c r="O27" s="8">
        <f>$B$7*COUNTIF(Sheet2!$B$1:$B$132,N27)</f>
        <v>0</v>
      </c>
      <c r="P27" s="8">
        <f t="shared" ca="1" si="4"/>
        <v>0</v>
      </c>
      <c r="Q27" s="8">
        <f ca="1">CEILING(R26*(IF(N27&lt;=IF($B$2=0,0,OFFSET(Sheet2!$B$1,Sheet1!$B$2-1,0)),$B$1/(365*100),$B$3/(365*100)))*100,1)/100</f>
        <v>412.07</v>
      </c>
      <c r="R27" s="9">
        <f t="shared" ca="1" si="9"/>
        <v>1009843.5100000001</v>
      </c>
      <c r="Y27" s="16"/>
    </row>
    <row r="28" spans="1:25" x14ac:dyDescent="0.25">
      <c r="A28">
        <v>1</v>
      </c>
      <c r="B28">
        <v>0</v>
      </c>
      <c r="C28">
        <v>2</v>
      </c>
      <c r="D28">
        <v>14.9</v>
      </c>
      <c r="E28">
        <v>19</v>
      </c>
      <c r="F28">
        <v>5.804344157894744E-2</v>
      </c>
      <c r="G28" t="str">
        <f t="shared" si="8"/>
        <v>Insert into BlueCreditTypeRainbow Values (1, 0, 2, 14.9, 19, 0.0580434415789474)</v>
      </c>
      <c r="H28" s="4">
        <v>25</v>
      </c>
      <c r="I28" s="8">
        <f t="shared" ca="1" si="1"/>
        <v>21090.744593075015</v>
      </c>
      <c r="J28" s="8">
        <f t="shared" ca="1" si="10"/>
        <v>11663.964355382745</v>
      </c>
      <c r="K28" s="8">
        <f t="shared" ca="1" si="2"/>
        <v>9426.78023769227</v>
      </c>
      <c r="L28" s="9">
        <f t="shared" ca="1" si="3"/>
        <v>747539.81317688071</v>
      </c>
      <c r="N28" s="4">
        <v>25</v>
      </c>
      <c r="O28" s="8">
        <f>$B$7*COUNTIF(Sheet2!$B$1:$B$132,N28)</f>
        <v>0</v>
      </c>
      <c r="P28" s="8">
        <f t="shared" ca="1" si="4"/>
        <v>0</v>
      </c>
      <c r="Q28" s="8">
        <f ca="1">CEILING(R27*(IF(N28&lt;=IF($B$2=0,0,OFFSET(Sheet2!$B$1,Sheet1!$B$2-1,0)),$B$1/(365*100),$B$3/(365*100)))*100,1)/100</f>
        <v>412.24</v>
      </c>
      <c r="R28" s="9">
        <f t="shared" ca="1" si="9"/>
        <v>1010255.7500000001</v>
      </c>
      <c r="Y28" s="16"/>
    </row>
    <row r="29" spans="1:25" x14ac:dyDescent="0.25">
      <c r="A29">
        <v>1</v>
      </c>
      <c r="B29">
        <v>0</v>
      </c>
      <c r="C29">
        <v>2</v>
      </c>
      <c r="D29">
        <v>14.9</v>
      </c>
      <c r="E29">
        <v>20</v>
      </c>
      <c r="F29">
        <v>5.5469088017614243E-2</v>
      </c>
      <c r="G29" t="str">
        <f t="shared" si="8"/>
        <v>Insert into BlueCreditTypeRainbow Values (1, 0, 2, 14.9, 20, 0.0554690880176142)</v>
      </c>
      <c r="H29" s="4">
        <v>26</v>
      </c>
      <c r="I29" s="8">
        <f t="shared" ca="1" si="1"/>
        <v>21090.744593075015</v>
      </c>
      <c r="J29" s="8">
        <f t="shared" ca="1" si="10"/>
        <v>11808.791912795414</v>
      </c>
      <c r="K29" s="8">
        <f t="shared" ca="1" si="2"/>
        <v>9281.9526802796008</v>
      </c>
      <c r="L29" s="9">
        <f t="shared" ca="1" si="3"/>
        <v>735731.02126408531</v>
      </c>
      <c r="N29" s="4">
        <v>26</v>
      </c>
      <c r="O29" s="8">
        <f>$B$7*COUNTIF(Sheet2!$B$1:$B$132,N29)</f>
        <v>0</v>
      </c>
      <c r="P29" s="8">
        <f t="shared" ca="1" si="4"/>
        <v>0</v>
      </c>
      <c r="Q29" s="8">
        <f ca="1">CEILING(R28*(IF(N29&lt;=IF($B$2=0,0,OFFSET(Sheet2!$B$1,Sheet1!$B$2-1,0)),$B$1/(365*100),$B$3/(365*100)))*100,1)/100</f>
        <v>412.41</v>
      </c>
      <c r="R29" s="9">
        <f t="shared" ca="1" si="9"/>
        <v>1010668.1600000001</v>
      </c>
      <c r="Y29" s="16"/>
    </row>
    <row r="30" spans="1:25" x14ac:dyDescent="0.25">
      <c r="A30">
        <v>1</v>
      </c>
      <c r="B30">
        <v>0</v>
      </c>
      <c r="C30">
        <v>2</v>
      </c>
      <c r="D30">
        <v>14.9</v>
      </c>
      <c r="E30">
        <v>21</v>
      </c>
      <c r="F30">
        <v>5.3141770952380971E-2</v>
      </c>
      <c r="G30" t="str">
        <f t="shared" si="8"/>
        <v>Insert into BlueCreditTypeRainbow Values (1, 0, 2, 14.9, 21, 0.053141770952381)</v>
      </c>
      <c r="H30" s="4">
        <v>27</v>
      </c>
      <c r="I30" s="8">
        <f t="shared" ca="1" si="1"/>
        <v>21090.744593075015</v>
      </c>
      <c r="J30" s="8">
        <f t="shared" ca="1" si="10"/>
        <v>11955.417745712622</v>
      </c>
      <c r="K30" s="8">
        <f t="shared" ca="1" si="2"/>
        <v>9135.3268473623921</v>
      </c>
      <c r="L30" s="9">
        <f t="shared" ca="1" si="3"/>
        <v>723775.60351837275</v>
      </c>
      <c r="N30" s="4">
        <v>27</v>
      </c>
      <c r="O30" s="8">
        <f>$B$7*COUNTIF(Sheet2!$B$1:$B$132,N30)</f>
        <v>0</v>
      </c>
      <c r="P30" s="8">
        <f t="shared" ca="1" si="4"/>
        <v>0</v>
      </c>
      <c r="Q30" s="8">
        <f ca="1">CEILING(R29*(IF(N30&lt;=IF($B$2=0,0,OFFSET(Sheet2!$B$1,Sheet1!$B$2-1,0)),$B$1/(365*100),$B$3/(365*100)))*100,1)/100</f>
        <v>412.58</v>
      </c>
      <c r="R30" s="9">
        <f t="shared" ca="1" si="9"/>
        <v>1011080.7400000001</v>
      </c>
    </row>
    <row r="31" spans="1:25" x14ac:dyDescent="0.25">
      <c r="A31">
        <v>1</v>
      </c>
      <c r="B31">
        <v>0</v>
      </c>
      <c r="C31">
        <v>2</v>
      </c>
      <c r="D31">
        <v>14.9</v>
      </c>
      <c r="E31">
        <v>22</v>
      </c>
      <c r="F31">
        <v>5.1026883221950432E-2</v>
      </c>
      <c r="G31" t="str">
        <f t="shared" si="8"/>
        <v>Insert into BlueCreditTypeRainbow Values (1, 0, 2, 14.9, 22, 0.0510268832219504)</v>
      </c>
      <c r="H31" s="4">
        <v>28</v>
      </c>
      <c r="I31" s="8">
        <f t="shared" ca="1" si="1"/>
        <v>21090.744593075015</v>
      </c>
      <c r="J31" s="8">
        <f t="shared" ca="1" si="10"/>
        <v>12103.864182721887</v>
      </c>
      <c r="K31" s="8">
        <f t="shared" ca="1" si="2"/>
        <v>8986.8804103531274</v>
      </c>
      <c r="L31" s="9">
        <f t="shared" ca="1" si="3"/>
        <v>711671.73933565081</v>
      </c>
      <c r="N31" s="4">
        <v>28</v>
      </c>
      <c r="O31" s="8">
        <f>$B$7*COUNTIF(Sheet2!$B$1:$B$132,N31)</f>
        <v>0</v>
      </c>
      <c r="P31" s="8">
        <f t="shared" ca="1" si="4"/>
        <v>0</v>
      </c>
      <c r="Q31" s="8">
        <f ca="1">CEILING(R30*(IF(N31&lt;=IF($B$2=0,0,OFFSET(Sheet2!$B$1,Sheet1!$B$2-1,0)),$B$1/(365*100),$B$3/(365*100)))*100,1)/100</f>
        <v>412.75</v>
      </c>
      <c r="R31" s="9">
        <f t="shared" ca="1" si="9"/>
        <v>1011493.4900000001</v>
      </c>
    </row>
    <row r="32" spans="1:25" x14ac:dyDescent="0.25">
      <c r="A32">
        <v>1</v>
      </c>
      <c r="B32">
        <v>0</v>
      </c>
      <c r="C32">
        <v>2</v>
      </c>
      <c r="D32">
        <v>14.9</v>
      </c>
      <c r="E32">
        <v>23</v>
      </c>
      <c r="F32">
        <v>4.9097513927646962E-2</v>
      </c>
      <c r="G32" t="str">
        <f t="shared" si="8"/>
        <v>Insert into BlueCreditTypeRainbow Values (1, 0, 2, 14.9, 23, 0.049097513927647)</v>
      </c>
      <c r="H32" s="4">
        <v>29</v>
      </c>
      <c r="I32" s="8">
        <f t="shared" ca="1" si="1"/>
        <v>21090.744593075015</v>
      </c>
      <c r="J32" s="8">
        <f t="shared" ca="1" si="10"/>
        <v>12254.153829657351</v>
      </c>
      <c r="K32" s="8">
        <f t="shared" ca="1" si="2"/>
        <v>8836.5907634176638</v>
      </c>
      <c r="L32" s="9">
        <f t="shared" ca="1" si="3"/>
        <v>699417.58550599345</v>
      </c>
      <c r="N32" s="4">
        <v>29</v>
      </c>
      <c r="O32" s="8">
        <f>$B$7*COUNTIF(Sheet2!$B$1:$B$132,N32)</f>
        <v>0</v>
      </c>
      <c r="P32" s="8">
        <f t="shared" ca="1" si="4"/>
        <v>0</v>
      </c>
      <c r="Q32" s="8">
        <f ca="1">CEILING(R31*(IF(N32&lt;=IF($B$2=0,0,OFFSET(Sheet2!$B$1,Sheet1!$B$2-1,0)),$B$1/(365*100),$B$3/(365*100)))*100,1)/100</f>
        <v>412.92</v>
      </c>
      <c r="R32" s="9">
        <f t="shared" ca="1" si="9"/>
        <v>1011906.4100000001</v>
      </c>
    </row>
    <row r="33" spans="1:18" x14ac:dyDescent="0.25">
      <c r="A33">
        <v>1</v>
      </c>
      <c r="B33">
        <v>0</v>
      </c>
      <c r="C33">
        <v>2</v>
      </c>
      <c r="D33">
        <v>14.9</v>
      </c>
      <c r="E33">
        <v>24</v>
      </c>
      <c r="F33">
        <v>4.7329719604278321E-2</v>
      </c>
      <c r="G33" t="str">
        <f t="shared" si="8"/>
        <v>Insert into BlueCreditTypeRainbow Values (1, 0, 2, 14.9, 24, 0.0473297196042783)</v>
      </c>
      <c r="H33" s="4">
        <v>30</v>
      </c>
      <c r="I33" s="8">
        <f t="shared" ca="1" si="1"/>
        <v>21090.744593075015</v>
      </c>
      <c r="J33" s="8">
        <f t="shared" ca="1" si="10"/>
        <v>12406.309573042263</v>
      </c>
      <c r="K33" s="8">
        <f t="shared" ca="1" si="2"/>
        <v>8684.4350200327517</v>
      </c>
      <c r="L33" s="9">
        <f t="shared" ca="1" si="3"/>
        <v>687011.27593295125</v>
      </c>
      <c r="N33" s="4">
        <v>30</v>
      </c>
      <c r="O33" s="8">
        <f>$B$7*COUNTIF(Sheet2!$B$1:$B$132,N33)</f>
        <v>0</v>
      </c>
      <c r="P33" s="8">
        <f t="shared" ca="1" si="4"/>
        <v>0</v>
      </c>
      <c r="Q33" s="8">
        <f ca="1">CEILING(R32*(IF(N33&lt;=IF($B$2=0,0,OFFSET(Sheet2!$B$1,Sheet1!$B$2-1,0)),$B$1/(365*100),$B$3/(365*100)))*100,1)/100</f>
        <v>413.08</v>
      </c>
      <c r="R33" s="9">
        <f t="shared" ca="1" si="9"/>
        <v>1012319.4900000001</v>
      </c>
    </row>
    <row r="34" spans="1:18" x14ac:dyDescent="0.25">
      <c r="A34">
        <v>1</v>
      </c>
      <c r="B34">
        <v>0</v>
      </c>
      <c r="C34">
        <v>2</v>
      </c>
      <c r="D34">
        <v>14.9</v>
      </c>
      <c r="E34">
        <v>25</v>
      </c>
      <c r="F34">
        <v>4.5704769637867862E-2</v>
      </c>
      <c r="G34" t="str">
        <f t="shared" si="8"/>
        <v>Insert into BlueCreditTypeRainbow Values (1, 0, 2, 14.9, 25, 0.0457047696378679)</v>
      </c>
      <c r="H34" s="4">
        <v>31</v>
      </c>
      <c r="I34" s="8">
        <f t="shared" ca="1" si="1"/>
        <v>21090.744593075015</v>
      </c>
      <c r="J34" s="8">
        <f t="shared" ref="J34:J55" ca="1" si="11">I34-K34</f>
        <v>12560.354583574204</v>
      </c>
      <c r="K34" s="8">
        <f t="shared" ca="1" si="2"/>
        <v>8530.3900095008103</v>
      </c>
      <c r="L34" s="9">
        <f t="shared" ca="1" si="3"/>
        <v>674450.92134937702</v>
      </c>
      <c r="N34" s="4">
        <v>31</v>
      </c>
      <c r="O34" s="8">
        <f>$B$7*COUNTIF(Sheet2!$B$1:$B$132,N34)</f>
        <v>21157.10552356458</v>
      </c>
      <c r="P34" s="8">
        <f t="shared" ca="1" si="4"/>
        <v>20743.85552356458</v>
      </c>
      <c r="Q34" s="8">
        <f ca="1">CEILING(R33*(IF(N34&lt;=IF($B$2=0,0,OFFSET(Sheet2!$B$1,Sheet1!$B$2-1,0)),$B$1/(365*100),$B$3/(365*100)))*100,1)/100</f>
        <v>413.25</v>
      </c>
      <c r="R34" s="9">
        <f t="shared" ca="1" si="9"/>
        <v>991575.63447643549</v>
      </c>
    </row>
    <row r="35" spans="1:18" x14ac:dyDescent="0.25">
      <c r="A35">
        <v>1</v>
      </c>
      <c r="B35">
        <v>0</v>
      </c>
      <c r="C35">
        <v>2</v>
      </c>
      <c r="D35">
        <v>14.9</v>
      </c>
      <c r="E35">
        <v>26</v>
      </c>
      <c r="F35">
        <v>4.4206140804913932E-2</v>
      </c>
      <c r="G35" t="str">
        <f t="shared" si="8"/>
        <v>Insert into BlueCreditTypeRainbow Values (1, 0, 2, 14.9, 26, 0.0442061408049139)</v>
      </c>
      <c r="H35" s="4">
        <v>32</v>
      </c>
      <c r="I35" s="8">
        <f t="shared" ca="1" si="1"/>
        <v>21090.744593075015</v>
      </c>
      <c r="J35" s="8">
        <f t="shared" ca="1" si="11"/>
        <v>12716.312319653583</v>
      </c>
      <c r="K35" s="8">
        <f t="shared" ca="1" si="2"/>
        <v>8374.4322734214311</v>
      </c>
      <c r="L35" s="9">
        <f t="shared" ca="1" si="3"/>
        <v>661734.60902972345</v>
      </c>
      <c r="N35" s="4">
        <v>32</v>
      </c>
      <c r="O35" s="8">
        <f>$B$7*COUNTIF(Sheet2!$B$1:$B$132,N35)</f>
        <v>0</v>
      </c>
      <c r="P35" s="8">
        <f t="shared" ca="1" si="4"/>
        <v>0</v>
      </c>
      <c r="Q35" s="8">
        <f ca="1">CEILING(R34*(IF(N35&lt;=IF($B$2=0,0,OFFSET(Sheet2!$B$1,Sheet1!$B$2-1,0)),$B$1/(365*100),$B$3/(365*100)))*100,1)/100</f>
        <v>404.79</v>
      </c>
      <c r="R35" s="9">
        <f t="shared" ca="1" si="9"/>
        <v>991980.42447643552</v>
      </c>
    </row>
    <row r="36" spans="1:18" x14ac:dyDescent="0.25">
      <c r="A36">
        <v>1</v>
      </c>
      <c r="B36">
        <v>0</v>
      </c>
      <c r="C36">
        <v>2</v>
      </c>
      <c r="D36">
        <v>14.9</v>
      </c>
      <c r="E36">
        <v>27</v>
      </c>
      <c r="F36">
        <v>4.2819211145676266E-2</v>
      </c>
      <c r="G36" t="str">
        <f t="shared" si="8"/>
        <v>Insert into BlueCreditTypeRainbow Values (1, 0, 2, 14.9, 27, 0.0428192111456763)</v>
      </c>
      <c r="H36" s="4">
        <v>33</v>
      </c>
      <c r="I36" s="8">
        <f t="shared" ca="1" si="1"/>
        <v>21090.744593075015</v>
      </c>
      <c r="J36" s="8">
        <f t="shared" ca="1" si="11"/>
        <v>12874.206530955949</v>
      </c>
      <c r="K36" s="8">
        <f t="shared" ca="1" si="2"/>
        <v>8216.5380621190652</v>
      </c>
      <c r="L36" s="9">
        <f t="shared" ca="1" si="3"/>
        <v>648860.40249876748</v>
      </c>
      <c r="N36" s="4">
        <v>33</v>
      </c>
      <c r="O36" s="8">
        <f>$B$7*COUNTIF(Sheet2!$B$1:$B$132,N36)</f>
        <v>0</v>
      </c>
      <c r="P36" s="8">
        <f t="shared" ca="1" si="4"/>
        <v>0</v>
      </c>
      <c r="Q36" s="8">
        <f ca="1">CEILING(R35*(IF(N36&lt;=IF($B$2=0,0,OFFSET(Sheet2!$B$1,Sheet1!$B$2-1,0)),$B$1/(365*100),$B$3/(365*100)))*100,1)/100</f>
        <v>404.95</v>
      </c>
      <c r="R36" s="9">
        <f t="shared" ca="1" si="9"/>
        <v>992385.37447643548</v>
      </c>
    </row>
    <row r="37" spans="1:18" x14ac:dyDescent="0.25">
      <c r="A37">
        <v>1</v>
      </c>
      <c r="B37">
        <v>0</v>
      </c>
      <c r="C37">
        <v>2</v>
      </c>
      <c r="D37">
        <v>14.9</v>
      </c>
      <c r="E37">
        <v>28</v>
      </c>
      <c r="F37">
        <v>4.1532551428571415E-2</v>
      </c>
      <c r="G37" t="str">
        <f t="shared" si="8"/>
        <v>Insert into BlueCreditTypeRainbow Values (1, 0, 2, 14.9, 28, 0.0415325514285714)</v>
      </c>
      <c r="H37" s="4">
        <v>34</v>
      </c>
      <c r="I37" s="8">
        <f t="shared" ca="1" si="1"/>
        <v>21090.744593075015</v>
      </c>
      <c r="J37" s="8">
        <f t="shared" ca="1" si="11"/>
        <v>13034.061262048652</v>
      </c>
      <c r="K37" s="8">
        <f t="shared" ca="1" si="2"/>
        <v>8056.6833310263628</v>
      </c>
      <c r="L37" s="9">
        <f t="shared" ca="1" si="3"/>
        <v>635826.34123671881</v>
      </c>
      <c r="N37" s="4">
        <v>34</v>
      </c>
      <c r="O37" s="8">
        <f>$B$7*COUNTIF(Sheet2!$B$1:$B$132,N37)</f>
        <v>0</v>
      </c>
      <c r="P37" s="8">
        <f t="shared" ca="1" si="4"/>
        <v>0</v>
      </c>
      <c r="Q37" s="8">
        <f ca="1">CEILING(R36*(IF(N37&lt;=IF($B$2=0,0,OFFSET(Sheet2!$B$1,Sheet1!$B$2-1,0)),$B$1/(365*100),$B$3/(365*100)))*100,1)/100</f>
        <v>405.12</v>
      </c>
      <c r="R37" s="9">
        <f t="shared" ca="1" si="9"/>
        <v>992790.49447643547</v>
      </c>
    </row>
    <row r="38" spans="1:18" x14ac:dyDescent="0.25">
      <c r="A38">
        <v>1</v>
      </c>
      <c r="B38">
        <v>0</v>
      </c>
      <c r="C38">
        <v>2</v>
      </c>
      <c r="D38">
        <v>14.9</v>
      </c>
      <c r="E38">
        <v>29</v>
      </c>
      <c r="F38">
        <v>4.0335281379310368E-2</v>
      </c>
      <c r="G38" t="str">
        <f t="shared" si="8"/>
        <v>Insert into BlueCreditTypeRainbow Values (1, 0, 2, 14.9, 29, 0.0403352813793104)</v>
      </c>
      <c r="H38" s="4">
        <v>35</v>
      </c>
      <c r="I38" s="8">
        <f t="shared" ca="1" si="1"/>
        <v>21090.744593075015</v>
      </c>
      <c r="J38" s="8">
        <f t="shared" ca="1" si="11"/>
        <v>13195.900856052423</v>
      </c>
      <c r="K38" s="8">
        <f t="shared" ca="1" si="2"/>
        <v>7894.843737022592</v>
      </c>
      <c r="L38" s="9">
        <f t="shared" ca="1" si="3"/>
        <v>622630.4403806664</v>
      </c>
      <c r="N38" s="4">
        <v>35</v>
      </c>
      <c r="O38" s="8">
        <f>$B$7*COUNTIF(Sheet2!$B$1:$B$132,N38)</f>
        <v>0</v>
      </c>
      <c r="P38" s="8">
        <f t="shared" ca="1" si="4"/>
        <v>0</v>
      </c>
      <c r="Q38" s="8">
        <f ca="1">CEILING(R37*(IF(N38&lt;=IF($B$2=0,0,OFFSET(Sheet2!$B$1,Sheet1!$B$2-1,0)),$B$1/(365*100),$B$3/(365*100)))*100,1)/100</f>
        <v>405.28</v>
      </c>
      <c r="R38" s="9">
        <f t="shared" ca="1" si="9"/>
        <v>993195.7744764355</v>
      </c>
    </row>
    <row r="39" spans="1:18" x14ac:dyDescent="0.25">
      <c r="A39">
        <v>1</v>
      </c>
      <c r="B39">
        <v>0</v>
      </c>
      <c r="C39">
        <v>2</v>
      </c>
      <c r="D39">
        <v>14.9</v>
      </c>
      <c r="E39">
        <v>30</v>
      </c>
      <c r="F39">
        <v>3.9218923999999988E-2</v>
      </c>
      <c r="G39" t="str">
        <f t="shared" si="8"/>
        <v>Insert into BlueCreditTypeRainbow Values (1, 0, 2, 14.9, 30, 0.039218924)</v>
      </c>
      <c r="H39" s="4">
        <v>36</v>
      </c>
      <c r="I39" s="8">
        <f t="shared" ca="1" si="1"/>
        <v>21090.744593075015</v>
      </c>
      <c r="J39" s="8">
        <f t="shared" ca="1" si="11"/>
        <v>13359.749958348406</v>
      </c>
      <c r="K39" s="8">
        <f t="shared" ca="1" si="2"/>
        <v>7730.9946347266077</v>
      </c>
      <c r="L39" s="9">
        <f t="shared" ca="1" si="3"/>
        <v>609270.69042231794</v>
      </c>
      <c r="N39" s="4">
        <v>36</v>
      </c>
      <c r="O39" s="8">
        <f>$B$7*COUNTIF(Sheet2!$B$1:$B$132,N39)</f>
        <v>0</v>
      </c>
      <c r="P39" s="8">
        <f t="shared" ca="1" si="4"/>
        <v>0</v>
      </c>
      <c r="Q39" s="8">
        <f ca="1">CEILING(R38*(IF(N39&lt;=IF($B$2=0,0,OFFSET(Sheet2!$B$1,Sheet1!$B$2-1,0)),$B$1/(365*100),$B$3/(365*100)))*100,1)/100</f>
        <v>405.45</v>
      </c>
      <c r="R39" s="9">
        <f t="shared" ca="1" si="9"/>
        <v>993601.22447643545</v>
      </c>
    </row>
    <row r="40" spans="1:18" x14ac:dyDescent="0.25">
      <c r="A40">
        <v>1</v>
      </c>
      <c r="B40">
        <v>0</v>
      </c>
      <c r="C40">
        <v>1</v>
      </c>
      <c r="D40">
        <v>14.9</v>
      </c>
      <c r="E40">
        <v>18</v>
      </c>
      <c r="F40">
        <v>6.1608981154067537E-2</v>
      </c>
      <c r="G40" t="str">
        <f t="shared" si="8"/>
        <v>Insert into BlueCreditTypeRainbow Values (1, 0, 1, 14.9, 18, 0.0616089811540675)</v>
      </c>
      <c r="H40" s="4">
        <v>37</v>
      </c>
      <c r="I40" s="8">
        <f t="shared" ca="1" si="1"/>
        <v>21090.744593075015</v>
      </c>
      <c r="J40" s="8">
        <f t="shared" ca="1" si="11"/>
        <v>13525.633520331234</v>
      </c>
      <c r="K40" s="8">
        <f t="shared" ca="1" si="2"/>
        <v>7565.1110727437808</v>
      </c>
      <c r="L40" s="9">
        <f t="shared" ca="1" si="3"/>
        <v>595745.05690198671</v>
      </c>
      <c r="N40" s="4">
        <v>37</v>
      </c>
      <c r="O40" s="8">
        <f>$B$7*COUNTIF(Sheet2!$B$1:$B$132,N40)</f>
        <v>0</v>
      </c>
      <c r="P40" s="8">
        <f t="shared" ca="1" si="4"/>
        <v>0</v>
      </c>
      <c r="Q40" s="8">
        <f ca="1">CEILING(R39*(IF(N40&lt;=IF($B$2=0,0,OFFSET(Sheet2!$B$1,Sheet1!$B$2-1,0)),$B$1/(365*100),$B$3/(365*100)))*100,1)/100</f>
        <v>405.61</v>
      </c>
      <c r="R40" s="9">
        <f t="shared" ca="1" si="9"/>
        <v>994006.83447643544</v>
      </c>
    </row>
    <row r="41" spans="1:18" x14ac:dyDescent="0.25">
      <c r="A41">
        <v>1</v>
      </c>
      <c r="B41">
        <v>0</v>
      </c>
      <c r="C41">
        <v>1</v>
      </c>
      <c r="D41">
        <v>14.9</v>
      </c>
      <c r="E41">
        <v>19</v>
      </c>
      <c r="F41">
        <v>5.8716522631579046E-2</v>
      </c>
      <c r="G41" t="str">
        <f t="shared" si="8"/>
        <v>Insert into BlueCreditTypeRainbow Values (1, 0, 1, 14.9, 19, 0.058716522631579)</v>
      </c>
      <c r="H41" s="4">
        <v>38</v>
      </c>
      <c r="I41" s="8">
        <f t="shared" ca="1" si="1"/>
        <v>21090.744593075015</v>
      </c>
      <c r="J41" s="8">
        <f t="shared" ca="1" si="11"/>
        <v>13693.57680320868</v>
      </c>
      <c r="K41" s="8">
        <f t="shared" ca="1" si="2"/>
        <v>7397.1677898663347</v>
      </c>
      <c r="L41" s="9">
        <f t="shared" ca="1" si="3"/>
        <v>582051.48009877803</v>
      </c>
      <c r="N41" s="4">
        <v>38</v>
      </c>
      <c r="O41" s="8">
        <f>$B$7*COUNTIF(Sheet2!$B$1:$B$132,N41)</f>
        <v>0</v>
      </c>
      <c r="P41" s="8">
        <f t="shared" ca="1" si="4"/>
        <v>0</v>
      </c>
      <c r="Q41" s="8">
        <f ca="1">CEILING(R40*(IF(N41&lt;=IF($B$2=0,0,OFFSET(Sheet2!$B$1,Sheet1!$B$2-1,0)),$B$1/(365*100),$B$3/(365*100)))*100,1)/100</f>
        <v>405.78</v>
      </c>
      <c r="R41" s="9">
        <f t="shared" ca="1" si="9"/>
        <v>994412.61447643547</v>
      </c>
    </row>
    <row r="42" spans="1:18" x14ac:dyDescent="0.25">
      <c r="A42">
        <v>1</v>
      </c>
      <c r="B42">
        <v>0</v>
      </c>
      <c r="C42">
        <v>1</v>
      </c>
      <c r="D42">
        <v>14.9</v>
      </c>
      <c r="E42">
        <v>20</v>
      </c>
      <c r="F42">
        <v>5.6114100548498802E-2</v>
      </c>
      <c r="G42" t="str">
        <f t="shared" si="8"/>
        <v>Insert into BlueCreditTypeRainbow Values (1, 0, 1, 14.9, 20, 0.0561141005484988)</v>
      </c>
      <c r="H42" s="4">
        <v>39</v>
      </c>
      <c r="I42" s="8">
        <f t="shared" ca="1" si="1"/>
        <v>21090.744593075015</v>
      </c>
      <c r="J42" s="8">
        <f t="shared" ca="1" si="11"/>
        <v>13863.60538184852</v>
      </c>
      <c r="K42" s="8">
        <f t="shared" ca="1" si="2"/>
        <v>7227.1392112264939</v>
      </c>
      <c r="L42" s="9">
        <f t="shared" ca="1" si="3"/>
        <v>568187.87471692951</v>
      </c>
      <c r="N42" s="4">
        <v>39</v>
      </c>
      <c r="O42" s="8">
        <f>$B$7*COUNTIF(Sheet2!$B$1:$B$132,N42)</f>
        <v>0</v>
      </c>
      <c r="P42" s="8">
        <f t="shared" ca="1" si="4"/>
        <v>0</v>
      </c>
      <c r="Q42" s="8">
        <f ca="1">CEILING(R41*(IF(N42&lt;=IF($B$2=0,0,OFFSET(Sheet2!$B$1,Sheet1!$B$2-1,0)),$B$1/(365*100),$B$3/(365*100)))*100,1)/100</f>
        <v>405.94</v>
      </c>
      <c r="R42" s="9">
        <f t="shared" ca="1" si="9"/>
        <v>994818.55447643541</v>
      </c>
    </row>
    <row r="43" spans="1:18" x14ac:dyDescent="0.25">
      <c r="A43">
        <v>1</v>
      </c>
      <c r="B43">
        <v>0</v>
      </c>
      <c r="C43">
        <v>1</v>
      </c>
      <c r="D43">
        <v>14.9</v>
      </c>
      <c r="E43">
        <v>21</v>
      </c>
      <c r="F43">
        <v>5.3761259569549497E-2</v>
      </c>
      <c r="G43" t="str">
        <f t="shared" si="8"/>
        <v>Insert into BlueCreditTypeRainbow Values (1, 0, 1, 14.9, 21, 0.0537612595695495)</v>
      </c>
      <c r="H43" s="4">
        <v>40</v>
      </c>
      <c r="I43" s="8">
        <f t="shared" ca="1" si="1"/>
        <v>21090.744593075015</v>
      </c>
      <c r="J43" s="8">
        <f t="shared" ca="1" si="11"/>
        <v>14035.745148673141</v>
      </c>
      <c r="K43" s="8">
        <f t="shared" ca="1" si="2"/>
        <v>7054.9994444018748</v>
      </c>
      <c r="L43" s="9">
        <f t="shared" ca="1" si="3"/>
        <v>554152.12956825632</v>
      </c>
      <c r="N43" s="4">
        <v>40</v>
      </c>
      <c r="O43" s="8">
        <f>$B$7*COUNTIF(Sheet2!$B$1:$B$132,N43)</f>
        <v>0</v>
      </c>
      <c r="P43" s="8">
        <f t="shared" ca="1" si="4"/>
        <v>0</v>
      </c>
      <c r="Q43" s="8">
        <f ca="1">CEILING(R42*(IF(N43&lt;=IF($B$2=0,0,OFFSET(Sheet2!$B$1,Sheet1!$B$2-1,0)),$B$1/(365*100),$B$3/(365*100)))*100,1)/100</f>
        <v>406.11</v>
      </c>
      <c r="R43" s="9">
        <f t="shared" ca="1" si="9"/>
        <v>995224.6644764354</v>
      </c>
    </row>
    <row r="44" spans="1:18" x14ac:dyDescent="0.25">
      <c r="A44">
        <v>1</v>
      </c>
      <c r="B44">
        <v>0</v>
      </c>
      <c r="C44">
        <v>1</v>
      </c>
      <c r="D44">
        <v>14.9</v>
      </c>
      <c r="E44">
        <v>22</v>
      </c>
      <c r="F44">
        <v>5.1623056818181849E-2</v>
      </c>
      <c r="G44" t="str">
        <f t="shared" si="8"/>
        <v>Insert into BlueCreditTypeRainbow Values (1, 0, 1, 14.9, 22, 0.0516230568181818)</v>
      </c>
      <c r="H44" s="4">
        <v>41</v>
      </c>
      <c r="I44" s="8">
        <f t="shared" ca="1" si="1"/>
        <v>21090.744593075015</v>
      </c>
      <c r="J44" s="8">
        <f t="shared" ca="1" si="11"/>
        <v>14210.022317602499</v>
      </c>
      <c r="K44" s="8">
        <f t="shared" ca="1" si="2"/>
        <v>6880.7222754725153</v>
      </c>
      <c r="L44" s="9">
        <f t="shared" ca="1" si="3"/>
        <v>539942.10725065379</v>
      </c>
      <c r="N44" s="4">
        <v>41</v>
      </c>
      <c r="O44" s="8">
        <f>$B$7*COUNTIF(Sheet2!$B$1:$B$132,N44)</f>
        <v>0</v>
      </c>
      <c r="P44" s="8">
        <f t="shared" ca="1" si="4"/>
        <v>0</v>
      </c>
      <c r="Q44" s="8">
        <f ca="1">CEILING(R43*(IF(N44&lt;=IF($B$2=0,0,OFFSET(Sheet2!$B$1,Sheet1!$B$2-1,0)),$B$1/(365*100),$B$3/(365*100)))*100,1)/100</f>
        <v>406.27</v>
      </c>
      <c r="R44" s="9">
        <f t="shared" ref="R44:R55" ca="1" si="12">R43+Q44-O44</f>
        <v>995630.93447643542</v>
      </c>
    </row>
    <row r="45" spans="1:18" x14ac:dyDescent="0.25">
      <c r="A45">
        <v>1</v>
      </c>
      <c r="B45">
        <v>0</v>
      </c>
      <c r="C45">
        <v>1</v>
      </c>
      <c r="D45">
        <v>14.9</v>
      </c>
      <c r="E45">
        <v>23</v>
      </c>
      <c r="F45">
        <v>4.9672325688381896E-2</v>
      </c>
      <c r="G45" t="str">
        <f t="shared" si="8"/>
        <v>Insert into BlueCreditTypeRainbow Values (1, 0, 1, 14.9, 23, 0.0496723256883819)</v>
      </c>
      <c r="H45" s="4">
        <v>42</v>
      </c>
      <c r="I45" s="8">
        <f t="shared" ca="1" si="1"/>
        <v>21090.744593075015</v>
      </c>
      <c r="J45" s="8">
        <f t="shared" ca="1" si="11"/>
        <v>14386.463428046063</v>
      </c>
      <c r="K45" s="8">
        <f t="shared" ca="1" si="2"/>
        <v>6704.2811650289514</v>
      </c>
      <c r="L45" s="9">
        <f t="shared" ca="1" si="3"/>
        <v>525555.6438226077</v>
      </c>
      <c r="N45" s="4">
        <v>42</v>
      </c>
      <c r="O45" s="8">
        <f>$B$7*COUNTIF(Sheet2!$B$1:$B$132,N45)</f>
        <v>0</v>
      </c>
      <c r="P45" s="8">
        <f t="shared" ca="1" si="4"/>
        <v>0</v>
      </c>
      <c r="Q45" s="8">
        <f ca="1">CEILING(R44*(IF(N45&lt;=IF($B$2=0,0,OFFSET(Sheet2!$B$1,Sheet1!$B$2-1,0)),$B$1/(365*100),$B$3/(365*100)))*100,1)/100</f>
        <v>406.44</v>
      </c>
      <c r="R45" s="9">
        <f t="shared" ca="1" si="12"/>
        <v>996037.37447643536</v>
      </c>
    </row>
    <row r="46" spans="1:18" x14ac:dyDescent="0.25">
      <c r="A46">
        <v>1</v>
      </c>
      <c r="B46">
        <v>0</v>
      </c>
      <c r="C46">
        <v>1</v>
      </c>
      <c r="D46">
        <v>14.9</v>
      </c>
      <c r="E46">
        <v>24</v>
      </c>
      <c r="F46">
        <v>4.7884869166666677E-2</v>
      </c>
      <c r="G46" t="str">
        <f t="shared" si="8"/>
        <v>Insert into BlueCreditTypeRainbow Values (1, 0, 1, 14.9, 24, 0.0478848691666667)</v>
      </c>
      <c r="H46" s="4">
        <v>43</v>
      </c>
      <c r="I46" s="8">
        <f t="shared" ca="1" si="1"/>
        <v>21090.744593075015</v>
      </c>
      <c r="J46" s="8">
        <f t="shared" ca="1" si="11"/>
        <v>14565.095348944302</v>
      </c>
      <c r="K46" s="8">
        <f t="shared" ca="1" si="2"/>
        <v>6525.6492441307118</v>
      </c>
      <c r="L46" s="9">
        <f t="shared" ca="1" si="3"/>
        <v>510990.5484736634</v>
      </c>
      <c r="N46" s="4">
        <v>43</v>
      </c>
      <c r="O46" s="8">
        <f>$B$7*COUNTIF(Sheet2!$B$1:$B$132,N46)</f>
        <v>0</v>
      </c>
      <c r="P46" s="8">
        <f t="shared" ca="1" si="4"/>
        <v>0</v>
      </c>
      <c r="Q46" s="8">
        <f ca="1">CEILING(R45*(IF(N46&lt;=IF($B$2=0,0,OFFSET(Sheet2!$B$1,Sheet1!$B$2-1,0)),$B$1/(365*100),$B$3/(365*100)))*100,1)/100</f>
        <v>406.61</v>
      </c>
      <c r="R46" s="9">
        <f t="shared" ca="1" si="12"/>
        <v>996443.98447643535</v>
      </c>
    </row>
    <row r="47" spans="1:18" x14ac:dyDescent="0.25">
      <c r="A47">
        <v>1</v>
      </c>
      <c r="B47">
        <v>0</v>
      </c>
      <c r="C47">
        <v>1</v>
      </c>
      <c r="D47">
        <v>14.9</v>
      </c>
      <c r="E47">
        <v>25</v>
      </c>
      <c r="F47">
        <v>4.6241787599999994E-2</v>
      </c>
      <c r="G47" t="str">
        <f t="shared" si="8"/>
        <v>Insert into BlueCreditTypeRainbow Values (1, 0, 1, 14.9, 25, 0.0462417876)</v>
      </c>
      <c r="H47" s="4">
        <v>44</v>
      </c>
      <c r="I47" s="8">
        <f t="shared" ca="1" si="1"/>
        <v>21090.744593075015</v>
      </c>
      <c r="J47" s="8">
        <f t="shared" ca="1" si="11"/>
        <v>14745.945282860361</v>
      </c>
      <c r="K47" s="8">
        <f t="shared" ca="1" si="2"/>
        <v>6344.7993102146538</v>
      </c>
      <c r="L47" s="9">
        <f t="shared" ca="1" si="3"/>
        <v>496244.60319080303</v>
      </c>
      <c r="N47" s="4">
        <v>44</v>
      </c>
      <c r="O47" s="8">
        <f>$B$7*COUNTIF(Sheet2!$B$1:$B$132,N47)</f>
        <v>0</v>
      </c>
      <c r="P47" s="8">
        <f t="shared" ca="1" si="4"/>
        <v>0</v>
      </c>
      <c r="Q47" s="8">
        <f ca="1">CEILING(R46*(IF(N47&lt;=IF($B$2=0,0,OFFSET(Sheet2!$B$1,Sheet1!$B$2-1,0)),$B$1/(365*100),$B$3/(365*100)))*100,1)/100</f>
        <v>406.77</v>
      </c>
      <c r="R47" s="9">
        <f t="shared" ca="1" si="12"/>
        <v>996850.75447643537</v>
      </c>
    </row>
    <row r="48" spans="1:18" x14ac:dyDescent="0.25">
      <c r="A48">
        <v>1</v>
      </c>
      <c r="B48">
        <v>0</v>
      </c>
      <c r="C48">
        <v>1</v>
      </c>
      <c r="D48">
        <v>14.9</v>
      </c>
      <c r="E48">
        <v>26</v>
      </c>
      <c r="F48">
        <v>4.472638538461543E-2</v>
      </c>
      <c r="G48" t="str">
        <f t="shared" si="8"/>
        <v>Insert into BlueCreditTypeRainbow Values (1, 0, 1, 14.9, 26, 0.0447263853846154)</v>
      </c>
      <c r="H48" s="4">
        <v>45</v>
      </c>
      <c r="I48" s="8">
        <f t="shared" ca="1" si="1"/>
        <v>21090.744593075015</v>
      </c>
      <c r="J48" s="8">
        <f t="shared" ca="1" si="11"/>
        <v>14929.040770122545</v>
      </c>
      <c r="K48" s="8">
        <f t="shared" ca="1" si="2"/>
        <v>6161.7038229524705</v>
      </c>
      <c r="L48" s="9">
        <f t="shared" ca="1" si="3"/>
        <v>481315.56242068048</v>
      </c>
      <c r="N48" s="4">
        <v>45</v>
      </c>
      <c r="O48" s="8">
        <f>$B$7*COUNTIF(Sheet2!$B$1:$B$132,N48)</f>
        <v>0</v>
      </c>
      <c r="P48" s="8">
        <f t="shared" ca="1" si="4"/>
        <v>0</v>
      </c>
      <c r="Q48" s="8">
        <f ca="1">CEILING(R47*(IF(N48&lt;=IF($B$2=0,0,OFFSET(Sheet2!$B$1,Sheet1!$B$2-1,0)),$B$1/(365*100),$B$3/(365*100)))*100,1)/100</f>
        <v>406.94</v>
      </c>
      <c r="R48" s="9">
        <f t="shared" ca="1" si="12"/>
        <v>997257.69447643531</v>
      </c>
    </row>
    <row r="49" spans="1:18" x14ac:dyDescent="0.25">
      <c r="A49">
        <v>1</v>
      </c>
      <c r="B49">
        <v>0</v>
      </c>
      <c r="C49">
        <v>1</v>
      </c>
      <c r="D49">
        <v>14.9</v>
      </c>
      <c r="E49">
        <v>27</v>
      </c>
      <c r="F49">
        <v>4.332387814814815E-2</v>
      </c>
      <c r="G49" t="str">
        <f t="shared" si="8"/>
        <v>Insert into BlueCreditTypeRainbow Values (1, 0, 1, 14.9, 27, 0.0433238781481481)</v>
      </c>
      <c r="H49" s="4">
        <v>46</v>
      </c>
      <c r="I49" s="8">
        <f t="shared" ca="1" si="1"/>
        <v>21090.744593075015</v>
      </c>
      <c r="J49" s="8">
        <f t="shared" ca="1" si="11"/>
        <v>15114.409693018231</v>
      </c>
      <c r="K49" s="8">
        <f t="shared" ca="1" si="2"/>
        <v>5976.3349000567823</v>
      </c>
      <c r="L49" s="9">
        <f t="shared" ca="1" si="3"/>
        <v>466201.15272766224</v>
      </c>
      <c r="N49" s="4">
        <v>46</v>
      </c>
      <c r="O49" s="8">
        <f>$B$7*COUNTIF(Sheet2!$B$1:$B$132,N49)</f>
        <v>0</v>
      </c>
      <c r="P49" s="8">
        <f t="shared" ca="1" si="4"/>
        <v>0</v>
      </c>
      <c r="Q49" s="8">
        <f ca="1">CEILING(R48*(IF(N49&lt;=IF($B$2=0,0,OFFSET(Sheet2!$B$1,Sheet1!$B$2-1,0)),$B$1/(365*100),$B$3/(365*100)))*100,1)/100</f>
        <v>407.1</v>
      </c>
      <c r="R49" s="9">
        <f t="shared" ca="1" si="12"/>
        <v>997664.79447643529</v>
      </c>
    </row>
    <row r="50" spans="1:18" x14ac:dyDescent="0.25">
      <c r="A50">
        <v>1</v>
      </c>
      <c r="B50">
        <v>0</v>
      </c>
      <c r="C50">
        <v>1</v>
      </c>
      <c r="D50">
        <v>14.9</v>
      </c>
      <c r="E50">
        <v>28</v>
      </c>
      <c r="F50">
        <v>4.202271039121324E-2</v>
      </c>
      <c r="G50" t="str">
        <f t="shared" si="8"/>
        <v>Insert into BlueCreditTypeRainbow Values (1, 0, 1, 14.9, 28, 0.0420227103912132)</v>
      </c>
      <c r="H50" s="4">
        <v>47</v>
      </c>
      <c r="I50" s="8">
        <f t="shared" ca="1" si="1"/>
        <v>21090.744593075015</v>
      </c>
      <c r="J50" s="8">
        <f t="shared" ca="1" si="11"/>
        <v>15302.080280039874</v>
      </c>
      <c r="K50" s="8">
        <f t="shared" ca="1" si="2"/>
        <v>5788.6643130351395</v>
      </c>
      <c r="L50" s="9">
        <f t="shared" ca="1" si="3"/>
        <v>450899.07244762237</v>
      </c>
      <c r="N50" s="4">
        <v>47</v>
      </c>
      <c r="O50" s="8">
        <f>$B$7*COUNTIF(Sheet2!$B$1:$B$132,N50)</f>
        <v>0</v>
      </c>
      <c r="P50" s="8">
        <f t="shared" ca="1" si="4"/>
        <v>0</v>
      </c>
      <c r="Q50" s="8">
        <f ca="1">CEILING(R49*(IF(N50&lt;=IF($B$2=0,0,OFFSET(Sheet2!$B$1,Sheet1!$B$2-1,0)),$B$1/(365*100),$B$3/(365*100)))*100,1)/100</f>
        <v>407.27</v>
      </c>
      <c r="R50" s="9">
        <f t="shared" ca="1" si="12"/>
        <v>998072.06447643531</v>
      </c>
    </row>
    <row r="51" spans="1:18" x14ac:dyDescent="0.25">
      <c r="A51">
        <v>1</v>
      </c>
      <c r="B51">
        <v>0</v>
      </c>
      <c r="C51">
        <v>1</v>
      </c>
      <c r="D51">
        <v>14.9</v>
      </c>
      <c r="E51">
        <v>29</v>
      </c>
      <c r="F51">
        <v>4.0811913793103512E-2</v>
      </c>
      <c r="G51" t="str">
        <f t="shared" si="8"/>
        <v>Insert into BlueCreditTypeRainbow Values (1, 0, 1, 14.9, 29, 0.0408119137931035)</v>
      </c>
      <c r="H51" s="4">
        <v>48</v>
      </c>
      <c r="I51" s="8">
        <f t="shared" ca="1" si="1"/>
        <v>21090.744593075015</v>
      </c>
      <c r="J51" s="8">
        <f t="shared" ca="1" si="11"/>
        <v>15492.081110183703</v>
      </c>
      <c r="K51" s="8">
        <f t="shared" ca="1" si="2"/>
        <v>5598.6634828913111</v>
      </c>
      <c r="L51" s="9">
        <f t="shared" ca="1" si="3"/>
        <v>435406.9913374387</v>
      </c>
      <c r="N51" s="4">
        <v>48</v>
      </c>
      <c r="O51" s="8">
        <f>$B$7*COUNTIF(Sheet2!$B$1:$B$132,N51)</f>
        <v>0</v>
      </c>
      <c r="P51" s="8">
        <f t="shared" ca="1" si="4"/>
        <v>0</v>
      </c>
      <c r="Q51" s="8">
        <f ca="1">CEILING(R50*(IF(N51&lt;=IF($B$2=0,0,OFFSET(Sheet2!$B$1,Sheet1!$B$2-1,0)),$B$1/(365*100),$B$3/(365*100)))*100,1)/100</f>
        <v>407.44</v>
      </c>
      <c r="R51" s="9">
        <f t="shared" ca="1" si="12"/>
        <v>998479.50447643525</v>
      </c>
    </row>
    <row r="52" spans="1:18" x14ac:dyDescent="0.25">
      <c r="A52">
        <v>1</v>
      </c>
      <c r="B52">
        <v>0</v>
      </c>
      <c r="C52">
        <v>1</v>
      </c>
      <c r="D52">
        <v>14.9</v>
      </c>
      <c r="E52">
        <v>30</v>
      </c>
      <c r="F52">
        <v>3.9682905000000095E-2</v>
      </c>
      <c r="G52" t="str">
        <f t="shared" si="8"/>
        <v>Insert into BlueCreditTypeRainbow Values (1, 0, 1, 14.9, 30, 0.0396829050000001)</v>
      </c>
      <c r="H52" s="4">
        <v>49</v>
      </c>
      <c r="I52" s="8">
        <f t="shared" ca="1" si="1"/>
        <v>21090.744593075015</v>
      </c>
      <c r="J52" s="8">
        <f t="shared" ca="1" si="11"/>
        <v>15684.441117301818</v>
      </c>
      <c r="K52" s="8">
        <f t="shared" ca="1" si="2"/>
        <v>5406.3034757731966</v>
      </c>
      <c r="L52" s="9">
        <f t="shared" ca="1" si="3"/>
        <v>419722.55022013688</v>
      </c>
      <c r="N52" s="4">
        <v>49</v>
      </c>
      <c r="O52" s="8">
        <f>$B$7*COUNTIF(Sheet2!$B$1:$B$132,N52)</f>
        <v>0</v>
      </c>
      <c r="P52" s="8">
        <f t="shared" ca="1" si="4"/>
        <v>0</v>
      </c>
      <c r="Q52" s="8">
        <f ca="1">CEILING(R51*(IF(N52&lt;=IF($B$2=0,0,OFFSET(Sheet2!$B$1,Sheet1!$B$2-1,0)),$B$1/(365*100),$B$3/(365*100)))*100,1)/100</f>
        <v>407.6</v>
      </c>
      <c r="R52" s="9">
        <f t="shared" ca="1" si="12"/>
        <v>998887.10447643523</v>
      </c>
    </row>
    <row r="53" spans="1:18" x14ac:dyDescent="0.25">
      <c r="A53">
        <v>1</v>
      </c>
      <c r="B53">
        <v>0</v>
      </c>
      <c r="C53">
        <v>0</v>
      </c>
      <c r="D53">
        <v>14.9</v>
      </c>
      <c r="E53">
        <v>18</v>
      </c>
      <c r="F53">
        <v>6.2393440017181535E-2</v>
      </c>
      <c r="G53" t="str">
        <f t="shared" si="8"/>
        <v>Insert into BlueCreditTypeRainbow Values (1, 0, 0, 14.9, 18, 0.0623934400171815)</v>
      </c>
      <c r="H53" s="4">
        <v>50</v>
      </c>
      <c r="I53" s="8">
        <f t="shared" ca="1" si="1"/>
        <v>21090.744593075015</v>
      </c>
      <c r="J53" s="8">
        <f t="shared" ca="1" si="11"/>
        <v>15879.189594508316</v>
      </c>
      <c r="K53" s="8">
        <f t="shared" ca="1" si="2"/>
        <v>5211.5549985666994</v>
      </c>
      <c r="L53" s="9">
        <f t="shared" ca="1" si="3"/>
        <v>403843.36062562856</v>
      </c>
      <c r="N53" s="4">
        <v>50</v>
      </c>
      <c r="O53" s="8">
        <f>$B$7*COUNTIF(Sheet2!$B$1:$B$132,N53)</f>
        <v>0</v>
      </c>
      <c r="P53" s="8">
        <f t="shared" ca="1" si="4"/>
        <v>0</v>
      </c>
      <c r="Q53" s="8">
        <f ca="1">CEILING(R52*(IF(N53&lt;=IF($B$2=0,0,OFFSET(Sheet2!$B$1,Sheet1!$B$2-1,0)),$B$1/(365*100),$B$3/(365*100)))*100,1)/100</f>
        <v>407.77</v>
      </c>
      <c r="R53" s="9">
        <f t="shared" ca="1" si="12"/>
        <v>999294.87447643525</v>
      </c>
    </row>
    <row r="54" spans="1:18" x14ac:dyDescent="0.25">
      <c r="A54">
        <v>1</v>
      </c>
      <c r="B54">
        <v>0</v>
      </c>
      <c r="C54">
        <v>0</v>
      </c>
      <c r="D54">
        <v>14.9</v>
      </c>
      <c r="E54">
        <v>19</v>
      </c>
      <c r="F54">
        <v>5.9464146244505224E-2</v>
      </c>
      <c r="G54" t="str">
        <f t="shared" si="8"/>
        <v>Insert into BlueCreditTypeRainbow Values (1, 0, 0, 14.9, 19, 0.0594641462445052)</v>
      </c>
      <c r="H54" s="4">
        <v>51</v>
      </c>
      <c r="I54" s="8">
        <f t="shared" ca="1" si="1"/>
        <v>21090.744593075015</v>
      </c>
      <c r="J54" s="8">
        <f t="shared" ca="1" si="11"/>
        <v>16076.356198640126</v>
      </c>
      <c r="K54" s="8">
        <f t="shared" ca="1" si="2"/>
        <v>5014.3883944348881</v>
      </c>
      <c r="L54" s="9">
        <f t="shared" ca="1" si="3"/>
        <v>387767.00442698842</v>
      </c>
      <c r="N54" s="4">
        <v>51</v>
      </c>
      <c r="O54" s="8">
        <f>$B$7*COUNTIF(Sheet2!$B$1:$B$132,N54)</f>
        <v>0</v>
      </c>
      <c r="P54" s="8">
        <f t="shared" ca="1" si="4"/>
        <v>0</v>
      </c>
      <c r="Q54" s="8">
        <f ca="1">CEILING(R53*(IF(N54&lt;=IF($B$2=0,0,OFFSET(Sheet2!$B$1,Sheet1!$B$2-1,0)),$B$1/(365*100),$B$3/(365*100)))*100,1)/100</f>
        <v>407.94</v>
      </c>
      <c r="R54" s="9">
        <f t="shared" ca="1" si="12"/>
        <v>999702.81447643519</v>
      </c>
    </row>
    <row r="55" spans="1:18" x14ac:dyDescent="0.25">
      <c r="A55">
        <v>1</v>
      </c>
      <c r="B55">
        <v>0</v>
      </c>
      <c r="C55">
        <v>0</v>
      </c>
      <c r="D55">
        <v>14.9</v>
      </c>
      <c r="E55">
        <v>20</v>
      </c>
      <c r="F55">
        <v>5.6828574537759829E-2</v>
      </c>
      <c r="G55" t="str">
        <f t="shared" si="8"/>
        <v>Insert into BlueCreditTypeRainbow Values (1, 0, 0, 14.9, 20, 0.0568285745377598)</v>
      </c>
      <c r="H55" s="4">
        <v>52</v>
      </c>
      <c r="I55" s="8">
        <f t="shared" ca="1" si="1"/>
        <v>21090.744593075015</v>
      </c>
      <c r="J55" s="8">
        <f t="shared" ca="1" si="11"/>
        <v>16275.970954773242</v>
      </c>
      <c r="K55" s="8">
        <f t="shared" ca="1" si="2"/>
        <v>4814.7736383017727</v>
      </c>
      <c r="L55" s="9">
        <f t="shared" ca="1" si="3"/>
        <v>371491.03347221517</v>
      </c>
      <c r="N55" s="4">
        <v>52</v>
      </c>
      <c r="O55" s="8">
        <f>$B$7*COUNTIF(Sheet2!$B$1:$B$132,N55)</f>
        <v>0</v>
      </c>
      <c r="P55" s="8">
        <f t="shared" ca="1" si="4"/>
        <v>0</v>
      </c>
      <c r="Q55" s="8">
        <f ca="1">CEILING(R54*(IF(N55&lt;=IF($B$2=0,0,OFFSET(Sheet2!$B$1,Sheet1!$B$2-1,0)),$B$1/(365*100),$B$3/(365*100)))*100,1)/100</f>
        <v>408.1</v>
      </c>
      <c r="R55" s="9">
        <f t="shared" ca="1" si="12"/>
        <v>1000110.9144764352</v>
      </c>
    </row>
    <row r="56" spans="1:18" x14ac:dyDescent="0.25">
      <c r="A56">
        <v>1</v>
      </c>
      <c r="B56">
        <v>0</v>
      </c>
      <c r="C56">
        <v>0</v>
      </c>
      <c r="D56">
        <v>14.9</v>
      </c>
      <c r="E56">
        <v>21</v>
      </c>
      <c r="F56">
        <v>5.4445778591642499E-2</v>
      </c>
      <c r="G56" t="str">
        <f t="shared" si="8"/>
        <v>Insert into BlueCreditTypeRainbow Values (1, 0, 0, 14.9, 21, 0.0544457785916425)</v>
      </c>
      <c r="H56" s="4">
        <v>53</v>
      </c>
      <c r="I56" s="8">
        <f t="shared" ca="1" si="1"/>
        <v>21090.744593075015</v>
      </c>
      <c r="J56" s="8">
        <f t="shared" ref="J56:J68" ca="1" si="13">I56-K56</f>
        <v>16478.06426079501</v>
      </c>
      <c r="K56" s="8">
        <f t="shared" ca="1" si="2"/>
        <v>4612.6803322800051</v>
      </c>
      <c r="L56" s="9">
        <f t="shared" ca="1" si="3"/>
        <v>355012.96921142016</v>
      </c>
      <c r="N56" s="4">
        <v>53</v>
      </c>
      <c r="O56" s="8">
        <f>$B$7*COUNTIF(Sheet2!$B$1:$B$132,N56)</f>
        <v>0</v>
      </c>
      <c r="P56" s="8">
        <f t="shared" ca="1" si="4"/>
        <v>0</v>
      </c>
      <c r="Q56" s="8">
        <f ca="1">CEILING(R55*(IF(N56&lt;=IF($B$2=0,0,OFFSET(Sheet2!$B$1,Sheet1!$B$2-1,0)),$B$1/(365*100),$B$3/(365*100)))*100,1)/100</f>
        <v>408.27</v>
      </c>
      <c r="R56" s="9">
        <f t="shared" ref="R56:R68" ca="1" si="14">R55+Q56-O56</f>
        <v>1000519.1844764352</v>
      </c>
    </row>
    <row r="57" spans="1:18" x14ac:dyDescent="0.25">
      <c r="A57">
        <v>1</v>
      </c>
      <c r="B57">
        <v>0</v>
      </c>
      <c r="C57">
        <v>0</v>
      </c>
      <c r="D57">
        <v>14.9</v>
      </c>
      <c r="E57">
        <v>22</v>
      </c>
      <c r="F57">
        <v>5.2280354090909163E-2</v>
      </c>
      <c r="G57" t="str">
        <f t="shared" si="8"/>
        <v>Insert into BlueCreditTypeRainbow Values (1, 0, 0, 14.9, 22, 0.0522803540909092)</v>
      </c>
      <c r="H57" s="4">
        <v>54</v>
      </c>
      <c r="I57" s="8">
        <f t="shared" ca="1" si="1"/>
        <v>21090.744593075015</v>
      </c>
      <c r="J57" s="8">
        <f t="shared" ca="1" si="13"/>
        <v>16682.666892033216</v>
      </c>
      <c r="K57" s="8">
        <f t="shared" ca="1" si="2"/>
        <v>4408.0777010418005</v>
      </c>
      <c r="L57" s="9">
        <f t="shared" ca="1" si="3"/>
        <v>338330.30231938697</v>
      </c>
      <c r="N57" s="4">
        <v>54</v>
      </c>
      <c r="O57" s="8">
        <f>$B$7*COUNTIF(Sheet2!$B$1:$B$132,N57)</f>
        <v>0</v>
      </c>
      <c r="P57" s="8">
        <f t="shared" ca="1" si="4"/>
        <v>0</v>
      </c>
      <c r="Q57" s="8">
        <f ca="1">CEILING(R56*(IF(N57&lt;=IF($B$2=0,0,OFFSET(Sheet2!$B$1,Sheet1!$B$2-1,0)),$B$1/(365*100),$B$3/(365*100)))*100,1)/100</f>
        <v>408.44</v>
      </c>
      <c r="R57" s="9">
        <f t="shared" ca="1" si="14"/>
        <v>1000927.6244764351</v>
      </c>
    </row>
    <row r="58" spans="1:18" x14ac:dyDescent="0.25">
      <c r="A58">
        <v>1</v>
      </c>
      <c r="B58">
        <v>0</v>
      </c>
      <c r="C58">
        <v>0</v>
      </c>
      <c r="D58">
        <v>14.9</v>
      </c>
      <c r="E58">
        <v>23</v>
      </c>
      <c r="F58">
        <v>5.0304788260869586E-2</v>
      </c>
      <c r="G58" t="str">
        <f t="shared" si="8"/>
        <v>Insert into BlueCreditTypeRainbow Values (1, 0, 0, 14.9, 23, 0.0503047882608696)</v>
      </c>
      <c r="H58" s="4">
        <v>55</v>
      </c>
      <c r="I58" s="8">
        <f t="shared" ca="1" si="1"/>
        <v>21090.744593075015</v>
      </c>
      <c r="J58" s="8">
        <f t="shared" ca="1" si="13"/>
        <v>16889.810005942625</v>
      </c>
      <c r="K58" s="8">
        <f t="shared" ca="1" si="2"/>
        <v>4200.9345871323885</v>
      </c>
      <c r="L58" s="9">
        <f t="shared" ca="1" si="3"/>
        <v>321440.49231344432</v>
      </c>
      <c r="N58" s="4">
        <v>55</v>
      </c>
      <c r="O58" s="8">
        <f>$B$7*COUNTIF(Sheet2!$B$1:$B$132,N58)</f>
        <v>0</v>
      </c>
      <c r="P58" s="8">
        <f t="shared" ca="1" si="4"/>
        <v>0</v>
      </c>
      <c r="Q58" s="8">
        <f ca="1">CEILING(R57*(IF(N58&lt;=IF($B$2=0,0,OFFSET(Sheet2!$B$1,Sheet1!$B$2-1,0)),$B$1/(365*100),$B$3/(365*100)))*100,1)/100</f>
        <v>408.6</v>
      </c>
      <c r="R58" s="9">
        <f t="shared" ca="1" si="14"/>
        <v>1001336.2244764351</v>
      </c>
    </row>
    <row r="59" spans="1:18" x14ac:dyDescent="0.25">
      <c r="A59">
        <v>1</v>
      </c>
      <c r="B59">
        <v>0</v>
      </c>
      <c r="C59">
        <v>0</v>
      </c>
      <c r="D59">
        <v>14.9</v>
      </c>
      <c r="E59">
        <v>24</v>
      </c>
      <c r="F59">
        <v>4.8494577997977864E-2</v>
      </c>
      <c r="G59" t="str">
        <f t="shared" si="8"/>
        <v>Insert into BlueCreditTypeRainbow Values (1, 0, 0, 14.9, 24, 0.0484945779979779)</v>
      </c>
      <c r="H59" s="4">
        <v>56</v>
      </c>
      <c r="I59" s="8">
        <f t="shared" ca="1" si="1"/>
        <v>21090.744593075015</v>
      </c>
      <c r="J59" s="8">
        <f t="shared" ca="1" si="13"/>
        <v>17099.525146849748</v>
      </c>
      <c r="K59" s="8">
        <f t="shared" ca="1" si="2"/>
        <v>3991.2194462252669</v>
      </c>
      <c r="L59" s="9">
        <f t="shared" ca="1" si="3"/>
        <v>304340.96716659458</v>
      </c>
      <c r="N59" s="4">
        <v>56</v>
      </c>
      <c r="O59" s="8">
        <f>$B$7*COUNTIF(Sheet2!$B$1:$B$132,N59)</f>
        <v>0</v>
      </c>
      <c r="P59" s="8">
        <f t="shared" ca="1" si="4"/>
        <v>0</v>
      </c>
      <c r="Q59" s="8">
        <f ca="1">CEILING(R58*(IF(N59&lt;=IF($B$2=0,0,OFFSET(Sheet2!$B$1,Sheet1!$B$2-1,0)),$B$1/(365*100),$B$3/(365*100)))*100,1)/100</f>
        <v>408.77</v>
      </c>
      <c r="R59" s="9">
        <f t="shared" ca="1" si="14"/>
        <v>1001744.9944764351</v>
      </c>
    </row>
    <row r="60" spans="1:18" x14ac:dyDescent="0.25">
      <c r="A60">
        <v>1</v>
      </c>
      <c r="B60">
        <v>0</v>
      </c>
      <c r="C60">
        <v>0</v>
      </c>
      <c r="D60">
        <v>14.9</v>
      </c>
      <c r="E60">
        <v>25</v>
      </c>
      <c r="F60">
        <v>4.6830578655964905E-2</v>
      </c>
      <c r="G60" t="str">
        <f t="shared" si="8"/>
        <v>Insert into BlueCreditTypeRainbow Values (1, 0, 0, 14.9, 25, 0.0468305786559649)</v>
      </c>
      <c r="H60" s="4">
        <v>57</v>
      </c>
      <c r="I60" s="8">
        <f t="shared" ca="1" si="1"/>
        <v>21090.744593075015</v>
      </c>
      <c r="J60" s="8">
        <f t="shared" ca="1" si="13"/>
        <v>17311.844250756465</v>
      </c>
      <c r="K60" s="8">
        <f t="shared" ca="1" si="2"/>
        <v>3778.9003423185491</v>
      </c>
      <c r="L60" s="9">
        <f t="shared" ca="1" si="3"/>
        <v>287029.12291583809</v>
      </c>
      <c r="N60" s="4">
        <v>57</v>
      </c>
      <c r="O60" s="8">
        <f>$B$7*COUNTIF(Sheet2!$B$1:$B$132,N60)</f>
        <v>0</v>
      </c>
      <c r="P60" s="8">
        <f t="shared" ca="1" si="4"/>
        <v>0</v>
      </c>
      <c r="Q60" s="8">
        <f ca="1">CEILING(R59*(IF(N60&lt;=IF($B$2=0,0,OFFSET(Sheet2!$B$1,Sheet1!$B$2-1,0)),$B$1/(365*100),$B$3/(365*100)))*100,1)/100</f>
        <v>408.94</v>
      </c>
      <c r="R60" s="9">
        <f t="shared" ca="1" si="14"/>
        <v>1002153.9344764351</v>
      </c>
    </row>
    <row r="61" spans="1:18" x14ac:dyDescent="0.25">
      <c r="A61">
        <v>1</v>
      </c>
      <c r="B61">
        <v>0</v>
      </c>
      <c r="C61">
        <v>0</v>
      </c>
      <c r="D61">
        <v>14.9</v>
      </c>
      <c r="E61">
        <v>26</v>
      </c>
      <c r="F61">
        <v>4.5295867730531687E-2</v>
      </c>
      <c r="G61" t="str">
        <f t="shared" si="8"/>
        <v>Insert into BlueCreditTypeRainbow Values (1, 0, 0, 14.9, 26, 0.0452958677305317)</v>
      </c>
      <c r="H61" s="4">
        <v>58</v>
      </c>
      <c r="I61" s="8">
        <f t="shared" ca="1" si="1"/>
        <v>21090.744593075015</v>
      </c>
      <c r="J61" s="8">
        <f t="shared" ca="1" si="13"/>
        <v>17526.799650203357</v>
      </c>
      <c r="K61" s="8">
        <f t="shared" ca="1" si="2"/>
        <v>3563.9449428716562</v>
      </c>
      <c r="L61" s="9">
        <f t="shared" ca="1" si="3"/>
        <v>269502.32326563471</v>
      </c>
      <c r="N61" s="4">
        <v>58</v>
      </c>
      <c r="O61" s="8">
        <f>$B$7*COUNTIF(Sheet2!$B$1:$B$132,N61)</f>
        <v>0</v>
      </c>
      <c r="P61" s="8">
        <f t="shared" ca="1" si="4"/>
        <v>0</v>
      </c>
      <c r="Q61" s="8">
        <f ca="1">CEILING(R60*(IF(N61&lt;=IF($B$2=0,0,OFFSET(Sheet2!$B$1,Sheet1!$B$2-1,0)),$B$1/(365*100),$B$3/(365*100)))*100,1)/100</f>
        <v>409.1</v>
      </c>
      <c r="R61" s="9">
        <f t="shared" ca="1" si="14"/>
        <v>1002563.034476435</v>
      </c>
    </row>
    <row r="62" spans="1:18" x14ac:dyDescent="0.25">
      <c r="A62">
        <v>1</v>
      </c>
      <c r="B62">
        <v>0</v>
      </c>
      <c r="C62">
        <v>0</v>
      </c>
      <c r="D62">
        <v>14.9</v>
      </c>
      <c r="E62">
        <v>27</v>
      </c>
      <c r="F62">
        <v>4.3875503718466352E-2</v>
      </c>
      <c r="G62" t="str">
        <f t="shared" si="8"/>
        <v>Insert into BlueCreditTypeRainbow Values (1, 0, 0, 14.9, 27, 0.0438755037184664)</v>
      </c>
      <c r="H62" s="4">
        <v>59</v>
      </c>
      <c r="I62" s="8">
        <f t="shared" ca="1" si="1"/>
        <v>21090.744593075015</v>
      </c>
      <c r="J62" s="8">
        <f t="shared" ca="1" si="13"/>
        <v>17744.424079193384</v>
      </c>
      <c r="K62" s="8">
        <f t="shared" ca="1" si="2"/>
        <v>3346.3205138816306</v>
      </c>
      <c r="L62" s="9">
        <f t="shared" ca="1" si="3"/>
        <v>251757.89918644133</v>
      </c>
      <c r="N62" s="4">
        <v>59</v>
      </c>
      <c r="O62" s="8">
        <f>$B$7*COUNTIF(Sheet2!$B$1:$B$132,N62)</f>
        <v>0</v>
      </c>
      <c r="P62" s="8">
        <f t="shared" ca="1" si="4"/>
        <v>0</v>
      </c>
      <c r="Q62" s="8">
        <f ca="1">CEILING(R61*(IF(N62&lt;=IF($B$2=0,0,OFFSET(Sheet2!$B$1,Sheet1!$B$2-1,0)),$B$1/(365*100),$B$3/(365*100)))*100,1)/100</f>
        <v>409.27</v>
      </c>
      <c r="R62" s="9">
        <f t="shared" ca="1" si="14"/>
        <v>1002972.3044764351</v>
      </c>
    </row>
    <row r="63" spans="1:18" x14ac:dyDescent="0.25">
      <c r="A63">
        <v>1</v>
      </c>
      <c r="B63">
        <v>0</v>
      </c>
      <c r="C63">
        <v>0</v>
      </c>
      <c r="D63">
        <v>14.9</v>
      </c>
      <c r="E63">
        <v>28</v>
      </c>
      <c r="F63">
        <v>4.2557778214285691E-2</v>
      </c>
      <c r="G63" t="str">
        <f t="shared" si="8"/>
        <v>Insert into BlueCreditTypeRainbow Values (1, 0, 0, 14.9, 28, 0.0425577782142857)</v>
      </c>
      <c r="H63" s="4">
        <v>60</v>
      </c>
      <c r="I63" s="8">
        <f t="shared" ca="1" si="1"/>
        <v>21090.744593075015</v>
      </c>
      <c r="J63" s="8">
        <f t="shared" ca="1" si="13"/>
        <v>17964.750678176701</v>
      </c>
      <c r="K63" s="8">
        <f t="shared" ca="1" si="2"/>
        <v>3125.9939148983131</v>
      </c>
      <c r="L63" s="9">
        <f t="shared" ca="1" si="3"/>
        <v>233793.14850826462</v>
      </c>
      <c r="N63" s="4">
        <v>60</v>
      </c>
      <c r="O63" s="8">
        <f>$B$7*COUNTIF(Sheet2!$B$1:$B$132,N63)</f>
        <v>0</v>
      </c>
      <c r="P63" s="8">
        <f t="shared" ca="1" si="4"/>
        <v>0</v>
      </c>
      <c r="Q63" s="8">
        <f ca="1">CEILING(R62*(IF(N63&lt;=IF($B$2=0,0,OFFSET(Sheet2!$B$1,Sheet1!$B$2-1,0)),$B$1/(365*100),$B$3/(365*100)))*100,1)/100</f>
        <v>409.44</v>
      </c>
      <c r="R63" s="9">
        <f t="shared" ca="1" si="14"/>
        <v>1003381.744476435</v>
      </c>
    </row>
    <row r="64" spans="1:18" x14ac:dyDescent="0.25">
      <c r="A64">
        <v>1</v>
      </c>
      <c r="B64">
        <v>0</v>
      </c>
      <c r="C64">
        <v>0</v>
      </c>
      <c r="D64">
        <v>14.9</v>
      </c>
      <c r="E64">
        <v>29</v>
      </c>
      <c r="F64">
        <v>4.1331559343646553E-2</v>
      </c>
      <c r="G64" t="str">
        <f t="shared" si="8"/>
        <v>Insert into BlueCreditTypeRainbow Values (1, 0, 0, 14.9, 29, 0.0413315593436466)</v>
      </c>
      <c r="H64" s="4">
        <v>61</v>
      </c>
      <c r="I64" s="8">
        <f t="shared" ca="1" si="1"/>
        <v>21090.744593075015</v>
      </c>
      <c r="J64" s="8">
        <f t="shared" ca="1" si="13"/>
        <v>18187.812999097398</v>
      </c>
      <c r="K64" s="8">
        <f t="shared" ca="1" si="2"/>
        <v>2902.9315939776188</v>
      </c>
      <c r="L64" s="9">
        <f t="shared" ca="1" si="3"/>
        <v>215605.33550916723</v>
      </c>
      <c r="N64" s="4">
        <v>61</v>
      </c>
      <c r="O64" s="8">
        <f>$B$7*COUNTIF(Sheet2!$B$1:$B$132,N64)</f>
        <v>21157.10552356458</v>
      </c>
      <c r="P64" s="8">
        <f t="shared" ca="1" si="4"/>
        <v>20747.505523564581</v>
      </c>
      <c r="Q64" s="8">
        <f ca="1">CEILING(R63*(IF(N64&lt;=IF($B$2=0,0,OFFSET(Sheet2!$B$1,Sheet1!$B$2-1,0)),$B$1/(365*100),$B$3/(365*100)))*100,1)/100</f>
        <v>409.6</v>
      </c>
      <c r="R64" s="9">
        <f t="shared" ca="1" si="14"/>
        <v>982634.23895287036</v>
      </c>
    </row>
    <row r="65" spans="1:18" x14ac:dyDescent="0.25">
      <c r="A65">
        <v>1</v>
      </c>
      <c r="B65">
        <v>0</v>
      </c>
      <c r="C65">
        <v>0</v>
      </c>
      <c r="D65">
        <v>14.9</v>
      </c>
      <c r="E65">
        <v>30</v>
      </c>
      <c r="F65">
        <v>4.0188174014813678E-2</v>
      </c>
      <c r="G65" t="str">
        <f t="shared" si="8"/>
        <v>Insert into BlueCreditTypeRainbow Values (1, 0, 0, 14.9, 30, 0.0401881740148137)</v>
      </c>
      <c r="H65" s="4">
        <v>62</v>
      </c>
      <c r="I65" s="8">
        <f t="shared" ca="1" si="1"/>
        <v>21090.744593075015</v>
      </c>
      <c r="J65" s="8">
        <f t="shared" ca="1" si="13"/>
        <v>18413.645010502856</v>
      </c>
      <c r="K65" s="8">
        <f t="shared" ca="1" si="2"/>
        <v>2677.0995825721598</v>
      </c>
      <c r="L65" s="9">
        <f t="shared" ca="1" si="3"/>
        <v>197191.69049866436</v>
      </c>
      <c r="N65" s="4">
        <v>62</v>
      </c>
      <c r="O65" s="8">
        <f>$B$7*COUNTIF(Sheet2!$B$1:$B$132,N65)</f>
        <v>0</v>
      </c>
      <c r="P65" s="8">
        <f t="shared" ca="1" si="4"/>
        <v>0</v>
      </c>
      <c r="Q65" s="8">
        <f ca="1">CEILING(R64*(IF(N65&lt;=IF($B$2=0,0,OFFSET(Sheet2!$B$1,Sheet1!$B$2-1,0)),$B$1/(365*100),$B$3/(365*100)))*100,1)/100</f>
        <v>401.14</v>
      </c>
      <c r="R65" s="9">
        <f t="shared" ca="1" si="14"/>
        <v>983035.37895287038</v>
      </c>
    </row>
    <row r="66" spans="1:18" x14ac:dyDescent="0.25">
      <c r="A66">
        <v>2</v>
      </c>
      <c r="B66">
        <v>0</v>
      </c>
      <c r="C66">
        <v>6</v>
      </c>
      <c r="D66">
        <v>16.899999999999999</v>
      </c>
      <c r="E66">
        <v>24</v>
      </c>
      <c r="F66">
        <v>4.5900651666666702E-2</v>
      </c>
      <c r="G66" t="str">
        <f t="shared" si="8"/>
        <v>Insert into BlueCreditTypeRainbow Values (2, 0, 6, 16.9, 24, 0.0459006516666667)</v>
      </c>
      <c r="H66" s="4">
        <v>63</v>
      </c>
      <c r="I66" s="8">
        <f t="shared" ca="1" si="1"/>
        <v>21090.744593075015</v>
      </c>
      <c r="J66" s="8">
        <f t="shared" ca="1" si="13"/>
        <v>18642.281102716599</v>
      </c>
      <c r="K66" s="8">
        <f t="shared" ca="1" si="2"/>
        <v>2448.4634903584156</v>
      </c>
      <c r="L66" s="9">
        <f t="shared" ca="1" si="3"/>
        <v>178549.40939594776</v>
      </c>
      <c r="N66" s="4">
        <v>63</v>
      </c>
      <c r="O66" s="8">
        <f>$B$7*COUNTIF(Sheet2!$B$1:$B$132,N66)</f>
        <v>0</v>
      </c>
      <c r="P66" s="8">
        <f t="shared" ca="1" si="4"/>
        <v>0</v>
      </c>
      <c r="Q66" s="8">
        <f ca="1">CEILING(R65*(IF(N66&lt;=IF($B$2=0,0,OFFSET(Sheet2!$B$1,Sheet1!$B$2-1,0)),$B$1/(365*100),$B$3/(365*100)))*100,1)/100</f>
        <v>401.3</v>
      </c>
      <c r="R66" s="9">
        <f t="shared" ca="1" si="14"/>
        <v>983436.67895287042</v>
      </c>
    </row>
    <row r="67" spans="1:18" x14ac:dyDescent="0.25">
      <c r="A67">
        <v>2</v>
      </c>
      <c r="B67">
        <v>0</v>
      </c>
      <c r="C67">
        <v>6</v>
      </c>
      <c r="D67">
        <v>16.899999999999999</v>
      </c>
      <c r="E67">
        <v>25</v>
      </c>
      <c r="F67">
        <v>4.4343795600000034E-2</v>
      </c>
      <c r="G67" t="str">
        <f t="shared" si="8"/>
        <v>Insert into BlueCreditTypeRainbow Values (2, 0, 6, 16.9, 25, 0.0443437956)</v>
      </c>
      <c r="H67" s="4">
        <v>64</v>
      </c>
      <c r="I67" s="8">
        <f t="shared" ca="1" si="1"/>
        <v>21090.744593075015</v>
      </c>
      <c r="J67" s="8">
        <f t="shared" ca="1" si="13"/>
        <v>18873.756093075332</v>
      </c>
      <c r="K67" s="8">
        <f t="shared" ca="1" si="2"/>
        <v>2216.9884999996848</v>
      </c>
      <c r="L67" s="9">
        <f t="shared" ca="1" si="3"/>
        <v>159675.65330287244</v>
      </c>
      <c r="N67" s="4">
        <v>64</v>
      </c>
      <c r="O67" s="8">
        <f>$B$7*COUNTIF(Sheet2!$B$1:$B$132,N67)</f>
        <v>0</v>
      </c>
      <c r="P67" s="8">
        <f t="shared" ca="1" si="4"/>
        <v>0</v>
      </c>
      <c r="Q67" s="8">
        <f ca="1">CEILING(R66*(IF(N67&lt;=IF($B$2=0,0,OFFSET(Sheet2!$B$1,Sheet1!$B$2-1,0)),$B$1/(365*100),$B$3/(365*100)))*100,1)/100</f>
        <v>401.46</v>
      </c>
      <c r="R67" s="9">
        <f t="shared" ca="1" si="14"/>
        <v>983838.13895287039</v>
      </c>
    </row>
    <row r="68" spans="1:18" x14ac:dyDescent="0.25">
      <c r="A68">
        <v>2</v>
      </c>
      <c r="B68">
        <v>0</v>
      </c>
      <c r="C68">
        <v>6</v>
      </c>
      <c r="D68">
        <v>16.899999999999999</v>
      </c>
      <c r="E68">
        <v>26</v>
      </c>
      <c r="F68">
        <v>4.2909144263399479E-2</v>
      </c>
      <c r="G68" t="str">
        <f t="shared" si="8"/>
        <v>Insert into BlueCreditTypeRainbow Values (2, 0, 6, 16.9, 26, 0.0429091442633995)</v>
      </c>
      <c r="H68" s="4">
        <v>65</v>
      </c>
      <c r="I68" s="8">
        <f t="shared" ca="1" si="1"/>
        <v>21090.744593075015</v>
      </c>
      <c r="J68" s="8">
        <f t="shared" ca="1" si="13"/>
        <v>19108.105231231017</v>
      </c>
      <c r="K68" s="8">
        <f t="shared" ca="1" si="2"/>
        <v>1982.6393618439993</v>
      </c>
      <c r="L68" s="9">
        <f t="shared" ca="1" si="3"/>
        <v>140567.54807164142</v>
      </c>
      <c r="N68" s="4">
        <v>65</v>
      </c>
      <c r="O68" s="8">
        <f>$B$7*COUNTIF(Sheet2!$B$1:$B$132,N68)</f>
        <v>0</v>
      </c>
      <c r="P68" s="8">
        <f t="shared" ca="1" si="4"/>
        <v>0</v>
      </c>
      <c r="Q68" s="8">
        <f ca="1">CEILING(R67*(IF(N68&lt;=IF($B$2=0,0,OFFSET(Sheet2!$B$1,Sheet1!$B$2-1,0)),$B$1/(365*100),$B$3/(365*100)))*100,1)/100</f>
        <v>401.63</v>
      </c>
      <c r="R68" s="9">
        <f t="shared" ca="1" si="14"/>
        <v>984239.76895287039</v>
      </c>
    </row>
    <row r="69" spans="1:18" x14ac:dyDescent="0.25">
      <c r="A69">
        <v>2</v>
      </c>
      <c r="B69">
        <v>0</v>
      </c>
      <c r="C69">
        <v>6</v>
      </c>
      <c r="D69">
        <v>16.899999999999999</v>
      </c>
      <c r="E69">
        <v>27</v>
      </c>
      <c r="F69">
        <v>4.1582381123905762E-2</v>
      </c>
      <c r="G69" t="str">
        <f t="shared" si="8"/>
        <v>Insert into BlueCreditTypeRainbow Values (2, 0, 6, 16.9, 27, 0.0415823811239058)</v>
      </c>
      <c r="H69" s="4">
        <v>66</v>
      </c>
      <c r="I69" s="8">
        <f t="shared" ca="1" si="1"/>
        <v>21090.744593075015</v>
      </c>
      <c r="J69" s="8">
        <f t="shared" ref="J69:J83" ca="1" si="15">I69-K69</f>
        <v>19345.364204518799</v>
      </c>
      <c r="K69" s="8">
        <f t="shared" ref="K69:K83" ca="1" si="16">L68*(IF(H69&lt;=$B$2,$B$1/1200,$B$3/1200))</f>
        <v>1745.3803885562143</v>
      </c>
      <c r="L69" s="9">
        <f t="shared" ref="L69:L83" ca="1" si="17">L68+K69-I69</f>
        <v>121222.18386712263</v>
      </c>
      <c r="N69" s="4">
        <v>66</v>
      </c>
      <c r="O69" s="8">
        <f>$B$7*COUNTIF(Sheet2!$B$1:$B$132,N69)</f>
        <v>0</v>
      </c>
      <c r="P69" s="8">
        <f t="shared" ref="P69:P132" ca="1" si="18">IF(O69-Q69&gt; 0, O69-Q69, 0)</f>
        <v>0</v>
      </c>
      <c r="Q69" s="8">
        <f ca="1">CEILING(R68*(IF(N69&lt;=IF($B$2=0,0,OFFSET(Sheet2!$B$1,Sheet1!$B$2-1,0)),$B$1/(365*100),$B$3/(365*100)))*100,1)/100</f>
        <v>401.79</v>
      </c>
      <c r="R69" s="9">
        <f t="shared" ref="R69:R132" ca="1" si="19">R68+Q69-O69</f>
        <v>984641.55895287043</v>
      </c>
    </row>
    <row r="70" spans="1:18" x14ac:dyDescent="0.25">
      <c r="A70">
        <v>2</v>
      </c>
      <c r="B70">
        <v>0</v>
      </c>
      <c r="C70">
        <v>6</v>
      </c>
      <c r="D70">
        <v>16.899999999999999</v>
      </c>
      <c r="E70">
        <v>28</v>
      </c>
      <c r="F70">
        <v>4.035245501290282E-2</v>
      </c>
      <c r="G70" t="str">
        <f t="shared" si="8"/>
        <v>Insert into BlueCreditTypeRainbow Values (2, 0, 6, 16.9, 28, 0.0403524550129028)</v>
      </c>
      <c r="H70" s="4">
        <v>67</v>
      </c>
      <c r="I70" s="8">
        <f t="shared" ref="I70:I83" ca="1" si="20">$B$6</f>
        <v>21090.744593075015</v>
      </c>
      <c r="J70" s="8">
        <f t="shared" ca="1" si="15"/>
        <v>19585.569143391574</v>
      </c>
      <c r="K70" s="8">
        <f t="shared" ca="1" si="16"/>
        <v>1505.1754496834392</v>
      </c>
      <c r="L70" s="9">
        <f t="shared" ca="1" si="17"/>
        <v>101636.61472373105</v>
      </c>
      <c r="N70" s="4">
        <v>67</v>
      </c>
      <c r="O70" s="8">
        <f>$B$7*COUNTIF(Sheet2!$B$1:$B$132,N70)</f>
        <v>0</v>
      </c>
      <c r="P70" s="8">
        <f t="shared" ca="1" si="18"/>
        <v>0</v>
      </c>
      <c r="Q70" s="8">
        <f ca="1">CEILING(R69*(IF(N70&lt;=IF($B$2=0,0,OFFSET(Sheet2!$B$1,Sheet1!$B$2-1,0)),$B$1/(365*100),$B$3/(365*100)))*100,1)/100</f>
        <v>401.95</v>
      </c>
      <c r="R70" s="9">
        <f t="shared" ca="1" si="19"/>
        <v>985043.50895287038</v>
      </c>
    </row>
    <row r="71" spans="1:18" x14ac:dyDescent="0.25">
      <c r="A71">
        <v>2</v>
      </c>
      <c r="B71">
        <v>0</v>
      </c>
      <c r="C71">
        <v>6</v>
      </c>
      <c r="D71">
        <v>16.899999999999999</v>
      </c>
      <c r="E71">
        <v>29</v>
      </c>
      <c r="F71">
        <v>3.92087283086755E-2</v>
      </c>
      <c r="G71" t="str">
        <f t="shared" si="8"/>
        <v>Insert into BlueCreditTypeRainbow Values (2, 0, 6, 16.9, 29, 0.0392087283086755)</v>
      </c>
      <c r="H71" s="4">
        <v>68</v>
      </c>
      <c r="I71" s="8">
        <f t="shared" ca="1" si="20"/>
        <v>21090.744593075015</v>
      </c>
      <c r="J71" s="8">
        <f t="shared" ca="1" si="15"/>
        <v>19828.756626922022</v>
      </c>
      <c r="K71" s="8">
        <f t="shared" ca="1" si="16"/>
        <v>1261.9879661529937</v>
      </c>
      <c r="L71" s="9">
        <f t="shared" ca="1" si="17"/>
        <v>81807.858096809039</v>
      </c>
      <c r="N71" s="4">
        <v>68</v>
      </c>
      <c r="O71" s="8">
        <f>$B$7*COUNTIF(Sheet2!$B$1:$B$132,N71)</f>
        <v>0</v>
      </c>
      <c r="P71" s="8">
        <f t="shared" ca="1" si="18"/>
        <v>0</v>
      </c>
      <c r="Q71" s="8">
        <f ca="1">CEILING(R70*(IF(N71&lt;=IF($B$2=0,0,OFFSET(Sheet2!$B$1,Sheet1!$B$2-1,0)),$B$1/(365*100),$B$3/(365*100)))*100,1)/100</f>
        <v>402.12</v>
      </c>
      <c r="R71" s="9">
        <f t="shared" ca="1" si="19"/>
        <v>985445.62895287038</v>
      </c>
    </row>
    <row r="72" spans="1:18" x14ac:dyDescent="0.25">
      <c r="A72">
        <v>2</v>
      </c>
      <c r="B72">
        <v>0</v>
      </c>
      <c r="C72">
        <v>6</v>
      </c>
      <c r="D72">
        <v>16.899999999999999</v>
      </c>
      <c r="E72">
        <v>30</v>
      </c>
      <c r="F72">
        <v>3.8143025051102682E-2</v>
      </c>
      <c r="G72" t="str">
        <f t="shared" si="8"/>
        <v>Insert into BlueCreditTypeRainbow Values (2, 0, 6, 16.9, 30, 0.0381430250511027)</v>
      </c>
      <c r="H72" s="4">
        <v>69</v>
      </c>
      <c r="I72" s="8">
        <f t="shared" ca="1" si="20"/>
        <v>21090.744593075015</v>
      </c>
      <c r="J72" s="8">
        <f t="shared" ca="1" si="15"/>
        <v>20074.963688372969</v>
      </c>
      <c r="K72" s="8">
        <f t="shared" ca="1" si="16"/>
        <v>1015.7809047020455</v>
      </c>
      <c r="L72" s="9">
        <f t="shared" ca="1" si="17"/>
        <v>61732.89440843607</v>
      </c>
      <c r="N72" s="4">
        <v>69</v>
      </c>
      <c r="O72" s="8">
        <f>$B$7*COUNTIF(Sheet2!$B$1:$B$132,N72)</f>
        <v>0</v>
      </c>
      <c r="P72" s="8">
        <f t="shared" ca="1" si="18"/>
        <v>0</v>
      </c>
      <c r="Q72" s="8">
        <f ca="1">CEILING(R71*(IF(N72&lt;=IF($B$2=0,0,OFFSET(Sheet2!$B$1,Sheet1!$B$2-1,0)),$B$1/(365*100),$B$3/(365*100)))*100,1)/100</f>
        <v>402.28</v>
      </c>
      <c r="R72" s="9">
        <f t="shared" ca="1" si="19"/>
        <v>985847.90895287041</v>
      </c>
    </row>
    <row r="73" spans="1:18" x14ac:dyDescent="0.25">
      <c r="A73">
        <v>2</v>
      </c>
      <c r="B73">
        <v>0</v>
      </c>
      <c r="C73">
        <v>6</v>
      </c>
      <c r="D73">
        <v>16.899999999999999</v>
      </c>
      <c r="E73">
        <v>31</v>
      </c>
      <c r="F73">
        <v>3.71472850333774E-2</v>
      </c>
      <c r="G73" t="str">
        <f t="shared" si="8"/>
        <v>Insert into BlueCreditTypeRainbow Values (2, 0, 6, 16.9, 31, 0.0371472850333774)</v>
      </c>
      <c r="H73" s="4">
        <v>70</v>
      </c>
      <c r="I73" s="8">
        <f t="shared" ca="1" si="20"/>
        <v>21090.744593075015</v>
      </c>
      <c r="J73" s="8">
        <f t="shared" ca="1" si="15"/>
        <v>20324.227820836932</v>
      </c>
      <c r="K73" s="8">
        <f t="shared" ca="1" si="16"/>
        <v>766.51677223808122</v>
      </c>
      <c r="L73" s="9">
        <f t="shared" ca="1" si="17"/>
        <v>41408.666587599131</v>
      </c>
      <c r="N73" s="4">
        <v>70</v>
      </c>
      <c r="O73" s="8">
        <f>$B$7*COUNTIF(Sheet2!$B$1:$B$132,N73)</f>
        <v>0</v>
      </c>
      <c r="P73" s="8">
        <f t="shared" ca="1" si="18"/>
        <v>0</v>
      </c>
      <c r="Q73" s="8">
        <f ca="1">CEILING(R72*(IF(N73&lt;=IF($B$2=0,0,OFFSET(Sheet2!$B$1,Sheet1!$B$2-1,0)),$B$1/(365*100),$B$3/(365*100)))*100,1)/100</f>
        <v>402.45</v>
      </c>
      <c r="R73" s="9">
        <f t="shared" ca="1" si="19"/>
        <v>986250.35895287036</v>
      </c>
    </row>
    <row r="74" spans="1:18" x14ac:dyDescent="0.25">
      <c r="A74">
        <v>2</v>
      </c>
      <c r="B74">
        <v>0</v>
      </c>
      <c r="C74">
        <v>6</v>
      </c>
      <c r="D74">
        <v>16.899999999999999</v>
      </c>
      <c r="E74">
        <v>32</v>
      </c>
      <c r="F74">
        <v>3.6214907843600229E-2</v>
      </c>
      <c r="G74" t="str">
        <f t="shared" si="8"/>
        <v>Insert into BlueCreditTypeRainbow Values (2, 0, 6, 16.9, 32, 0.0362149078436002)</v>
      </c>
      <c r="H74" s="4">
        <v>71</v>
      </c>
      <c r="I74" s="8">
        <f t="shared" ca="1" si="20"/>
        <v>21090.744593075015</v>
      </c>
      <c r="J74" s="8">
        <f t="shared" ca="1" si="15"/>
        <v>20576.586982945657</v>
      </c>
      <c r="K74" s="8">
        <f t="shared" ca="1" si="16"/>
        <v>514.15761012935582</v>
      </c>
      <c r="L74" s="9">
        <f t="shared" ca="1" si="17"/>
        <v>20832.079604653471</v>
      </c>
      <c r="N74" s="4">
        <v>71</v>
      </c>
      <c r="O74" s="8">
        <f>$B$7*COUNTIF(Sheet2!$B$1:$B$132,N74)</f>
        <v>0</v>
      </c>
      <c r="P74" s="8">
        <f t="shared" ca="1" si="18"/>
        <v>0</v>
      </c>
      <c r="Q74" s="8">
        <f ca="1">CEILING(R73*(IF(N74&lt;=IF($B$2=0,0,OFFSET(Sheet2!$B$1,Sheet1!$B$2-1,0)),$B$1/(365*100),$B$3/(365*100)))*100,1)/100</f>
        <v>402.61</v>
      </c>
      <c r="R74" s="9">
        <f t="shared" ca="1" si="19"/>
        <v>986652.96895287035</v>
      </c>
    </row>
    <row r="75" spans="1:18" x14ac:dyDescent="0.25">
      <c r="A75">
        <v>2</v>
      </c>
      <c r="B75">
        <v>0</v>
      </c>
      <c r="C75">
        <v>6</v>
      </c>
      <c r="D75">
        <v>16.899999999999999</v>
      </c>
      <c r="E75">
        <v>33</v>
      </c>
      <c r="F75">
        <v>3.5340524269634736E-2</v>
      </c>
      <c r="G75" t="str">
        <f t="shared" si="8"/>
        <v>Insert into BlueCreditTypeRainbow Values (2, 0, 6, 16.9, 33, 0.0353405242696347)</v>
      </c>
      <c r="H75" s="4">
        <v>72</v>
      </c>
      <c r="I75" s="8">
        <f t="shared" ca="1" si="20"/>
        <v>21090.744593075015</v>
      </c>
      <c r="J75" s="8">
        <f t="shared" ca="1" si="15"/>
        <v>20832.079604650567</v>
      </c>
      <c r="K75" s="8">
        <f t="shared" ca="1" si="16"/>
        <v>258.66498842444724</v>
      </c>
      <c r="L75" s="9">
        <f t="shared" ca="1" si="17"/>
        <v>2.9031070880591869E-9</v>
      </c>
      <c r="N75" s="4">
        <v>72</v>
      </c>
      <c r="O75" s="8">
        <f>$B$7*COUNTIF(Sheet2!$B$1:$B$132,N75)</f>
        <v>0</v>
      </c>
      <c r="P75" s="8">
        <f t="shared" ca="1" si="18"/>
        <v>0</v>
      </c>
      <c r="Q75" s="8">
        <f ca="1">CEILING(R74*(IF(N75&lt;=IF($B$2=0,0,OFFSET(Sheet2!$B$1,Sheet1!$B$2-1,0)),$B$1/(365*100),$B$3/(365*100)))*100,1)/100</f>
        <v>402.78</v>
      </c>
      <c r="R75" s="9">
        <f t="shared" ca="1" si="19"/>
        <v>987055.74895287037</v>
      </c>
    </row>
    <row r="76" spans="1:18" x14ac:dyDescent="0.25">
      <c r="A76">
        <v>2</v>
      </c>
      <c r="B76">
        <v>0</v>
      </c>
      <c r="C76">
        <v>6</v>
      </c>
      <c r="D76">
        <v>16.899999999999999</v>
      </c>
      <c r="E76">
        <v>34</v>
      </c>
      <c r="F76">
        <v>3.4518587382091855E-2</v>
      </c>
      <c r="G76" t="str">
        <f t="shared" si="8"/>
        <v>Insert into BlueCreditTypeRainbow Values (2, 0, 6, 16.9, 34, 0.0345185873820919)</v>
      </c>
      <c r="H76" s="4">
        <v>73</v>
      </c>
      <c r="I76" s="8">
        <f t="shared" ca="1" si="20"/>
        <v>21090.744593075015</v>
      </c>
      <c r="J76" s="8">
        <f t="shared" ca="1" si="15"/>
        <v>21090.744593074978</v>
      </c>
      <c r="K76" s="8">
        <f t="shared" ca="1" si="16"/>
        <v>3.6046913010068238E-11</v>
      </c>
      <c r="L76" s="9">
        <f t="shared" ca="1" si="17"/>
        <v>-21090.744593072075</v>
      </c>
      <c r="N76" s="4">
        <v>73</v>
      </c>
      <c r="O76" s="8">
        <f>$B$7*COUNTIF(Sheet2!$B$1:$B$132,N76)</f>
        <v>0</v>
      </c>
      <c r="P76" s="8">
        <f t="shared" ca="1" si="18"/>
        <v>0</v>
      </c>
      <c r="Q76" s="8">
        <f ca="1">CEILING(R75*(IF(N76&lt;=IF($B$2=0,0,OFFSET(Sheet2!$B$1,Sheet1!$B$2-1,0)),$B$1/(365*100),$B$3/(365*100)))*100,1)/100</f>
        <v>402.94</v>
      </c>
      <c r="R76" s="9">
        <f t="shared" ca="1" si="19"/>
        <v>987458.68895287032</v>
      </c>
    </row>
    <row r="77" spans="1:18" x14ac:dyDescent="0.25">
      <c r="A77">
        <v>2</v>
      </c>
      <c r="B77">
        <v>0</v>
      </c>
      <c r="C77">
        <v>6</v>
      </c>
      <c r="D77">
        <v>16.899999999999999</v>
      </c>
      <c r="E77">
        <v>35</v>
      </c>
      <c r="F77">
        <v>3.3744943104232948E-2</v>
      </c>
      <c r="G77" t="str">
        <f t="shared" si="8"/>
        <v>Insert into BlueCreditTypeRainbow Values (2, 0, 6, 16.9, 35, 0.0337449431042329)</v>
      </c>
      <c r="H77" s="4">
        <v>74</v>
      </c>
      <c r="I77" s="8">
        <f t="shared" ca="1" si="20"/>
        <v>21090.744593075015</v>
      </c>
      <c r="J77" s="8">
        <f t="shared" ca="1" si="15"/>
        <v>21352.621338438992</v>
      </c>
      <c r="K77" s="8">
        <f t="shared" ca="1" si="16"/>
        <v>-261.87674536397827</v>
      </c>
      <c r="L77" s="9">
        <f t="shared" ca="1" si="17"/>
        <v>-42443.365931511071</v>
      </c>
      <c r="N77" s="4">
        <v>74</v>
      </c>
      <c r="O77" s="8">
        <f>$B$7*COUNTIF(Sheet2!$B$1:$B$132,N77)</f>
        <v>0</v>
      </c>
      <c r="P77" s="8">
        <f t="shared" ca="1" si="18"/>
        <v>0</v>
      </c>
      <c r="Q77" s="8">
        <f ca="1">CEILING(R76*(IF(N77&lt;=IF($B$2=0,0,OFFSET(Sheet2!$B$1,Sheet1!$B$2-1,0)),$B$1/(365*100),$B$3/(365*100)))*100,1)/100</f>
        <v>403.1</v>
      </c>
      <c r="R77" s="9">
        <f t="shared" ca="1" si="19"/>
        <v>987861.78895287029</v>
      </c>
    </row>
    <row r="78" spans="1:18" x14ac:dyDescent="0.25">
      <c r="A78">
        <v>2</v>
      </c>
      <c r="B78">
        <v>0</v>
      </c>
      <c r="C78">
        <v>6</v>
      </c>
      <c r="D78">
        <v>16.899999999999999</v>
      </c>
      <c r="E78">
        <v>36</v>
      </c>
      <c r="F78">
        <v>3.3015201666666716E-2</v>
      </c>
      <c r="G78" t="str">
        <f t="shared" si="8"/>
        <v>Insert into BlueCreditTypeRainbow Values (2, 0, 6, 16.9, 36, 0.0330152016666667)</v>
      </c>
      <c r="H78" s="4">
        <v>75</v>
      </c>
      <c r="I78" s="8">
        <f t="shared" ca="1" si="20"/>
        <v>21090.744593075015</v>
      </c>
      <c r="J78" s="8">
        <f t="shared" ca="1" si="15"/>
        <v>21617.749720057946</v>
      </c>
      <c r="K78" s="8">
        <f t="shared" ca="1" si="16"/>
        <v>-527.00512698292914</v>
      </c>
      <c r="L78" s="9">
        <f t="shared" ca="1" si="17"/>
        <v>-64061.115651569009</v>
      </c>
      <c r="N78" s="4">
        <v>75</v>
      </c>
      <c r="O78" s="8">
        <f>$B$7*COUNTIF(Sheet2!$B$1:$B$132,N78)</f>
        <v>0</v>
      </c>
      <c r="P78" s="8">
        <f t="shared" ca="1" si="18"/>
        <v>0</v>
      </c>
      <c r="Q78" s="8">
        <f ca="1">CEILING(R77*(IF(N78&lt;=IF($B$2=0,0,OFFSET(Sheet2!$B$1,Sheet1!$B$2-1,0)),$B$1/(365*100),$B$3/(365*100)))*100,1)/100</f>
        <v>403.27</v>
      </c>
      <c r="R78" s="9">
        <f t="shared" ca="1" si="19"/>
        <v>988265.05895287031</v>
      </c>
    </row>
    <row r="79" spans="1:18" x14ac:dyDescent="0.25">
      <c r="A79">
        <v>2</v>
      </c>
      <c r="B79">
        <v>0</v>
      </c>
      <c r="C79">
        <v>5</v>
      </c>
      <c r="D79">
        <v>16.899999999999999</v>
      </c>
      <c r="E79">
        <v>24</v>
      </c>
      <c r="F79">
        <v>4.6410137937321905E-2</v>
      </c>
      <c r="G79" t="str">
        <f t="shared" ref="G79:G142" si="21">CONCATENATE("Insert into BlueCreditTypeRainbow Values (",A79,", ",B79,", ",C79,", ",D79,", ",E79,", ",F79,")")</f>
        <v>Insert into BlueCreditTypeRainbow Values (2, 0, 5, 16.9, 24, 0.0464101379373219)</v>
      </c>
      <c r="H79" s="4">
        <v>76</v>
      </c>
      <c r="I79" s="8">
        <f t="shared" ca="1" si="20"/>
        <v>21090.744593075015</v>
      </c>
      <c r="J79" s="8">
        <f t="shared" ca="1" si="15"/>
        <v>21886.17011241533</v>
      </c>
      <c r="K79" s="8">
        <f t="shared" ca="1" si="16"/>
        <v>-795.42551934031519</v>
      </c>
      <c r="L79" s="9">
        <f t="shared" ca="1" si="17"/>
        <v>-85947.285763984342</v>
      </c>
      <c r="N79" s="4">
        <v>76</v>
      </c>
      <c r="O79" s="8">
        <f>$B$7*COUNTIF(Sheet2!$B$1:$B$132,N79)</f>
        <v>0</v>
      </c>
      <c r="P79" s="8">
        <f t="shared" ca="1" si="18"/>
        <v>0</v>
      </c>
      <c r="Q79" s="8">
        <f ca="1">CEILING(R78*(IF(N79&lt;=IF($B$2=0,0,OFFSET(Sheet2!$B$1,Sheet1!$B$2-1,0)),$B$1/(365*100),$B$3/(365*100)))*100,1)/100</f>
        <v>403.43</v>
      </c>
      <c r="R79" s="9">
        <f t="shared" ca="1" si="19"/>
        <v>988668.48895287036</v>
      </c>
    </row>
    <row r="80" spans="1:18" x14ac:dyDescent="0.25">
      <c r="A80">
        <v>2</v>
      </c>
      <c r="B80">
        <v>0</v>
      </c>
      <c r="C80">
        <v>5</v>
      </c>
      <c r="D80">
        <v>16.899999999999999</v>
      </c>
      <c r="E80">
        <v>25</v>
      </c>
      <c r="F80">
        <v>4.4841023741132663E-2</v>
      </c>
      <c r="G80" t="str">
        <f t="shared" si="21"/>
        <v>Insert into BlueCreditTypeRainbow Values (2, 0, 5, 16.9, 25, 0.0448410237411327)</v>
      </c>
      <c r="H80" s="4">
        <v>77</v>
      </c>
      <c r="I80" s="8">
        <f t="shared" ca="1" si="20"/>
        <v>21090.744593075015</v>
      </c>
      <c r="J80" s="8">
        <f t="shared" ca="1" si="15"/>
        <v>22157.923391311153</v>
      </c>
      <c r="K80" s="8">
        <f t="shared" ca="1" si="16"/>
        <v>-1067.1787982361388</v>
      </c>
      <c r="L80" s="9">
        <f t="shared" ca="1" si="17"/>
        <v>-108105.2091552955</v>
      </c>
      <c r="N80" s="4">
        <v>77</v>
      </c>
      <c r="O80" s="8">
        <f>$B$7*COUNTIF(Sheet2!$B$1:$B$132,N80)</f>
        <v>0</v>
      </c>
      <c r="P80" s="8">
        <f t="shared" ca="1" si="18"/>
        <v>0</v>
      </c>
      <c r="Q80" s="8">
        <f ca="1">CEILING(R79*(IF(N80&lt;=IF($B$2=0,0,OFFSET(Sheet2!$B$1,Sheet1!$B$2-1,0)),$B$1/(365*100),$B$3/(365*100)))*100,1)/100</f>
        <v>403.6</v>
      </c>
      <c r="R80" s="9">
        <f t="shared" ca="1" si="19"/>
        <v>989072.08895287034</v>
      </c>
    </row>
    <row r="81" spans="1:18" x14ac:dyDescent="0.25">
      <c r="A81">
        <v>2</v>
      </c>
      <c r="B81">
        <v>0</v>
      </c>
      <c r="C81">
        <v>5</v>
      </c>
      <c r="D81">
        <v>16.899999999999999</v>
      </c>
      <c r="E81">
        <v>26</v>
      </c>
      <c r="F81">
        <v>4.3394775783339709E-2</v>
      </c>
      <c r="G81" t="str">
        <f t="shared" si="21"/>
        <v>Insert into BlueCreditTypeRainbow Values (2, 0, 5, 16.9, 26, 0.0433947757833397)</v>
      </c>
      <c r="H81" s="4">
        <v>78</v>
      </c>
      <c r="I81" s="8">
        <f t="shared" ca="1" si="20"/>
        <v>21090.744593075015</v>
      </c>
      <c r="J81" s="8">
        <f t="shared" ca="1" si="15"/>
        <v>22433.050940086599</v>
      </c>
      <c r="K81" s="8">
        <f t="shared" ca="1" si="16"/>
        <v>-1342.3063470115858</v>
      </c>
      <c r="L81" s="9">
        <f t="shared" ca="1" si="17"/>
        <v>-130538.26009538209</v>
      </c>
      <c r="N81" s="4">
        <v>78</v>
      </c>
      <c r="O81" s="8">
        <f>$B$7*COUNTIF(Sheet2!$B$1:$B$132,N81)</f>
        <v>0</v>
      </c>
      <c r="P81" s="8">
        <f t="shared" ca="1" si="18"/>
        <v>0</v>
      </c>
      <c r="Q81" s="8">
        <f ca="1">CEILING(R80*(IF(N81&lt;=IF($B$2=0,0,OFFSET(Sheet2!$B$1,Sheet1!$B$2-1,0)),$B$1/(365*100),$B$3/(365*100)))*100,1)/100</f>
        <v>403.76</v>
      </c>
      <c r="R81" s="9">
        <f t="shared" ca="1" si="19"/>
        <v>989475.84895287035</v>
      </c>
    </row>
    <row r="82" spans="1:18" x14ac:dyDescent="0.25">
      <c r="A82">
        <v>2</v>
      </c>
      <c r="B82">
        <v>0</v>
      </c>
      <c r="C82">
        <v>5</v>
      </c>
      <c r="D82">
        <v>16.899999999999999</v>
      </c>
      <c r="E82">
        <v>27</v>
      </c>
      <c r="F82">
        <v>4.2057018441814524E-2</v>
      </c>
      <c r="G82" t="str">
        <f t="shared" si="21"/>
        <v>Insert into BlueCreditTypeRainbow Values (2, 0, 5, 16.9, 27, 0.0420570184418145)</v>
      </c>
      <c r="H82" s="4">
        <v>79</v>
      </c>
      <c r="I82" s="8">
        <f t="shared" ca="1" si="20"/>
        <v>21090.744593075015</v>
      </c>
      <c r="J82" s="8">
        <f t="shared" ca="1" si="15"/>
        <v>22711.594655926008</v>
      </c>
      <c r="K82" s="8">
        <f t="shared" ca="1" si="16"/>
        <v>-1620.8500628509942</v>
      </c>
      <c r="L82" s="9">
        <f t="shared" ca="1" si="17"/>
        <v>-153249.8547513081</v>
      </c>
      <c r="N82" s="4">
        <v>79</v>
      </c>
      <c r="O82" s="8">
        <f>$B$7*COUNTIF(Sheet2!$B$1:$B$132,N82)</f>
        <v>0</v>
      </c>
      <c r="P82" s="8">
        <f t="shared" ca="1" si="18"/>
        <v>0</v>
      </c>
      <c r="Q82" s="8">
        <f ca="1">CEILING(R81*(IF(N82&lt;=IF($B$2=0,0,OFFSET(Sheet2!$B$1,Sheet1!$B$2-1,0)),$B$1/(365*100),$B$3/(365*100)))*100,1)/100</f>
        <v>403.93</v>
      </c>
      <c r="R82" s="9">
        <f t="shared" ca="1" si="19"/>
        <v>989879.7789528704</v>
      </c>
    </row>
    <row r="83" spans="1:18" x14ac:dyDescent="0.25">
      <c r="A83">
        <v>2</v>
      </c>
      <c r="B83">
        <v>0</v>
      </c>
      <c r="C83">
        <v>5</v>
      </c>
      <c r="D83">
        <v>16.899999999999999</v>
      </c>
      <c r="E83">
        <v>28</v>
      </c>
      <c r="F83">
        <v>4.0816667178522836E-2</v>
      </c>
      <c r="G83" t="str">
        <f t="shared" si="21"/>
        <v>Insert into BlueCreditTypeRainbow Values (2, 0, 5, 16.9, 28, 0.0408166671785228)</v>
      </c>
      <c r="H83" s="4">
        <v>80</v>
      </c>
      <c r="I83" s="8">
        <f t="shared" ca="1" si="20"/>
        <v>21090.744593075015</v>
      </c>
      <c r="J83" s="8">
        <f t="shared" ca="1" si="15"/>
        <v>22993.596956237088</v>
      </c>
      <c r="K83" s="8">
        <f t="shared" ca="1" si="16"/>
        <v>-1902.8523631620756</v>
      </c>
      <c r="L83" s="9">
        <f t="shared" ca="1" si="17"/>
        <v>-176243.45170754517</v>
      </c>
      <c r="N83" s="4">
        <v>80</v>
      </c>
      <c r="O83" s="8">
        <f>$B$7*COUNTIF(Sheet2!$B$1:$B$132,N83)</f>
        <v>0</v>
      </c>
      <c r="P83" s="8">
        <f t="shared" ca="1" si="18"/>
        <v>0</v>
      </c>
      <c r="Q83" s="8">
        <f ca="1">CEILING(R82*(IF(N83&lt;=IF($B$2=0,0,OFFSET(Sheet2!$B$1,Sheet1!$B$2-1,0)),$B$1/(365*100),$B$3/(365*100)))*100,1)/100</f>
        <v>404.09</v>
      </c>
      <c r="R83" s="9">
        <f t="shared" ca="1" si="19"/>
        <v>990283.86895287037</v>
      </c>
    </row>
    <row r="84" spans="1:18" x14ac:dyDescent="0.25">
      <c r="A84">
        <v>2</v>
      </c>
      <c r="B84">
        <v>0</v>
      </c>
      <c r="C84">
        <v>5</v>
      </c>
      <c r="D84">
        <v>16.899999999999999</v>
      </c>
      <c r="E84">
        <v>29</v>
      </c>
      <c r="F84">
        <v>3.966305287827554E-2</v>
      </c>
      <c r="G84" t="str">
        <f t="shared" si="21"/>
        <v>Insert into BlueCreditTypeRainbow Values (2, 0, 5, 16.9, 29, 0.0396630528782755)</v>
      </c>
      <c r="N84" s="4">
        <v>81</v>
      </c>
      <c r="O84" s="8">
        <f>$B$7*COUNTIF(Sheet2!$B$1:$B$132,N84)</f>
        <v>0</v>
      </c>
      <c r="P84" s="8">
        <f t="shared" ca="1" si="18"/>
        <v>0</v>
      </c>
      <c r="Q84" s="8">
        <f ca="1">CEILING(R83*(IF(N84&lt;=IF($B$2=0,0,OFFSET(Sheet2!$B$1,Sheet1!$B$2-1,0)),$B$1/(365*100),$B$3/(365*100)))*100,1)/100</f>
        <v>404.26</v>
      </c>
      <c r="R84" s="9">
        <f t="shared" ca="1" si="19"/>
        <v>990688.12895287038</v>
      </c>
    </row>
    <row r="85" spans="1:18" x14ac:dyDescent="0.25">
      <c r="A85">
        <v>2</v>
      </c>
      <c r="B85">
        <v>0</v>
      </c>
      <c r="C85">
        <v>5</v>
      </c>
      <c r="D85">
        <v>16.899999999999999</v>
      </c>
      <c r="E85">
        <v>30</v>
      </c>
      <c r="F85">
        <v>3.8587969333333319E-2</v>
      </c>
      <c r="G85" t="str">
        <f t="shared" si="21"/>
        <v>Insert into BlueCreditTypeRainbow Values (2, 0, 5, 16.9, 30, 0.0385879693333333)</v>
      </c>
      <c r="N85" s="4">
        <v>82</v>
      </c>
      <c r="O85" s="8">
        <f>$B$7*COUNTIF(Sheet2!$B$1:$B$132,N85)</f>
        <v>0</v>
      </c>
      <c r="P85" s="8">
        <f t="shared" ca="1" si="18"/>
        <v>0</v>
      </c>
      <c r="Q85" s="8">
        <f ca="1">CEILING(R84*(IF(N85&lt;=IF($B$2=0,0,OFFSET(Sheet2!$B$1,Sheet1!$B$2-1,0)),$B$1/(365*100),$B$3/(365*100)))*100,1)/100</f>
        <v>404.42</v>
      </c>
      <c r="R85" s="9">
        <f t="shared" ca="1" si="19"/>
        <v>991092.54895287042</v>
      </c>
    </row>
    <row r="86" spans="1:18" x14ac:dyDescent="0.25">
      <c r="A86">
        <v>2</v>
      </c>
      <c r="B86">
        <v>0</v>
      </c>
      <c r="C86">
        <v>5</v>
      </c>
      <c r="D86">
        <v>16.899999999999999</v>
      </c>
      <c r="E86">
        <v>31</v>
      </c>
      <c r="F86">
        <v>3.7583300000000021E-2</v>
      </c>
      <c r="G86" t="str">
        <f t="shared" si="21"/>
        <v>Insert into BlueCreditTypeRainbow Values (2, 0, 5, 16.9, 31, 0.0375833)</v>
      </c>
      <c r="N86" s="4">
        <v>83</v>
      </c>
      <c r="O86" s="8">
        <f>$B$7*COUNTIF(Sheet2!$B$1:$B$132,N86)</f>
        <v>0</v>
      </c>
      <c r="P86" s="8">
        <f t="shared" ca="1" si="18"/>
        <v>0</v>
      </c>
      <c r="Q86" s="8">
        <f ca="1">CEILING(R85*(IF(N86&lt;=IF($B$2=0,0,OFFSET(Sheet2!$B$1,Sheet1!$B$2-1,0)),$B$1/(365*100),$B$3/(365*100)))*100,1)/100</f>
        <v>404.59</v>
      </c>
      <c r="R86" s="9">
        <f t="shared" ca="1" si="19"/>
        <v>991497.13895287039</v>
      </c>
    </row>
    <row r="87" spans="1:18" x14ac:dyDescent="0.25">
      <c r="A87">
        <v>2</v>
      </c>
      <c r="B87">
        <v>0</v>
      </c>
      <c r="C87">
        <v>5</v>
      </c>
      <c r="D87">
        <v>16.899999999999999</v>
      </c>
      <c r="E87">
        <v>32</v>
      </c>
      <c r="F87">
        <v>3.6642442187499936E-2</v>
      </c>
      <c r="G87" t="str">
        <f t="shared" si="21"/>
        <v>Insert into BlueCreditTypeRainbow Values (2, 0, 5, 16.9, 32, 0.0366424421874999)</v>
      </c>
      <c r="N87" s="4">
        <v>84</v>
      </c>
      <c r="O87" s="8">
        <f>$B$7*COUNTIF(Sheet2!$B$1:$B$132,N87)</f>
        <v>0</v>
      </c>
      <c r="P87" s="8">
        <f t="shared" ca="1" si="18"/>
        <v>0</v>
      </c>
      <c r="Q87" s="8">
        <f ca="1">CEILING(R86*(IF(N87&lt;=IF($B$2=0,0,OFFSET(Sheet2!$B$1,Sheet1!$B$2-1,0)),$B$1/(365*100),$B$3/(365*100)))*100,1)/100</f>
        <v>404.75</v>
      </c>
      <c r="R87" s="9">
        <f t="shared" ca="1" si="19"/>
        <v>991901.88895287039</v>
      </c>
    </row>
    <row r="88" spans="1:18" x14ac:dyDescent="0.25">
      <c r="A88">
        <v>2</v>
      </c>
      <c r="B88">
        <v>0</v>
      </c>
      <c r="C88">
        <v>5</v>
      </c>
      <c r="D88">
        <v>16.899999999999999</v>
      </c>
      <c r="E88">
        <v>33</v>
      </c>
      <c r="F88">
        <v>3.5759992136433119E-2</v>
      </c>
      <c r="G88" t="str">
        <f t="shared" si="21"/>
        <v>Insert into BlueCreditTypeRainbow Values (2, 0, 5, 16.9, 33, 0.0357599921364331)</v>
      </c>
      <c r="N88" s="4">
        <v>85</v>
      </c>
      <c r="O88" s="8">
        <f>$B$7*COUNTIF(Sheet2!$B$1:$B$132,N88)</f>
        <v>0</v>
      </c>
      <c r="P88" s="8">
        <f t="shared" ca="1" si="18"/>
        <v>0</v>
      </c>
      <c r="Q88" s="8">
        <f ca="1">CEILING(R87*(IF(N88&lt;=IF($B$2=0,0,OFFSET(Sheet2!$B$1,Sheet1!$B$2-1,0)),$B$1/(365*100),$B$3/(365*100)))*100,1)/100</f>
        <v>404.92</v>
      </c>
      <c r="R88" s="9">
        <f t="shared" ca="1" si="19"/>
        <v>992306.80895287043</v>
      </c>
    </row>
    <row r="89" spans="1:18" x14ac:dyDescent="0.25">
      <c r="A89">
        <v>2</v>
      </c>
      <c r="B89">
        <v>0</v>
      </c>
      <c r="C89">
        <v>5</v>
      </c>
      <c r="D89">
        <v>16.899999999999999</v>
      </c>
      <c r="E89">
        <v>34</v>
      </c>
      <c r="F89">
        <v>3.493037147058823E-2</v>
      </c>
      <c r="G89" t="str">
        <f t="shared" si="21"/>
        <v>Insert into BlueCreditTypeRainbow Values (2, 0, 5, 16.9, 34, 0.0349303714705882)</v>
      </c>
      <c r="N89" s="4">
        <v>86</v>
      </c>
      <c r="O89" s="8">
        <f>$B$7*COUNTIF(Sheet2!$B$1:$B$132,N89)</f>
        <v>0</v>
      </c>
      <c r="P89" s="8">
        <f t="shared" ca="1" si="18"/>
        <v>0</v>
      </c>
      <c r="Q89" s="8">
        <f ca="1">CEILING(R88*(IF(N89&lt;=IF($B$2=0,0,OFFSET(Sheet2!$B$1,Sheet1!$B$2-1,0)),$B$1/(365*100),$B$3/(365*100)))*100,1)/100</f>
        <v>405.08</v>
      </c>
      <c r="R89" s="9">
        <f t="shared" ca="1" si="19"/>
        <v>992711.88895287039</v>
      </c>
    </row>
    <row r="90" spans="1:18" x14ac:dyDescent="0.25">
      <c r="A90">
        <v>2</v>
      </c>
      <c r="B90">
        <v>0</v>
      </c>
      <c r="C90">
        <v>5</v>
      </c>
      <c r="D90">
        <v>16.899999999999999</v>
      </c>
      <c r="E90">
        <v>35</v>
      </c>
      <c r="F90">
        <v>3.4149403714285813E-2</v>
      </c>
      <c r="G90" t="str">
        <f t="shared" si="21"/>
        <v>Insert into BlueCreditTypeRainbow Values (2, 0, 5, 16.9, 35, 0.0341494037142858)</v>
      </c>
      <c r="N90" s="4">
        <v>87</v>
      </c>
      <c r="O90" s="8">
        <f>$B$7*COUNTIF(Sheet2!$B$1:$B$132,N90)</f>
        <v>0</v>
      </c>
      <c r="P90" s="8">
        <f t="shared" ca="1" si="18"/>
        <v>0</v>
      </c>
      <c r="Q90" s="8">
        <f ca="1">CEILING(R89*(IF(N90&lt;=IF($B$2=0,0,OFFSET(Sheet2!$B$1,Sheet1!$B$2-1,0)),$B$1/(365*100),$B$3/(365*100)))*100,1)/100</f>
        <v>405.25</v>
      </c>
      <c r="R90" s="9">
        <f t="shared" ca="1" si="19"/>
        <v>993117.13895287039</v>
      </c>
    </row>
    <row r="91" spans="1:18" x14ac:dyDescent="0.25">
      <c r="A91">
        <v>2</v>
      </c>
      <c r="B91">
        <v>0</v>
      </c>
      <c r="C91">
        <v>5</v>
      </c>
      <c r="D91">
        <v>16.899999999999999</v>
      </c>
      <c r="E91">
        <v>36</v>
      </c>
      <c r="F91">
        <v>3.341267249999999E-2</v>
      </c>
      <c r="G91" t="str">
        <f t="shared" si="21"/>
        <v>Insert into BlueCreditTypeRainbow Values (2, 0, 5, 16.9, 36, 0.0334126725)</v>
      </c>
      <c r="N91" s="4">
        <v>88</v>
      </c>
      <c r="O91" s="8">
        <f>$B$7*COUNTIF(Sheet2!$B$1:$B$132,N91)</f>
        <v>0</v>
      </c>
      <c r="P91" s="8">
        <f t="shared" ca="1" si="18"/>
        <v>0</v>
      </c>
      <c r="Q91" s="8">
        <f ca="1">CEILING(R90*(IF(N91&lt;=IF($B$2=0,0,OFFSET(Sheet2!$B$1,Sheet1!$B$2-1,0)),$B$1/(365*100),$B$3/(365*100)))*100,1)/100</f>
        <v>405.41</v>
      </c>
      <c r="R91" s="9">
        <f t="shared" ca="1" si="19"/>
        <v>993522.54895287042</v>
      </c>
    </row>
    <row r="92" spans="1:18" x14ac:dyDescent="0.25">
      <c r="A92">
        <v>2</v>
      </c>
      <c r="B92">
        <v>0</v>
      </c>
      <c r="C92">
        <v>4</v>
      </c>
      <c r="D92">
        <v>16.899999999999999</v>
      </c>
      <c r="E92">
        <v>24</v>
      </c>
      <c r="F92">
        <v>4.6937300416666695E-2</v>
      </c>
      <c r="G92" t="str">
        <f t="shared" si="21"/>
        <v>Insert into BlueCreditTypeRainbow Values (2, 0, 4, 16.9, 24, 0.0469373004166667)</v>
      </c>
      <c r="N92" s="4">
        <v>89</v>
      </c>
      <c r="O92" s="8">
        <f>$B$7*COUNTIF(Sheet2!$B$1:$B$132,N92)</f>
        <v>0</v>
      </c>
      <c r="P92" s="8">
        <f t="shared" ca="1" si="18"/>
        <v>0</v>
      </c>
      <c r="Q92" s="8">
        <f ca="1">CEILING(R91*(IF(N92&lt;=IF($B$2=0,0,OFFSET(Sheet2!$B$1,Sheet1!$B$2-1,0)),$B$1/(365*100),$B$3/(365*100)))*100,1)/100</f>
        <v>405.58</v>
      </c>
      <c r="R92" s="9">
        <f t="shared" ca="1" si="19"/>
        <v>993928.12895287038</v>
      </c>
    </row>
    <row r="93" spans="1:18" x14ac:dyDescent="0.25">
      <c r="A93">
        <v>2</v>
      </c>
      <c r="B93">
        <v>0</v>
      </c>
      <c r="C93">
        <v>4</v>
      </c>
      <c r="D93">
        <v>16.899999999999999</v>
      </c>
      <c r="E93">
        <v>25</v>
      </c>
      <c r="F93">
        <v>4.5354339657740488E-2</v>
      </c>
      <c r="G93" t="str">
        <f t="shared" si="21"/>
        <v>Insert into BlueCreditTypeRainbow Values (2, 0, 4, 16.9, 25, 0.0453543396577405)</v>
      </c>
      <c r="N93" s="4">
        <v>90</v>
      </c>
      <c r="O93" s="8">
        <f>$B$7*COUNTIF(Sheet2!$B$1:$B$132,N93)</f>
        <v>0</v>
      </c>
      <c r="P93" s="8">
        <f t="shared" ca="1" si="18"/>
        <v>0</v>
      </c>
      <c r="Q93" s="8">
        <f ca="1">CEILING(R92*(IF(N93&lt;=IF($B$2=0,0,OFFSET(Sheet2!$B$1,Sheet1!$B$2-1,0)),$B$1/(365*100),$B$3/(365*100)))*100,1)/100</f>
        <v>405.75</v>
      </c>
      <c r="R93" s="9">
        <f t="shared" ca="1" si="19"/>
        <v>994333.87895287038</v>
      </c>
    </row>
    <row r="94" spans="1:18" x14ac:dyDescent="0.25">
      <c r="A94">
        <v>2</v>
      </c>
      <c r="B94">
        <v>0</v>
      </c>
      <c r="C94">
        <v>4</v>
      </c>
      <c r="D94">
        <v>16.899999999999999</v>
      </c>
      <c r="E94">
        <v>26</v>
      </c>
      <c r="F94">
        <v>4.389507194861459E-2</v>
      </c>
      <c r="G94" t="str">
        <f t="shared" si="21"/>
        <v>Insert into BlueCreditTypeRainbow Values (2, 0, 4, 16.9, 26, 0.0438950719486146)</v>
      </c>
      <c r="N94" s="4">
        <v>91</v>
      </c>
      <c r="O94" s="8">
        <f>$B$7*COUNTIF(Sheet2!$B$1:$B$132,N94)</f>
        <v>21157.10552356458</v>
      </c>
      <c r="P94" s="8">
        <f t="shared" ca="1" si="18"/>
        <v>20751.19552356458</v>
      </c>
      <c r="Q94" s="8">
        <f ca="1">CEILING(R93*(IF(N94&lt;=IF($B$2=0,0,OFFSET(Sheet2!$B$1,Sheet1!$B$2-1,0)),$B$1/(365*100),$B$3/(365*100)))*100,1)/100</f>
        <v>405.91</v>
      </c>
      <c r="R94" s="9">
        <f t="shared" ca="1" si="19"/>
        <v>973582.68342930579</v>
      </c>
    </row>
    <row r="95" spans="1:18" x14ac:dyDescent="0.25">
      <c r="A95">
        <v>2</v>
      </c>
      <c r="B95">
        <v>0</v>
      </c>
      <c r="C95">
        <v>4</v>
      </c>
      <c r="D95">
        <v>16.899999999999999</v>
      </c>
      <c r="E95">
        <v>27</v>
      </c>
      <c r="F95">
        <v>4.2545066737108922E-2</v>
      </c>
      <c r="G95" t="str">
        <f t="shared" si="21"/>
        <v>Insert into BlueCreditTypeRainbow Values (2, 0, 4, 16.9, 27, 0.0425450667371089)</v>
      </c>
      <c r="N95" s="4">
        <v>92</v>
      </c>
      <c r="O95" s="8">
        <f>$B$7*COUNTIF(Sheet2!$B$1:$B$132,N95)</f>
        <v>0</v>
      </c>
      <c r="P95" s="8">
        <f t="shared" ca="1" si="18"/>
        <v>0</v>
      </c>
      <c r="Q95" s="8">
        <f ca="1">CEILING(R94*(IF(N95&lt;=IF($B$2=0,0,OFFSET(Sheet2!$B$1,Sheet1!$B$2-1,0)),$B$1/(365*100),$B$3/(365*100)))*100,1)/100</f>
        <v>397.44</v>
      </c>
      <c r="R95" s="9">
        <f t="shared" ca="1" si="19"/>
        <v>973980.12342930574</v>
      </c>
    </row>
    <row r="96" spans="1:18" x14ac:dyDescent="0.25">
      <c r="A96">
        <v>2</v>
      </c>
      <c r="B96">
        <v>0</v>
      </c>
      <c r="C96">
        <v>4</v>
      </c>
      <c r="D96">
        <v>16.899999999999999</v>
      </c>
      <c r="E96">
        <v>28</v>
      </c>
      <c r="F96">
        <v>4.1293182157923068E-2</v>
      </c>
      <c r="G96" t="str">
        <f t="shared" si="21"/>
        <v>Insert into BlueCreditTypeRainbow Values (2, 0, 4, 16.9, 28, 0.0412931821579231)</v>
      </c>
      <c r="N96" s="4">
        <v>93</v>
      </c>
      <c r="O96" s="8">
        <f>$B$7*COUNTIF(Sheet2!$B$1:$B$132,N96)</f>
        <v>0</v>
      </c>
      <c r="P96" s="8">
        <f t="shared" ca="1" si="18"/>
        <v>0</v>
      </c>
      <c r="Q96" s="8">
        <f ca="1">CEILING(R95*(IF(N96&lt;=IF($B$2=0,0,OFFSET(Sheet2!$B$1,Sheet1!$B$2-1,0)),$B$1/(365*100),$B$3/(365*100)))*100,1)/100</f>
        <v>397.6</v>
      </c>
      <c r="R96" s="9">
        <f t="shared" ca="1" si="19"/>
        <v>974377.72342930571</v>
      </c>
    </row>
    <row r="97" spans="1:18" x14ac:dyDescent="0.25">
      <c r="A97">
        <v>2</v>
      </c>
      <c r="B97">
        <v>0</v>
      </c>
      <c r="C97">
        <v>4</v>
      </c>
      <c r="D97">
        <v>16.899999999999999</v>
      </c>
      <c r="E97">
        <v>29</v>
      </c>
      <c r="F97">
        <v>4.012867539812387E-2</v>
      </c>
      <c r="G97" t="str">
        <f t="shared" si="21"/>
        <v>Insert into BlueCreditTypeRainbow Values (2, 0, 4, 16.9, 29, 0.0401286753981239)</v>
      </c>
      <c r="N97" s="4">
        <v>94</v>
      </c>
      <c r="O97" s="8">
        <f>$B$7*COUNTIF(Sheet2!$B$1:$B$132,N97)</f>
        <v>0</v>
      </c>
      <c r="P97" s="8">
        <f t="shared" ca="1" si="18"/>
        <v>0</v>
      </c>
      <c r="Q97" s="8">
        <f ca="1">CEILING(R96*(IF(N97&lt;=IF($B$2=0,0,OFFSET(Sheet2!$B$1,Sheet1!$B$2-1,0)),$B$1/(365*100),$B$3/(365*100)))*100,1)/100</f>
        <v>397.76</v>
      </c>
      <c r="R97" s="9">
        <f t="shared" ca="1" si="19"/>
        <v>974775.48342930572</v>
      </c>
    </row>
    <row r="98" spans="1:18" x14ac:dyDescent="0.25">
      <c r="A98">
        <v>2</v>
      </c>
      <c r="B98">
        <v>0</v>
      </c>
      <c r="C98">
        <v>4</v>
      </c>
      <c r="D98">
        <v>16.899999999999999</v>
      </c>
      <c r="E98">
        <v>30</v>
      </c>
      <c r="F98">
        <v>3.9043311204564585E-2</v>
      </c>
      <c r="G98" t="str">
        <f t="shared" si="21"/>
        <v>Insert into BlueCreditTypeRainbow Values (2, 0, 4, 16.9, 30, 0.0390433112045646)</v>
      </c>
      <c r="N98" s="4">
        <v>95</v>
      </c>
      <c r="O98" s="8">
        <f>$B$7*COUNTIF(Sheet2!$B$1:$B$132,N98)</f>
        <v>0</v>
      </c>
      <c r="P98" s="8">
        <f t="shared" ca="1" si="18"/>
        <v>0</v>
      </c>
      <c r="Q98" s="8">
        <f ca="1">CEILING(R97*(IF(N98&lt;=IF($B$2=0,0,OFFSET(Sheet2!$B$1,Sheet1!$B$2-1,0)),$B$1/(365*100),$B$3/(365*100)))*100,1)/100</f>
        <v>397.93</v>
      </c>
      <c r="R98" s="9">
        <f t="shared" ca="1" si="19"/>
        <v>975173.41342930577</v>
      </c>
    </row>
    <row r="99" spans="1:18" x14ac:dyDescent="0.25">
      <c r="A99">
        <v>2</v>
      </c>
      <c r="B99">
        <v>0</v>
      </c>
      <c r="C99">
        <v>4</v>
      </c>
      <c r="D99">
        <v>16.899999999999999</v>
      </c>
      <c r="E99">
        <v>31</v>
      </c>
      <c r="F99">
        <v>3.8028925717455628E-2</v>
      </c>
      <c r="G99" t="str">
        <f t="shared" si="21"/>
        <v>Insert into BlueCreditTypeRainbow Values (2, 0, 4, 16.9, 31, 0.0380289257174556)</v>
      </c>
      <c r="N99" s="4">
        <v>96</v>
      </c>
      <c r="O99" s="8">
        <f>$B$7*COUNTIF(Sheet2!$B$1:$B$132,N99)</f>
        <v>0</v>
      </c>
      <c r="P99" s="8">
        <f t="shared" ca="1" si="18"/>
        <v>0</v>
      </c>
      <c r="Q99" s="8">
        <f ca="1">CEILING(R98*(IF(N99&lt;=IF($B$2=0,0,OFFSET(Sheet2!$B$1,Sheet1!$B$2-1,0)),$B$1/(365*100),$B$3/(365*100)))*100,1)/100</f>
        <v>398.09</v>
      </c>
      <c r="R99" s="9">
        <f t="shared" ca="1" si="19"/>
        <v>975571.50342930574</v>
      </c>
    </row>
    <row r="100" spans="1:18" x14ac:dyDescent="0.25">
      <c r="A100">
        <v>2</v>
      </c>
      <c r="B100">
        <v>0</v>
      </c>
      <c r="C100">
        <v>4</v>
      </c>
      <c r="D100">
        <v>16.899999999999999</v>
      </c>
      <c r="E100">
        <v>32</v>
      </c>
      <c r="F100">
        <v>3.7078859888231445E-2</v>
      </c>
      <c r="G100" t="str">
        <f t="shared" si="21"/>
        <v>Insert into BlueCreditTypeRainbow Values (2, 0, 4, 16.9, 32, 0.0370788598882314)</v>
      </c>
      <c r="N100" s="4">
        <v>97</v>
      </c>
      <c r="O100" s="8">
        <f>$B$7*COUNTIF(Sheet2!$B$1:$B$132,N100)</f>
        <v>0</v>
      </c>
      <c r="P100" s="8">
        <f t="shared" ca="1" si="18"/>
        <v>0</v>
      </c>
      <c r="Q100" s="8">
        <f ca="1">CEILING(R99*(IF(N100&lt;=IF($B$2=0,0,OFFSET(Sheet2!$B$1,Sheet1!$B$2-1,0)),$B$1/(365*100),$B$3/(365*100)))*100,1)/100</f>
        <v>398.25</v>
      </c>
      <c r="R100" s="9">
        <f t="shared" ca="1" si="19"/>
        <v>975969.75342930574</v>
      </c>
    </row>
    <row r="101" spans="1:18" x14ac:dyDescent="0.25">
      <c r="A101">
        <v>2</v>
      </c>
      <c r="B101">
        <v>0</v>
      </c>
      <c r="C101">
        <v>4</v>
      </c>
      <c r="D101">
        <v>16.899999999999999</v>
      </c>
      <c r="E101">
        <v>33</v>
      </c>
      <c r="F101">
        <v>3.6187682737336448E-2</v>
      </c>
      <c r="G101" t="str">
        <f t="shared" si="21"/>
        <v>Insert into BlueCreditTypeRainbow Values (2, 0, 4, 16.9, 33, 0.0361876827373364)</v>
      </c>
      <c r="N101" s="4">
        <v>98</v>
      </c>
      <c r="O101" s="8">
        <f>$B$7*COUNTIF(Sheet2!$B$1:$B$132,N101)</f>
        <v>0</v>
      </c>
      <c r="P101" s="8">
        <f t="shared" ca="1" si="18"/>
        <v>0</v>
      </c>
      <c r="Q101" s="8">
        <f ca="1">CEILING(R100*(IF(N101&lt;=IF($B$2=0,0,OFFSET(Sheet2!$B$1,Sheet1!$B$2-1,0)),$B$1/(365*100),$B$3/(365*100)))*100,1)/100</f>
        <v>398.41</v>
      </c>
      <c r="R101" s="9">
        <f t="shared" ca="1" si="19"/>
        <v>976368.16342930577</v>
      </c>
    </row>
    <row r="102" spans="1:18" x14ac:dyDescent="0.25">
      <c r="A102">
        <v>2</v>
      </c>
      <c r="B102">
        <v>0</v>
      </c>
      <c r="C102">
        <v>4</v>
      </c>
      <c r="D102">
        <v>16.899999999999999</v>
      </c>
      <c r="E102">
        <v>34</v>
      </c>
      <c r="F102">
        <v>3.534977738144629E-2</v>
      </c>
      <c r="G102" t="str">
        <f t="shared" si="21"/>
        <v>Insert into BlueCreditTypeRainbow Values (2, 0, 4, 16.9, 34, 0.0353497773814463)</v>
      </c>
      <c r="N102" s="4">
        <v>99</v>
      </c>
      <c r="O102" s="8">
        <f>$B$7*COUNTIF(Sheet2!$B$1:$B$132,N102)</f>
        <v>0</v>
      </c>
      <c r="P102" s="8">
        <f t="shared" ca="1" si="18"/>
        <v>0</v>
      </c>
      <c r="Q102" s="8">
        <f ca="1">CEILING(R101*(IF(N102&lt;=IF($B$2=0,0,OFFSET(Sheet2!$B$1,Sheet1!$B$2-1,0)),$B$1/(365*100),$B$3/(365*100)))*100,1)/100</f>
        <v>398.58</v>
      </c>
      <c r="R102" s="9">
        <f t="shared" ca="1" si="19"/>
        <v>976766.74342930573</v>
      </c>
    </row>
    <row r="103" spans="1:18" x14ac:dyDescent="0.25">
      <c r="A103">
        <v>2</v>
      </c>
      <c r="B103">
        <v>0</v>
      </c>
      <c r="C103">
        <v>4</v>
      </c>
      <c r="D103">
        <v>16.899999999999999</v>
      </c>
      <c r="E103">
        <v>35</v>
      </c>
      <c r="F103">
        <v>3.4560935856247844E-2</v>
      </c>
      <c r="G103" t="str">
        <f t="shared" si="21"/>
        <v>Insert into BlueCreditTypeRainbow Values (2, 0, 4, 16.9, 35, 0.0345609358562478)</v>
      </c>
      <c r="N103" s="4">
        <v>100</v>
      </c>
      <c r="O103" s="8">
        <f>$B$7*COUNTIF(Sheet2!$B$1:$B$132,N103)</f>
        <v>0</v>
      </c>
      <c r="P103" s="8">
        <f t="shared" ca="1" si="18"/>
        <v>0</v>
      </c>
      <c r="Q103" s="8">
        <f ca="1">CEILING(R102*(IF(N103&lt;=IF($B$2=0,0,OFFSET(Sheet2!$B$1,Sheet1!$B$2-1,0)),$B$1/(365*100),$B$3/(365*100)))*100,1)/100</f>
        <v>398.74</v>
      </c>
      <c r="R103" s="9">
        <f t="shared" ca="1" si="19"/>
        <v>977165.48342930572</v>
      </c>
    </row>
    <row r="104" spans="1:18" x14ac:dyDescent="0.25">
      <c r="A104">
        <v>2</v>
      </c>
      <c r="B104">
        <v>0</v>
      </c>
      <c r="C104">
        <v>4</v>
      </c>
      <c r="D104">
        <v>16.899999999999999</v>
      </c>
      <c r="E104">
        <v>36</v>
      </c>
      <c r="F104">
        <v>3.3816718570778316E-2</v>
      </c>
      <c r="G104" t="str">
        <f t="shared" si="21"/>
        <v>Insert into BlueCreditTypeRainbow Values (2, 0, 4, 16.9, 36, 0.0338167185707783)</v>
      </c>
      <c r="N104" s="4">
        <v>101</v>
      </c>
      <c r="O104" s="8">
        <f>$B$7*COUNTIF(Sheet2!$B$1:$B$132,N104)</f>
        <v>0</v>
      </c>
      <c r="P104" s="8">
        <f t="shared" ca="1" si="18"/>
        <v>0</v>
      </c>
      <c r="Q104" s="8">
        <f ca="1">CEILING(R103*(IF(N104&lt;=IF($B$2=0,0,OFFSET(Sheet2!$B$1,Sheet1!$B$2-1,0)),$B$1/(365*100),$B$3/(365*100)))*100,1)/100</f>
        <v>398.9</v>
      </c>
      <c r="R104" s="9">
        <f t="shared" ca="1" si="19"/>
        <v>977564.38342930574</v>
      </c>
    </row>
    <row r="105" spans="1:18" x14ac:dyDescent="0.25">
      <c r="A105">
        <v>2</v>
      </c>
      <c r="B105">
        <v>0</v>
      </c>
      <c r="C105">
        <v>3</v>
      </c>
      <c r="D105">
        <v>16.899999999999999</v>
      </c>
      <c r="E105">
        <v>24</v>
      </c>
      <c r="F105">
        <v>4.7518992123384139E-2</v>
      </c>
      <c r="G105" t="str">
        <f t="shared" si="21"/>
        <v>Insert into BlueCreditTypeRainbow Values (2, 0, 3, 16.9, 24, 0.0475189921233841)</v>
      </c>
      <c r="N105" s="4">
        <v>102</v>
      </c>
      <c r="O105" s="8">
        <f>$B$7*COUNTIF(Sheet2!$B$1:$B$132,N105)</f>
        <v>0</v>
      </c>
      <c r="P105" s="8">
        <f t="shared" ca="1" si="18"/>
        <v>0</v>
      </c>
      <c r="Q105" s="8">
        <f ca="1">CEILING(R104*(IF(N105&lt;=IF($B$2=0,0,OFFSET(Sheet2!$B$1,Sheet1!$B$2-1,0)),$B$1/(365*100),$B$3/(365*100)))*100,1)/100</f>
        <v>399.07</v>
      </c>
      <c r="R105" s="9">
        <f t="shared" ca="1" si="19"/>
        <v>977963.45342930569</v>
      </c>
    </row>
    <row r="106" spans="1:18" x14ac:dyDescent="0.25">
      <c r="A106">
        <v>2</v>
      </c>
      <c r="B106">
        <v>0</v>
      </c>
      <c r="C106">
        <v>3</v>
      </c>
      <c r="D106">
        <v>16.899999999999999</v>
      </c>
      <c r="E106">
        <v>25</v>
      </c>
      <c r="F106">
        <v>4.5919566399999973E-2</v>
      </c>
      <c r="G106" t="str">
        <f t="shared" si="21"/>
        <v>Insert into BlueCreditTypeRainbow Values (2, 0, 3, 16.9, 25, 0.0459195664)</v>
      </c>
      <c r="N106" s="4">
        <v>103</v>
      </c>
      <c r="O106" s="8">
        <f>$B$7*COUNTIF(Sheet2!$B$1:$B$132,N106)</f>
        <v>0</v>
      </c>
      <c r="P106" s="8">
        <f t="shared" ca="1" si="18"/>
        <v>0</v>
      </c>
      <c r="Q106" s="8">
        <f ca="1">CEILING(R105*(IF(N106&lt;=IF($B$2=0,0,OFFSET(Sheet2!$B$1,Sheet1!$B$2-1,0)),$B$1/(365*100),$B$3/(365*100)))*100,1)/100</f>
        <v>399.23</v>
      </c>
      <c r="R106" s="9">
        <f t="shared" ca="1" si="19"/>
        <v>978362.68342930567</v>
      </c>
    </row>
    <row r="107" spans="1:18" x14ac:dyDescent="0.25">
      <c r="A107">
        <v>2</v>
      </c>
      <c r="B107">
        <v>0</v>
      </c>
      <c r="C107">
        <v>3</v>
      </c>
      <c r="D107">
        <v>16.899999999999999</v>
      </c>
      <c r="E107">
        <v>26</v>
      </c>
      <c r="F107">
        <v>4.4444917344539633E-2</v>
      </c>
      <c r="G107" t="str">
        <f t="shared" si="21"/>
        <v>Insert into BlueCreditTypeRainbow Values (2, 0, 3, 16.9, 26, 0.0444449173445396)</v>
      </c>
      <c r="N107" s="4">
        <v>104</v>
      </c>
      <c r="O107" s="8">
        <f>$B$7*COUNTIF(Sheet2!$B$1:$B$132,N107)</f>
        <v>0</v>
      </c>
      <c r="P107" s="8">
        <f t="shared" ca="1" si="18"/>
        <v>0</v>
      </c>
      <c r="Q107" s="8">
        <f ca="1">CEILING(R106*(IF(N107&lt;=IF($B$2=0,0,OFFSET(Sheet2!$B$1,Sheet1!$B$2-1,0)),$B$1/(365*100),$B$3/(365*100)))*100,1)/100</f>
        <v>399.39</v>
      </c>
      <c r="R107" s="9">
        <f t="shared" ca="1" si="19"/>
        <v>978762.07342930569</v>
      </c>
    </row>
    <row r="108" spans="1:18" x14ac:dyDescent="0.25">
      <c r="A108">
        <v>2</v>
      </c>
      <c r="B108">
        <v>0</v>
      </c>
      <c r="C108">
        <v>3</v>
      </c>
      <c r="D108">
        <v>16.899999999999999</v>
      </c>
      <c r="E108">
        <v>27</v>
      </c>
      <c r="F108">
        <v>4.3080523703703751E-2</v>
      </c>
      <c r="G108" t="str">
        <f t="shared" si="21"/>
        <v>Insert into BlueCreditTypeRainbow Values (2, 0, 3, 16.9, 27, 0.0430805237037038)</v>
      </c>
      <c r="N108" s="4">
        <v>105</v>
      </c>
      <c r="O108" s="8">
        <f>$B$7*COUNTIF(Sheet2!$B$1:$B$132,N108)</f>
        <v>0</v>
      </c>
      <c r="P108" s="8">
        <f t="shared" ca="1" si="18"/>
        <v>0</v>
      </c>
      <c r="Q108" s="8">
        <f ca="1">CEILING(R107*(IF(N108&lt;=IF($B$2=0,0,OFFSET(Sheet2!$B$1,Sheet1!$B$2-1,0)),$B$1/(365*100),$B$3/(365*100)))*100,1)/100</f>
        <v>399.55</v>
      </c>
      <c r="R108" s="9">
        <f t="shared" ca="1" si="19"/>
        <v>979161.62342930574</v>
      </c>
    </row>
    <row r="109" spans="1:18" x14ac:dyDescent="0.25">
      <c r="A109">
        <v>2</v>
      </c>
      <c r="B109">
        <v>0</v>
      </c>
      <c r="C109">
        <v>3</v>
      </c>
      <c r="D109">
        <v>16.899999999999999</v>
      </c>
      <c r="E109">
        <v>28</v>
      </c>
      <c r="F109">
        <v>4.181514428571434E-2</v>
      </c>
      <c r="G109" t="str">
        <f t="shared" si="21"/>
        <v>Insert into BlueCreditTypeRainbow Values (2, 0, 3, 16.9, 28, 0.0418151442857143)</v>
      </c>
      <c r="N109" s="4">
        <v>106</v>
      </c>
      <c r="O109" s="8">
        <f>$B$7*COUNTIF(Sheet2!$B$1:$B$132,N109)</f>
        <v>0</v>
      </c>
      <c r="P109" s="8">
        <f t="shared" ca="1" si="18"/>
        <v>0</v>
      </c>
      <c r="Q109" s="8">
        <f ca="1">CEILING(R108*(IF(N109&lt;=IF($B$2=0,0,OFFSET(Sheet2!$B$1,Sheet1!$B$2-1,0)),$B$1/(365*100),$B$3/(365*100)))*100,1)/100</f>
        <v>399.72</v>
      </c>
      <c r="R109" s="9">
        <f t="shared" ca="1" si="19"/>
        <v>979561.34342930571</v>
      </c>
    </row>
    <row r="110" spans="1:18" x14ac:dyDescent="0.25">
      <c r="A110">
        <v>2</v>
      </c>
      <c r="B110">
        <v>0</v>
      </c>
      <c r="C110">
        <v>3</v>
      </c>
      <c r="D110">
        <v>16.899999999999999</v>
      </c>
      <c r="E110">
        <v>29</v>
      </c>
      <c r="F110">
        <v>4.0637968301701466E-2</v>
      </c>
      <c r="G110" t="str">
        <f t="shared" si="21"/>
        <v>Insert into BlueCreditTypeRainbow Values (2, 0, 3, 16.9, 29, 0.0406379683017015)</v>
      </c>
      <c r="N110" s="4">
        <v>107</v>
      </c>
      <c r="O110" s="8">
        <f>$B$7*COUNTIF(Sheet2!$B$1:$B$132,N110)</f>
        <v>0</v>
      </c>
      <c r="P110" s="8">
        <f t="shared" ca="1" si="18"/>
        <v>0</v>
      </c>
      <c r="Q110" s="8">
        <f ca="1">CEILING(R109*(IF(N110&lt;=IF($B$2=0,0,OFFSET(Sheet2!$B$1,Sheet1!$B$2-1,0)),$B$1/(365*100),$B$3/(365*100)))*100,1)/100</f>
        <v>399.88</v>
      </c>
      <c r="R110" s="9">
        <f t="shared" ca="1" si="19"/>
        <v>979961.22342930571</v>
      </c>
    </row>
    <row r="111" spans="1:18" x14ac:dyDescent="0.25">
      <c r="A111">
        <v>2</v>
      </c>
      <c r="B111">
        <v>0</v>
      </c>
      <c r="C111">
        <v>3</v>
      </c>
      <c r="D111">
        <v>16.899999999999999</v>
      </c>
      <c r="E111">
        <v>30</v>
      </c>
      <c r="F111">
        <v>3.9540691360675659E-2</v>
      </c>
      <c r="G111" t="str">
        <f t="shared" si="21"/>
        <v>Insert into BlueCreditTypeRainbow Values (2, 0, 3, 16.9, 30, 0.0395406913606757)</v>
      </c>
      <c r="N111" s="4">
        <v>108</v>
      </c>
      <c r="O111" s="8">
        <f>$B$7*COUNTIF(Sheet2!$B$1:$B$132,N111)</f>
        <v>0</v>
      </c>
      <c r="P111" s="8">
        <f t="shared" ca="1" si="18"/>
        <v>0</v>
      </c>
      <c r="Q111" s="8">
        <f ca="1">CEILING(R110*(IF(N111&lt;=IF($B$2=0,0,OFFSET(Sheet2!$B$1,Sheet1!$B$2-1,0)),$B$1/(365*100),$B$3/(365*100)))*100,1)/100</f>
        <v>400.04</v>
      </c>
      <c r="R111" s="9">
        <f t="shared" ca="1" si="19"/>
        <v>980361.26342930575</v>
      </c>
    </row>
    <row r="112" spans="1:18" x14ac:dyDescent="0.25">
      <c r="A112">
        <v>2</v>
      </c>
      <c r="B112">
        <v>0</v>
      </c>
      <c r="C112">
        <v>3</v>
      </c>
      <c r="D112">
        <v>16.899999999999999</v>
      </c>
      <c r="E112">
        <v>31</v>
      </c>
      <c r="F112">
        <v>3.8515075975336009E-2</v>
      </c>
      <c r="G112" t="str">
        <f t="shared" si="21"/>
        <v>Insert into BlueCreditTypeRainbow Values (2, 0, 3, 16.9, 31, 0.038515075975336)</v>
      </c>
      <c r="N112" s="4">
        <v>109</v>
      </c>
      <c r="O112" s="8">
        <f>$B$7*COUNTIF(Sheet2!$B$1:$B$132,N112)</f>
        <v>0</v>
      </c>
      <c r="P112" s="8">
        <f t="shared" ca="1" si="18"/>
        <v>0</v>
      </c>
      <c r="Q112" s="8">
        <f ca="1">CEILING(R111*(IF(N112&lt;=IF($B$2=0,0,OFFSET(Sheet2!$B$1,Sheet1!$B$2-1,0)),$B$1/(365*100),$B$3/(365*100)))*100,1)/100</f>
        <v>400.21</v>
      </c>
      <c r="R112" s="9">
        <f t="shared" ca="1" si="19"/>
        <v>980761.47342930571</v>
      </c>
    </row>
    <row r="113" spans="1:18" x14ac:dyDescent="0.25">
      <c r="A113">
        <v>2</v>
      </c>
      <c r="B113">
        <v>0</v>
      </c>
      <c r="C113">
        <v>3</v>
      </c>
      <c r="D113">
        <v>16.899999999999999</v>
      </c>
      <c r="E113">
        <v>32</v>
      </c>
      <c r="F113">
        <v>3.7554411888906819E-2</v>
      </c>
      <c r="G113" t="str">
        <f t="shared" si="21"/>
        <v>Insert into BlueCreditTypeRainbow Values (2, 0, 3, 16.9, 32, 0.0375544118889068)</v>
      </c>
      <c r="N113" s="4">
        <v>110</v>
      </c>
      <c r="O113" s="8">
        <f>$B$7*COUNTIF(Sheet2!$B$1:$B$132,N113)</f>
        <v>0</v>
      </c>
      <c r="P113" s="8">
        <f t="shared" ca="1" si="18"/>
        <v>0</v>
      </c>
      <c r="Q113" s="8">
        <f ca="1">CEILING(R112*(IF(N113&lt;=IF($B$2=0,0,OFFSET(Sheet2!$B$1,Sheet1!$B$2-1,0)),$B$1/(365*100),$B$3/(365*100)))*100,1)/100</f>
        <v>400.37</v>
      </c>
      <c r="R113" s="9">
        <f t="shared" ca="1" si="19"/>
        <v>981161.84342930571</v>
      </c>
    </row>
    <row r="114" spans="1:18" x14ac:dyDescent="0.25">
      <c r="A114">
        <v>2</v>
      </c>
      <c r="B114">
        <v>0</v>
      </c>
      <c r="C114">
        <v>3</v>
      </c>
      <c r="D114">
        <v>16.899999999999999</v>
      </c>
      <c r="E114">
        <v>33</v>
      </c>
      <c r="F114">
        <v>3.6653218415230109E-2</v>
      </c>
      <c r="G114" t="str">
        <f t="shared" si="21"/>
        <v>Insert into BlueCreditTypeRainbow Values (2, 0, 3, 16.9, 33, 0.0366532184152301)</v>
      </c>
      <c r="N114" s="4">
        <v>111</v>
      </c>
      <c r="O114" s="8">
        <f>$B$7*COUNTIF(Sheet2!$B$1:$B$132,N114)</f>
        <v>0</v>
      </c>
      <c r="P114" s="8">
        <f t="shared" ca="1" si="18"/>
        <v>0</v>
      </c>
      <c r="Q114" s="8">
        <f ca="1">CEILING(R113*(IF(N114&lt;=IF($B$2=0,0,OFFSET(Sheet2!$B$1,Sheet1!$B$2-1,0)),$B$1/(365*100),$B$3/(365*100)))*100,1)/100</f>
        <v>400.53</v>
      </c>
      <c r="R114" s="9">
        <f t="shared" ca="1" si="19"/>
        <v>981562.37342930574</v>
      </c>
    </row>
    <row r="115" spans="1:18" x14ac:dyDescent="0.25">
      <c r="A115">
        <v>2</v>
      </c>
      <c r="B115">
        <v>0</v>
      </c>
      <c r="C115">
        <v>3</v>
      </c>
      <c r="D115">
        <v>16.899999999999999</v>
      </c>
      <c r="E115">
        <v>34</v>
      </c>
      <c r="F115">
        <v>3.5805825777120368E-2</v>
      </c>
      <c r="G115" t="str">
        <f t="shared" si="21"/>
        <v>Insert into BlueCreditTypeRainbow Values (2, 0, 3, 16.9, 34, 0.0358058257771204)</v>
      </c>
      <c r="N115" s="4">
        <v>112</v>
      </c>
      <c r="O115" s="8">
        <f>$B$7*COUNTIF(Sheet2!$B$1:$B$132,N115)</f>
        <v>0</v>
      </c>
      <c r="P115" s="8">
        <f t="shared" ca="1" si="18"/>
        <v>0</v>
      </c>
      <c r="Q115" s="8">
        <f ca="1">CEILING(R114*(IF(N115&lt;=IF($B$2=0,0,OFFSET(Sheet2!$B$1,Sheet1!$B$2-1,0)),$B$1/(365*100),$B$3/(365*100)))*100,1)/100</f>
        <v>400.7</v>
      </c>
      <c r="R115" s="9">
        <f t="shared" ca="1" si="19"/>
        <v>981963.07342930569</v>
      </c>
    </row>
    <row r="116" spans="1:18" x14ac:dyDescent="0.25">
      <c r="A116">
        <v>2</v>
      </c>
      <c r="B116">
        <v>0</v>
      </c>
      <c r="C116">
        <v>3</v>
      </c>
      <c r="D116">
        <v>16.899999999999999</v>
      </c>
      <c r="E116">
        <v>35</v>
      </c>
      <c r="F116">
        <v>3.5008006943786953E-2</v>
      </c>
      <c r="G116" t="str">
        <f t="shared" si="21"/>
        <v>Insert into BlueCreditTypeRainbow Values (2, 0, 3, 16.9, 35, 0.035008006943787)</v>
      </c>
      <c r="N116" s="4">
        <v>113</v>
      </c>
      <c r="O116" s="8">
        <f>$B$7*COUNTIF(Sheet2!$B$1:$B$132,N116)</f>
        <v>0</v>
      </c>
      <c r="P116" s="8">
        <f t="shared" ca="1" si="18"/>
        <v>0</v>
      </c>
      <c r="Q116" s="8">
        <f ca="1">CEILING(R115*(IF(N116&lt;=IF($B$2=0,0,OFFSET(Sheet2!$B$1,Sheet1!$B$2-1,0)),$B$1/(365*100),$B$3/(365*100)))*100,1)/100</f>
        <v>400.86</v>
      </c>
      <c r="R116" s="9">
        <f t="shared" ca="1" si="19"/>
        <v>982363.93342930567</v>
      </c>
    </row>
    <row r="117" spans="1:18" x14ac:dyDescent="0.25">
      <c r="A117">
        <v>2</v>
      </c>
      <c r="B117">
        <v>0</v>
      </c>
      <c r="C117">
        <v>3</v>
      </c>
      <c r="D117">
        <v>16.899999999999999</v>
      </c>
      <c r="E117">
        <v>36</v>
      </c>
      <c r="F117">
        <v>3.425526195841664E-2</v>
      </c>
      <c r="G117" t="str">
        <f t="shared" si="21"/>
        <v>Insert into BlueCreditTypeRainbow Values (2, 0, 3, 16.9, 36, 0.0342552619584166)</v>
      </c>
      <c r="N117" s="4">
        <v>114</v>
      </c>
      <c r="O117" s="8">
        <f>$B$7*COUNTIF(Sheet2!$B$1:$B$132,N117)</f>
        <v>0</v>
      </c>
      <c r="P117" s="8">
        <f t="shared" ca="1" si="18"/>
        <v>0</v>
      </c>
      <c r="Q117" s="8">
        <f ca="1">CEILING(R116*(IF(N117&lt;=IF($B$2=0,0,OFFSET(Sheet2!$B$1,Sheet1!$B$2-1,0)),$B$1/(365*100),$B$3/(365*100)))*100,1)/100</f>
        <v>401.02</v>
      </c>
      <c r="R117" s="9">
        <f t="shared" ca="1" si="19"/>
        <v>982764.95342930569</v>
      </c>
    </row>
    <row r="118" spans="1:18" x14ac:dyDescent="0.25">
      <c r="A118">
        <v>2</v>
      </c>
      <c r="B118">
        <v>0</v>
      </c>
      <c r="C118">
        <v>2</v>
      </c>
      <c r="D118">
        <v>16.899999999999999</v>
      </c>
      <c r="E118">
        <v>24</v>
      </c>
      <c r="F118">
        <v>4.8119563776230626E-2</v>
      </c>
      <c r="G118" t="str">
        <f t="shared" si="21"/>
        <v>Insert into BlueCreditTypeRainbow Values (2, 0, 2, 16.9, 24, 0.0481195637762306)</v>
      </c>
      <c r="N118" s="4">
        <v>115</v>
      </c>
      <c r="O118" s="8">
        <f>$B$7*COUNTIF(Sheet2!$B$1:$B$132,N118)</f>
        <v>0</v>
      </c>
      <c r="P118" s="8">
        <f t="shared" ca="1" si="18"/>
        <v>0</v>
      </c>
      <c r="Q118" s="8">
        <f ca="1">CEILING(R117*(IF(N118&lt;=IF($B$2=0,0,OFFSET(Sheet2!$B$1,Sheet1!$B$2-1,0)),$B$1/(365*100),$B$3/(365*100)))*100,1)/100</f>
        <v>401.19</v>
      </c>
      <c r="R118" s="9">
        <f t="shared" ca="1" si="19"/>
        <v>983166.14342930564</v>
      </c>
    </row>
    <row r="119" spans="1:18" x14ac:dyDescent="0.25">
      <c r="A119">
        <v>2</v>
      </c>
      <c r="B119">
        <v>0</v>
      </c>
      <c r="C119">
        <v>2</v>
      </c>
      <c r="D119">
        <v>16.899999999999999</v>
      </c>
      <c r="E119">
        <v>25</v>
      </c>
      <c r="F119">
        <v>4.6501992806800299E-2</v>
      </c>
      <c r="G119" t="str">
        <f t="shared" si="21"/>
        <v>Insert into BlueCreditTypeRainbow Values (2, 0, 2, 16.9, 25, 0.0465019928068003)</v>
      </c>
      <c r="N119" s="4">
        <v>116</v>
      </c>
      <c r="O119" s="8">
        <f>$B$7*COUNTIF(Sheet2!$B$1:$B$132,N119)</f>
        <v>0</v>
      </c>
      <c r="P119" s="8">
        <f t="shared" ca="1" si="18"/>
        <v>0</v>
      </c>
      <c r="Q119" s="8">
        <f ca="1">CEILING(R118*(IF(N119&lt;=IF($B$2=0,0,OFFSET(Sheet2!$B$1,Sheet1!$B$2-1,0)),$B$1/(365*100),$B$3/(365*100)))*100,1)/100</f>
        <v>401.35</v>
      </c>
      <c r="R119" s="9">
        <f t="shared" ca="1" si="19"/>
        <v>983567.49342930561</v>
      </c>
    </row>
    <row r="120" spans="1:18" x14ac:dyDescent="0.25">
      <c r="A120">
        <v>2</v>
      </c>
      <c r="B120">
        <v>0</v>
      </c>
      <c r="C120">
        <v>2</v>
      </c>
      <c r="D120">
        <v>16.899999999999999</v>
      </c>
      <c r="E120">
        <v>26</v>
      </c>
      <c r="F120">
        <v>4.5010491576201579E-2</v>
      </c>
      <c r="G120" t="str">
        <f t="shared" si="21"/>
        <v>Insert into BlueCreditTypeRainbow Values (2, 0, 2, 16.9, 26, 0.0450104915762016)</v>
      </c>
      <c r="N120" s="4">
        <v>117</v>
      </c>
      <c r="O120" s="8">
        <f>$B$7*COUNTIF(Sheet2!$B$1:$B$132,N120)</f>
        <v>0</v>
      </c>
      <c r="P120" s="8">
        <f t="shared" ca="1" si="18"/>
        <v>0</v>
      </c>
      <c r="Q120" s="8">
        <f ca="1">CEILING(R119*(IF(N120&lt;=IF($B$2=0,0,OFFSET(Sheet2!$B$1,Sheet1!$B$2-1,0)),$B$1/(365*100),$B$3/(365*100)))*100,1)/100</f>
        <v>401.52</v>
      </c>
      <c r="R120" s="9">
        <f t="shared" ca="1" si="19"/>
        <v>983969.01342930563</v>
      </c>
    </row>
    <row r="121" spans="1:18" x14ac:dyDescent="0.25">
      <c r="A121">
        <v>2</v>
      </c>
      <c r="B121">
        <v>0</v>
      </c>
      <c r="C121">
        <v>2</v>
      </c>
      <c r="D121">
        <v>16.899999999999999</v>
      </c>
      <c r="E121">
        <v>27</v>
      </c>
      <c r="F121">
        <v>4.36304004855326E-2</v>
      </c>
      <c r="G121" t="str">
        <f t="shared" si="21"/>
        <v>Insert into BlueCreditTypeRainbow Values (2, 0, 2, 16.9, 27, 0.0436304004855326)</v>
      </c>
      <c r="N121" s="4">
        <v>118</v>
      </c>
      <c r="O121" s="8">
        <f>$B$7*COUNTIF(Sheet2!$B$1:$B$132,N121)</f>
        <v>0</v>
      </c>
      <c r="P121" s="8">
        <f t="shared" ca="1" si="18"/>
        <v>0</v>
      </c>
      <c r="Q121" s="8">
        <f ca="1">CEILING(R120*(IF(N121&lt;=IF($B$2=0,0,OFFSET(Sheet2!$B$1,Sheet1!$B$2-1,0)),$B$1/(365*100),$B$3/(365*100)))*100,1)/100</f>
        <v>401.68</v>
      </c>
      <c r="R121" s="9">
        <f t="shared" ca="1" si="19"/>
        <v>984370.69342930568</v>
      </c>
    </row>
    <row r="122" spans="1:18" x14ac:dyDescent="0.25">
      <c r="A122">
        <v>2</v>
      </c>
      <c r="B122">
        <v>0</v>
      </c>
      <c r="C122">
        <v>2</v>
      </c>
      <c r="D122">
        <v>16.899999999999999</v>
      </c>
      <c r="E122">
        <v>28</v>
      </c>
      <c r="F122">
        <v>4.2350365714285763E-2</v>
      </c>
      <c r="G122" t="str">
        <f t="shared" si="21"/>
        <v>Insert into BlueCreditTypeRainbow Values (2, 0, 2, 16.9, 28, 0.0423503657142858)</v>
      </c>
      <c r="N122" s="4">
        <v>119</v>
      </c>
      <c r="O122" s="8">
        <f>$B$7*COUNTIF(Sheet2!$B$1:$B$132,N122)</f>
        <v>0</v>
      </c>
      <c r="P122" s="8">
        <f t="shared" ca="1" si="18"/>
        <v>0</v>
      </c>
      <c r="Q122" s="8">
        <f ca="1">CEILING(R121*(IF(N122&lt;=IF($B$2=0,0,OFFSET(Sheet2!$B$1,Sheet1!$B$2-1,0)),$B$1/(365*100),$B$3/(365*100)))*100,1)/100</f>
        <v>401.84</v>
      </c>
      <c r="R122" s="9">
        <f t="shared" ca="1" si="19"/>
        <v>984772.53342930565</v>
      </c>
    </row>
    <row r="123" spans="1:18" x14ac:dyDescent="0.25">
      <c r="A123">
        <v>2</v>
      </c>
      <c r="B123">
        <v>0</v>
      </c>
      <c r="C123">
        <v>2</v>
      </c>
      <c r="D123">
        <v>16.899999999999999</v>
      </c>
      <c r="E123">
        <v>29</v>
      </c>
      <c r="F123">
        <v>4.1159476011413808E-2</v>
      </c>
      <c r="G123" t="str">
        <f t="shared" si="21"/>
        <v>Insert into BlueCreditTypeRainbow Values (2, 0, 2, 16.9, 29, 0.0411594760114138)</v>
      </c>
      <c r="N123" s="4">
        <v>120</v>
      </c>
      <c r="O123" s="8">
        <f>$B$7*COUNTIF(Sheet2!$B$1:$B$132,N123)</f>
        <v>0</v>
      </c>
      <c r="P123" s="8">
        <f t="shared" ca="1" si="18"/>
        <v>0</v>
      </c>
      <c r="Q123" s="8">
        <f ca="1">CEILING(R122*(IF(N123&lt;=IF($B$2=0,0,OFFSET(Sheet2!$B$1,Sheet1!$B$2-1,0)),$B$1/(365*100),$B$3/(365*100)))*100,1)/100</f>
        <v>402.01</v>
      </c>
      <c r="R123" s="9">
        <f t="shared" ca="1" si="19"/>
        <v>985174.54342930566</v>
      </c>
    </row>
    <row r="124" spans="1:18" x14ac:dyDescent="0.25">
      <c r="A124">
        <v>2</v>
      </c>
      <c r="B124">
        <v>0</v>
      </c>
      <c r="C124">
        <v>2</v>
      </c>
      <c r="D124">
        <v>16.899999999999999</v>
      </c>
      <c r="E124">
        <v>30</v>
      </c>
      <c r="F124">
        <v>4.0049348666666609E-2</v>
      </c>
      <c r="G124" t="str">
        <f t="shared" si="21"/>
        <v>Insert into BlueCreditTypeRainbow Values (2, 0, 2, 16.9, 30, 0.0400493486666666)</v>
      </c>
      <c r="N124" s="4">
        <v>121</v>
      </c>
      <c r="O124" s="8">
        <f>$B$7*COUNTIF(Sheet2!$B$1:$B$132,N124)</f>
        <v>0</v>
      </c>
      <c r="P124" s="8">
        <f t="shared" ca="1" si="18"/>
        <v>0</v>
      </c>
      <c r="Q124" s="8">
        <f ca="1">CEILING(R123*(IF(N124&lt;=IF($B$2=0,0,OFFSET(Sheet2!$B$1,Sheet1!$B$2-1,0)),$B$1/(365*100),$B$3/(365*100)))*100,1)/100</f>
        <v>402.17</v>
      </c>
      <c r="R124" s="9">
        <f t="shared" ca="1" si="19"/>
        <v>985576.7134293057</v>
      </c>
    </row>
    <row r="125" spans="1:18" x14ac:dyDescent="0.25">
      <c r="A125">
        <v>2</v>
      </c>
      <c r="B125">
        <v>0</v>
      </c>
      <c r="C125">
        <v>2</v>
      </c>
      <c r="D125">
        <v>16.899999999999999</v>
      </c>
      <c r="E125">
        <v>31</v>
      </c>
      <c r="F125">
        <v>3.9011647126461421E-2</v>
      </c>
      <c r="G125" t="str">
        <f t="shared" si="21"/>
        <v>Insert into BlueCreditTypeRainbow Values (2, 0, 2, 16.9, 31, 0.0390116471264614)</v>
      </c>
      <c r="N125" s="4">
        <v>122</v>
      </c>
      <c r="O125" s="8">
        <f>$B$7*COUNTIF(Sheet2!$B$1:$B$132,N125)</f>
        <v>21157.10552356458</v>
      </c>
      <c r="P125" s="8">
        <f t="shared" ca="1" si="18"/>
        <v>20754.76552356458</v>
      </c>
      <c r="Q125" s="8">
        <f ca="1">CEILING(R124*(IF(N125&lt;=IF($B$2=0,0,OFFSET(Sheet2!$B$1,Sheet1!$B$2-1,0)),$B$1/(365*100),$B$3/(365*100)))*100,1)/100</f>
        <v>402.34</v>
      </c>
      <c r="R125" s="9">
        <f t="shared" ca="1" si="19"/>
        <v>964821.94790574105</v>
      </c>
    </row>
    <row r="126" spans="1:18" x14ac:dyDescent="0.25">
      <c r="A126">
        <v>2</v>
      </c>
      <c r="B126">
        <v>0</v>
      </c>
      <c r="C126">
        <v>2</v>
      </c>
      <c r="D126">
        <v>16.899999999999999</v>
      </c>
      <c r="E126">
        <v>32</v>
      </c>
      <c r="F126">
        <v>3.8039625649564576E-2</v>
      </c>
      <c r="G126" t="str">
        <f t="shared" si="21"/>
        <v>Insert into BlueCreditTypeRainbow Values (2, 0, 2, 16.9, 32, 0.0380396256495646)</v>
      </c>
      <c r="N126" s="4">
        <v>123</v>
      </c>
      <c r="O126" s="8">
        <f>$B$7*COUNTIF(Sheet2!$B$1:$B$132,N126)</f>
        <v>0</v>
      </c>
      <c r="P126" s="8">
        <f t="shared" ca="1" si="18"/>
        <v>0</v>
      </c>
      <c r="Q126" s="8">
        <f ca="1">CEILING(R125*(IF(N126&lt;=IF($B$2=0,0,OFFSET(Sheet2!$B$1,Sheet1!$B$2-1,0)),$B$1/(365*100),$B$3/(365*100)))*100,1)/100</f>
        <v>393.86</v>
      </c>
      <c r="R126" s="9">
        <f t="shared" ca="1" si="19"/>
        <v>965215.80790574104</v>
      </c>
    </row>
    <row r="127" spans="1:18" x14ac:dyDescent="0.25">
      <c r="A127">
        <v>2</v>
      </c>
      <c r="B127">
        <v>0</v>
      </c>
      <c r="C127">
        <v>2</v>
      </c>
      <c r="D127">
        <v>16.899999999999999</v>
      </c>
      <c r="E127">
        <v>33</v>
      </c>
      <c r="F127">
        <v>3.712771608980401E-2</v>
      </c>
      <c r="G127" t="str">
        <f t="shared" si="21"/>
        <v>Insert into BlueCreditTypeRainbow Values (2, 0, 2, 16.9, 33, 0.037127716089804)</v>
      </c>
      <c r="N127" s="4">
        <v>124</v>
      </c>
      <c r="O127" s="8">
        <f>$B$7*COUNTIF(Sheet2!$B$1:$B$132,N127)</f>
        <v>0</v>
      </c>
      <c r="P127" s="8">
        <f t="shared" ca="1" si="18"/>
        <v>0</v>
      </c>
      <c r="Q127" s="8">
        <f ca="1">CEILING(R126*(IF(N127&lt;=IF($B$2=0,0,OFFSET(Sheet2!$B$1,Sheet1!$B$2-1,0)),$B$1/(365*100),$B$3/(365*100)))*100,1)/100</f>
        <v>394.02</v>
      </c>
      <c r="R127" s="9">
        <f t="shared" ca="1" si="19"/>
        <v>965609.82790574105</v>
      </c>
    </row>
    <row r="128" spans="1:18" x14ac:dyDescent="0.25">
      <c r="A128">
        <v>2</v>
      </c>
      <c r="B128">
        <v>0</v>
      </c>
      <c r="C128">
        <v>2</v>
      </c>
      <c r="D128">
        <v>16.899999999999999</v>
      </c>
      <c r="E128">
        <v>34</v>
      </c>
      <c r="F128">
        <v>3.6270215614607408E-2</v>
      </c>
      <c r="G128" t="str">
        <f t="shared" si="21"/>
        <v>Insert into BlueCreditTypeRainbow Values (2, 0, 2, 16.9, 34, 0.0362702156146074)</v>
      </c>
      <c r="N128" s="4">
        <v>125</v>
      </c>
      <c r="O128" s="8">
        <f>$B$7*COUNTIF(Sheet2!$B$1:$B$132,N128)</f>
        <v>0</v>
      </c>
      <c r="P128" s="8">
        <f t="shared" ca="1" si="18"/>
        <v>0</v>
      </c>
      <c r="Q128" s="8">
        <f ca="1">CEILING(R127*(IF(N128&lt;=IF($B$2=0,0,OFFSET(Sheet2!$B$1,Sheet1!$B$2-1,0)),$B$1/(365*100),$B$3/(365*100)))*100,1)/100</f>
        <v>394.19</v>
      </c>
      <c r="R128" s="9">
        <f t="shared" ca="1" si="19"/>
        <v>966004.017905741</v>
      </c>
    </row>
    <row r="129" spans="1:18" x14ac:dyDescent="0.25">
      <c r="A129">
        <v>2</v>
      </c>
      <c r="B129">
        <v>0</v>
      </c>
      <c r="C129">
        <v>2</v>
      </c>
      <c r="D129">
        <v>16.899999999999999</v>
      </c>
      <c r="E129">
        <v>35</v>
      </c>
      <c r="F129">
        <v>3.5462847163345565E-2</v>
      </c>
      <c r="G129" t="str">
        <f t="shared" si="21"/>
        <v>Insert into BlueCreditTypeRainbow Values (2, 0, 2, 16.9, 35, 0.0354628471633456)</v>
      </c>
      <c r="N129" s="4">
        <v>126</v>
      </c>
      <c r="O129" s="8">
        <f>$B$7*COUNTIF(Sheet2!$B$1:$B$132,N129)</f>
        <v>0</v>
      </c>
      <c r="P129" s="8">
        <f t="shared" ca="1" si="18"/>
        <v>0</v>
      </c>
      <c r="Q129" s="8">
        <f ca="1">CEILING(R128*(IF(N129&lt;=IF($B$2=0,0,OFFSET(Sheet2!$B$1,Sheet1!$B$2-1,0)),$B$1/(365*100),$B$3/(365*100)))*100,1)/100</f>
        <v>394.35</v>
      </c>
      <c r="R129" s="9">
        <f t="shared" ca="1" si="19"/>
        <v>966398.36790574098</v>
      </c>
    </row>
    <row r="130" spans="1:18" x14ac:dyDescent="0.25">
      <c r="A130">
        <v>2</v>
      </c>
      <c r="B130">
        <v>0</v>
      </c>
      <c r="C130">
        <v>2</v>
      </c>
      <c r="D130">
        <v>16.899999999999999</v>
      </c>
      <c r="E130">
        <v>36</v>
      </c>
      <c r="F130">
        <v>3.4701050581618743E-2</v>
      </c>
      <c r="G130" t="str">
        <f t="shared" si="21"/>
        <v>Insert into BlueCreditTypeRainbow Values (2, 0, 2, 16.9, 36, 0.0347010505816187)</v>
      </c>
      <c r="N130" s="4">
        <v>127</v>
      </c>
      <c r="O130" s="8">
        <f>$B$7*COUNTIF(Sheet2!$B$1:$B$132,N130)</f>
        <v>0</v>
      </c>
      <c r="P130" s="8">
        <f t="shared" ca="1" si="18"/>
        <v>0</v>
      </c>
      <c r="Q130" s="8">
        <f ca="1">CEILING(R129*(IF(N130&lt;=IF($B$2=0,0,OFFSET(Sheet2!$B$1,Sheet1!$B$2-1,0)),$B$1/(365*100),$B$3/(365*100)))*100,1)/100</f>
        <v>394.51</v>
      </c>
      <c r="R130" s="9">
        <f t="shared" ca="1" si="19"/>
        <v>966792.87790574098</v>
      </c>
    </row>
    <row r="131" spans="1:18" x14ac:dyDescent="0.25">
      <c r="A131">
        <v>2</v>
      </c>
      <c r="B131">
        <v>0</v>
      </c>
      <c r="C131">
        <v>1</v>
      </c>
      <c r="D131">
        <v>16.899999999999999</v>
      </c>
      <c r="E131">
        <v>24</v>
      </c>
      <c r="F131">
        <v>4.8759665432081434E-2</v>
      </c>
      <c r="G131" t="str">
        <f t="shared" si="21"/>
        <v>Insert into BlueCreditTypeRainbow Values (2, 0, 1, 16.9, 24, 0.0487596654320814)</v>
      </c>
      <c r="N131" s="4">
        <v>128</v>
      </c>
      <c r="O131" s="8">
        <f>$B$7*COUNTIF(Sheet2!$B$1:$B$132,N131)</f>
        <v>0</v>
      </c>
      <c r="P131" s="8">
        <f t="shared" ca="1" si="18"/>
        <v>0</v>
      </c>
      <c r="Q131" s="8">
        <f ca="1">CEILING(R130*(IF(N131&lt;=IF($B$2=0,0,OFFSET(Sheet2!$B$1,Sheet1!$B$2-1,0)),$B$1/(365*100),$B$3/(365*100)))*100,1)/100</f>
        <v>394.67</v>
      </c>
      <c r="R131" s="9">
        <f t="shared" ca="1" si="19"/>
        <v>967187.54790574103</v>
      </c>
    </row>
    <row r="132" spans="1:18" x14ac:dyDescent="0.25">
      <c r="A132">
        <v>2</v>
      </c>
      <c r="B132">
        <v>0</v>
      </c>
      <c r="C132">
        <v>1</v>
      </c>
      <c r="D132">
        <v>16.899999999999999</v>
      </c>
      <c r="E132">
        <v>25</v>
      </c>
      <c r="F132">
        <v>4.7121642432165177E-2</v>
      </c>
      <c r="G132" t="str">
        <f t="shared" si="21"/>
        <v>Insert into BlueCreditTypeRainbow Values (2, 0, 1, 16.9, 25, 0.0471216424321652)</v>
      </c>
      <c r="N132" s="4">
        <v>129</v>
      </c>
      <c r="O132" s="8">
        <f>$B$7*COUNTIF(Sheet2!$B$1:$B$132,N132)</f>
        <v>0</v>
      </c>
      <c r="P132" s="8">
        <f t="shared" ca="1" si="18"/>
        <v>0</v>
      </c>
      <c r="Q132" s="8">
        <f ca="1">CEILING(R131*(IF(N132&lt;=IF($B$2=0,0,OFFSET(Sheet2!$B$1,Sheet1!$B$2-1,0)),$B$1/(365*100),$B$3/(365*100)))*100,1)/100</f>
        <v>394.83</v>
      </c>
      <c r="R132" s="9">
        <f t="shared" ca="1" si="19"/>
        <v>967582.37790574098</v>
      </c>
    </row>
    <row r="133" spans="1:18" x14ac:dyDescent="0.25">
      <c r="A133">
        <v>2</v>
      </c>
      <c r="B133">
        <v>0</v>
      </c>
      <c r="C133">
        <v>1</v>
      </c>
      <c r="D133">
        <v>16.899999999999999</v>
      </c>
      <c r="E133">
        <v>26</v>
      </c>
      <c r="F133">
        <v>4.5611219651491335E-2</v>
      </c>
      <c r="G133" t="str">
        <f t="shared" si="21"/>
        <v>Insert into BlueCreditTypeRainbow Values (2, 0, 1, 16.9, 26, 0.0456112196514913)</v>
      </c>
      <c r="N133" s="4">
        <v>130</v>
      </c>
      <c r="O133" s="8">
        <f>$B$7*COUNTIF(Sheet2!$B$1:$B$132,N133)</f>
        <v>0</v>
      </c>
      <c r="P133" s="8">
        <f t="shared" ref="P133:P196" ca="1" si="22">IF(O133-Q133&gt; 0, O133-Q133, 0)</f>
        <v>0</v>
      </c>
      <c r="Q133" s="8">
        <f ca="1">CEILING(R132*(IF(N133&lt;=IF($B$2=0,0,OFFSET(Sheet2!$B$1,Sheet1!$B$2-1,0)),$B$1/(365*100),$B$3/(365*100)))*100,1)/100</f>
        <v>394.99</v>
      </c>
      <c r="R133" s="9">
        <f t="shared" ref="R133:R196" ca="1" si="23">R132+Q133-O133</f>
        <v>967977.36790574098</v>
      </c>
    </row>
    <row r="134" spans="1:18" x14ac:dyDescent="0.25">
      <c r="A134">
        <v>2</v>
      </c>
      <c r="B134">
        <v>0</v>
      </c>
      <c r="C134">
        <v>1</v>
      </c>
      <c r="D134">
        <v>16.899999999999999</v>
      </c>
      <c r="E134">
        <v>27</v>
      </c>
      <c r="F134">
        <v>4.421355851851852E-2</v>
      </c>
      <c r="G134" t="str">
        <f t="shared" si="21"/>
        <v>Insert into BlueCreditTypeRainbow Values (2, 0, 1, 16.9, 27, 0.0442135585185185)</v>
      </c>
      <c r="N134" s="4">
        <v>131</v>
      </c>
      <c r="O134" s="8">
        <f>$B$7*COUNTIF(Sheet2!$B$1:$B$132,N134)</f>
        <v>0</v>
      </c>
      <c r="P134" s="8">
        <f t="shared" ca="1" si="22"/>
        <v>0</v>
      </c>
      <c r="Q134" s="8">
        <f ca="1">CEILING(R133*(IF(N134&lt;=IF($B$2=0,0,OFFSET(Sheet2!$B$1,Sheet1!$B$2-1,0)),$B$1/(365*100),$B$3/(365*100)))*100,1)/100</f>
        <v>395.15</v>
      </c>
      <c r="R134" s="9">
        <f t="shared" ca="1" si="23"/>
        <v>968372.517905741</v>
      </c>
    </row>
    <row r="135" spans="1:18" x14ac:dyDescent="0.25">
      <c r="A135">
        <v>2</v>
      </c>
      <c r="B135">
        <v>0</v>
      </c>
      <c r="C135">
        <v>1</v>
      </c>
      <c r="D135">
        <v>16.899999999999999</v>
      </c>
      <c r="E135">
        <v>28</v>
      </c>
      <c r="F135">
        <v>4.2917183928571384E-2</v>
      </c>
      <c r="G135" t="str">
        <f t="shared" si="21"/>
        <v>Insert into BlueCreditTypeRainbow Values (2, 0, 1, 16.9, 28, 0.0429171839285714)</v>
      </c>
      <c r="N135" s="4">
        <v>132</v>
      </c>
      <c r="O135" s="8">
        <f>$B$7*COUNTIF(Sheet2!$B$1:$B$132,N135)</f>
        <v>0</v>
      </c>
      <c r="P135" s="8">
        <f t="shared" ca="1" si="22"/>
        <v>0</v>
      </c>
      <c r="Q135" s="8">
        <f ca="1">CEILING(R134*(IF(N135&lt;=IF($B$2=0,0,OFFSET(Sheet2!$B$1,Sheet1!$B$2-1,0)),$B$1/(365*100),$B$3/(365*100)))*100,1)/100</f>
        <v>395.31</v>
      </c>
      <c r="R135" s="9">
        <f t="shared" ca="1" si="23"/>
        <v>968767.82790574105</v>
      </c>
    </row>
    <row r="136" spans="1:18" x14ac:dyDescent="0.25">
      <c r="A136">
        <v>2</v>
      </c>
      <c r="B136">
        <v>0</v>
      </c>
      <c r="C136">
        <v>1</v>
      </c>
      <c r="D136">
        <v>16.899999999999999</v>
      </c>
      <c r="E136">
        <v>29</v>
      </c>
      <c r="F136">
        <v>4.1711062051281979E-2</v>
      </c>
      <c r="G136" t="str">
        <f t="shared" si="21"/>
        <v>Insert into BlueCreditTypeRainbow Values (2, 0, 1, 16.9, 29, 0.041711062051282)</v>
      </c>
      <c r="N136" s="4">
        <v>133</v>
      </c>
      <c r="O136" s="8">
        <f>$B$7*COUNTIF(Sheet2!$B$1:$B$132,N136)</f>
        <v>0</v>
      </c>
      <c r="P136" s="8">
        <f t="shared" ca="1" si="22"/>
        <v>0</v>
      </c>
      <c r="Q136" s="8">
        <f ca="1">CEILING(R135*(IF(N136&lt;=IF($B$2=0,0,OFFSET(Sheet2!$B$1,Sheet1!$B$2-1,0)),$B$1/(365*100),$B$3/(365*100)))*100,1)/100</f>
        <v>395.47</v>
      </c>
      <c r="R136" s="9">
        <f t="shared" ca="1" si="23"/>
        <v>969163.29790574103</v>
      </c>
    </row>
    <row r="137" spans="1:18" x14ac:dyDescent="0.25">
      <c r="A137">
        <v>2</v>
      </c>
      <c r="B137">
        <v>0</v>
      </c>
      <c r="C137">
        <v>1</v>
      </c>
      <c r="D137">
        <v>16.899999999999999</v>
      </c>
      <c r="E137">
        <v>30</v>
      </c>
      <c r="F137">
        <v>4.0586673486572633E-2</v>
      </c>
      <c r="G137" t="str">
        <f t="shared" si="21"/>
        <v>Insert into BlueCreditTypeRainbow Values (2, 0, 1, 16.9, 30, 0.0405866734865726)</v>
      </c>
      <c r="N137" s="4">
        <v>134</v>
      </c>
      <c r="O137" s="8">
        <f>$B$7*COUNTIF(Sheet2!$B$1:$B$132,N137)</f>
        <v>0</v>
      </c>
      <c r="P137" s="8">
        <f t="shared" ca="1" si="22"/>
        <v>0</v>
      </c>
      <c r="Q137" s="8">
        <f ca="1">CEILING(R136*(IF(N137&lt;=IF($B$2=0,0,OFFSET(Sheet2!$B$1,Sheet1!$B$2-1,0)),$B$1/(365*100),$B$3/(365*100)))*100,1)/100</f>
        <v>395.64</v>
      </c>
      <c r="R137" s="9">
        <f t="shared" ca="1" si="23"/>
        <v>969558.93790574104</v>
      </c>
    </row>
    <row r="138" spans="1:18" x14ac:dyDescent="0.25">
      <c r="A138">
        <v>2</v>
      </c>
      <c r="B138">
        <v>0</v>
      </c>
      <c r="C138">
        <v>1</v>
      </c>
      <c r="D138">
        <v>16.899999999999999</v>
      </c>
      <c r="E138">
        <v>31</v>
      </c>
      <c r="F138">
        <v>3.9535634516129063E-2</v>
      </c>
      <c r="G138" t="str">
        <f t="shared" si="21"/>
        <v>Insert into BlueCreditTypeRainbow Values (2, 0, 1, 16.9, 31, 0.0395356345161291)</v>
      </c>
      <c r="N138" s="4">
        <v>135</v>
      </c>
      <c r="O138" s="8">
        <f>$B$7*COUNTIF(Sheet2!$B$1:$B$132,N138)</f>
        <v>0</v>
      </c>
      <c r="P138" s="8">
        <f t="shared" ca="1" si="22"/>
        <v>0</v>
      </c>
      <c r="Q138" s="8">
        <f ca="1">CEILING(R137*(IF(N138&lt;=IF($B$2=0,0,OFFSET(Sheet2!$B$1,Sheet1!$B$2-1,0)),$B$1/(365*100),$B$3/(365*100)))*100,1)/100</f>
        <v>395.8</v>
      </c>
      <c r="R138" s="9">
        <f t="shared" ca="1" si="23"/>
        <v>969954.73790574109</v>
      </c>
    </row>
    <row r="139" spans="1:18" x14ac:dyDescent="0.25">
      <c r="A139">
        <v>2</v>
      </c>
      <c r="B139">
        <v>0</v>
      </c>
      <c r="C139">
        <v>1</v>
      </c>
      <c r="D139">
        <v>16.899999999999999</v>
      </c>
      <c r="E139">
        <v>32</v>
      </c>
      <c r="F139">
        <v>3.8551068468057344E-2</v>
      </c>
      <c r="G139" t="str">
        <f t="shared" si="21"/>
        <v>Insert into BlueCreditTypeRainbow Values (2, 0, 1, 16.9, 32, 0.0385510684680573)</v>
      </c>
      <c r="N139" s="4">
        <v>136</v>
      </c>
      <c r="O139" s="8">
        <f>$B$7*COUNTIF(Sheet2!$B$1:$B$132,N139)</f>
        <v>0</v>
      </c>
      <c r="P139" s="8">
        <f t="shared" ca="1" si="22"/>
        <v>0</v>
      </c>
      <c r="Q139" s="8">
        <f ca="1">CEILING(R138*(IF(N139&lt;=IF($B$2=0,0,OFFSET(Sheet2!$B$1,Sheet1!$B$2-1,0)),$B$1/(365*100),$B$3/(365*100)))*100,1)/100</f>
        <v>395.96</v>
      </c>
      <c r="R139" s="9">
        <f t="shared" ca="1" si="23"/>
        <v>970350.69790574105</v>
      </c>
    </row>
    <row r="140" spans="1:18" x14ac:dyDescent="0.25">
      <c r="A140">
        <v>2</v>
      </c>
      <c r="B140">
        <v>0</v>
      </c>
      <c r="C140">
        <v>1</v>
      </c>
      <c r="D140">
        <v>16.899999999999999</v>
      </c>
      <c r="E140">
        <v>33</v>
      </c>
      <c r="F140">
        <v>3.7627386614355531E-2</v>
      </c>
      <c r="G140" t="str">
        <f t="shared" si="21"/>
        <v>Insert into BlueCreditTypeRainbow Values (2, 0, 1, 16.9, 33, 0.0376273866143555)</v>
      </c>
      <c r="N140" s="4">
        <v>137</v>
      </c>
      <c r="O140" s="8">
        <f>$B$7*COUNTIF(Sheet2!$B$1:$B$132,N140)</f>
        <v>0</v>
      </c>
      <c r="P140" s="8">
        <f t="shared" ca="1" si="22"/>
        <v>0</v>
      </c>
      <c r="Q140" s="8">
        <f ca="1">CEILING(R139*(IF(N140&lt;=IF($B$2=0,0,OFFSET(Sheet2!$B$1,Sheet1!$B$2-1,0)),$B$1/(365*100),$B$3/(365*100)))*100,1)/100</f>
        <v>396.12</v>
      </c>
      <c r="R140" s="9">
        <f t="shared" ca="1" si="23"/>
        <v>970746.81790574105</v>
      </c>
    </row>
    <row r="141" spans="1:18" x14ac:dyDescent="0.25">
      <c r="A141">
        <v>2</v>
      </c>
      <c r="B141">
        <v>0</v>
      </c>
      <c r="C141">
        <v>1</v>
      </c>
      <c r="D141">
        <v>16.899999999999999</v>
      </c>
      <c r="E141">
        <v>34</v>
      </c>
      <c r="F141">
        <v>3.675878970588236E-2</v>
      </c>
      <c r="G141" t="str">
        <f t="shared" si="21"/>
        <v>Insert into BlueCreditTypeRainbow Values (2, 0, 1, 16.9, 34, 0.0367587897058824)</v>
      </c>
      <c r="N141" s="4">
        <v>138</v>
      </c>
      <c r="O141" s="8">
        <f>$B$7*COUNTIF(Sheet2!$B$1:$B$132,N141)</f>
        <v>0</v>
      </c>
      <c r="P141" s="8">
        <f t="shared" ca="1" si="22"/>
        <v>0</v>
      </c>
      <c r="Q141" s="8">
        <f ca="1">CEILING(R140*(IF(N141&lt;=IF($B$2=0,0,OFFSET(Sheet2!$B$1,Sheet1!$B$2-1,0)),$B$1/(365*100),$B$3/(365*100)))*100,1)/100</f>
        <v>396.28</v>
      </c>
      <c r="R141" s="9">
        <f t="shared" ca="1" si="23"/>
        <v>971143.09790574107</v>
      </c>
    </row>
    <row r="142" spans="1:18" x14ac:dyDescent="0.25">
      <c r="A142">
        <v>2</v>
      </c>
      <c r="B142">
        <v>0</v>
      </c>
      <c r="C142">
        <v>1</v>
      </c>
      <c r="D142">
        <v>16.899999999999999</v>
      </c>
      <c r="E142">
        <v>35</v>
      </c>
      <c r="F142">
        <v>3.5940939157153663E-2</v>
      </c>
      <c r="G142" t="str">
        <f t="shared" si="21"/>
        <v>Insert into BlueCreditTypeRainbow Values (2, 0, 1, 16.9, 35, 0.0359409391571537)</v>
      </c>
      <c r="N142" s="4">
        <v>139</v>
      </c>
      <c r="O142" s="8">
        <f>$B$7*COUNTIF(Sheet2!$B$1:$B$132,N142)</f>
        <v>0</v>
      </c>
      <c r="P142" s="8">
        <f t="shared" ca="1" si="22"/>
        <v>0</v>
      </c>
      <c r="Q142" s="8">
        <f ca="1">CEILING(R141*(IF(N142&lt;=IF($B$2=0,0,OFFSET(Sheet2!$B$1,Sheet1!$B$2-1,0)),$B$1/(365*100),$B$3/(365*100)))*100,1)/100</f>
        <v>396.44</v>
      </c>
      <c r="R142" s="9">
        <f t="shared" ca="1" si="23"/>
        <v>971539.53790574102</v>
      </c>
    </row>
    <row r="143" spans="1:18" x14ac:dyDescent="0.25">
      <c r="A143">
        <v>2</v>
      </c>
      <c r="B143">
        <v>0</v>
      </c>
      <c r="C143">
        <v>1</v>
      </c>
      <c r="D143">
        <v>16.899999999999999</v>
      </c>
      <c r="E143">
        <v>36</v>
      </c>
      <c r="F143">
        <v>3.5169248888888852E-2</v>
      </c>
      <c r="G143" t="str">
        <f t="shared" ref="G143:G206" si="24">CONCATENATE("Insert into BlueCreditTypeRainbow Values (",A143,", ",B143,", ",C143,", ",D143,", ",E143,", ",F143,")")</f>
        <v>Insert into BlueCreditTypeRainbow Values (2, 0, 1, 16.9, 36, 0.0351692488888889)</v>
      </c>
      <c r="N143" s="4">
        <v>140</v>
      </c>
      <c r="O143" s="8">
        <f>$B$7*COUNTIF(Sheet2!$B$1:$B$132,N143)</f>
        <v>0</v>
      </c>
      <c r="P143" s="8">
        <f t="shared" ca="1" si="22"/>
        <v>0</v>
      </c>
      <c r="Q143" s="8">
        <f ca="1">CEILING(R142*(IF(N143&lt;=IF($B$2=0,0,OFFSET(Sheet2!$B$1,Sheet1!$B$2-1,0)),$B$1/(365*100),$B$3/(365*100)))*100,1)/100</f>
        <v>396.61</v>
      </c>
      <c r="R143" s="9">
        <f t="shared" ca="1" si="23"/>
        <v>971936.147905741</v>
      </c>
    </row>
    <row r="144" spans="1:18" x14ac:dyDescent="0.25">
      <c r="A144">
        <v>2</v>
      </c>
      <c r="B144">
        <v>0</v>
      </c>
      <c r="C144">
        <v>0</v>
      </c>
      <c r="D144">
        <v>16.899999999999999</v>
      </c>
      <c r="E144">
        <v>24</v>
      </c>
      <c r="F144">
        <v>4.9464426250000013E-2</v>
      </c>
      <c r="G144" t="str">
        <f t="shared" si="24"/>
        <v>Insert into BlueCreditTypeRainbow Values (2, 0, 0, 16.9, 24, 0.04946442625)</v>
      </c>
      <c r="N144" s="4">
        <v>141</v>
      </c>
      <c r="O144" s="8">
        <f>$B$7*COUNTIF(Sheet2!$B$1:$B$132,N144)</f>
        <v>0</v>
      </c>
      <c r="P144" s="8">
        <f t="shared" ca="1" si="22"/>
        <v>0</v>
      </c>
      <c r="Q144" s="8">
        <f ca="1">CEILING(R143*(IF(N144&lt;=IF($B$2=0,0,OFFSET(Sheet2!$B$1,Sheet1!$B$2-1,0)),$B$1/(365*100),$B$3/(365*100)))*100,1)/100</f>
        <v>396.77</v>
      </c>
      <c r="R144" s="9">
        <f t="shared" ca="1" si="23"/>
        <v>972332.91790574102</v>
      </c>
    </row>
    <row r="145" spans="1:18" x14ac:dyDescent="0.25">
      <c r="A145">
        <v>2</v>
      </c>
      <c r="B145">
        <v>0</v>
      </c>
      <c r="C145">
        <v>0</v>
      </c>
      <c r="D145">
        <v>16.899999999999999</v>
      </c>
      <c r="E145">
        <v>25</v>
      </c>
      <c r="F145">
        <v>4.7802717199999983E-2</v>
      </c>
      <c r="G145" t="str">
        <f t="shared" si="24"/>
        <v>Insert into BlueCreditTypeRainbow Values (2, 0, 0, 16.9, 25, 0.0478027172)</v>
      </c>
      <c r="N145" s="4">
        <v>142</v>
      </c>
      <c r="O145" s="8">
        <f>$B$7*COUNTIF(Sheet2!$B$1:$B$132,N145)</f>
        <v>0</v>
      </c>
      <c r="P145" s="8">
        <f t="shared" ca="1" si="22"/>
        <v>0</v>
      </c>
      <c r="Q145" s="8">
        <f ca="1">CEILING(R144*(IF(N145&lt;=IF($B$2=0,0,OFFSET(Sheet2!$B$1,Sheet1!$B$2-1,0)),$B$1/(365*100),$B$3/(365*100)))*100,1)/100</f>
        <v>396.93</v>
      </c>
      <c r="R145" s="9">
        <f t="shared" ca="1" si="23"/>
        <v>972729.84790574107</v>
      </c>
    </row>
    <row r="146" spans="1:18" x14ac:dyDescent="0.25">
      <c r="A146">
        <v>2</v>
      </c>
      <c r="B146">
        <v>0</v>
      </c>
      <c r="C146">
        <v>0</v>
      </c>
      <c r="D146">
        <v>16.899999999999999</v>
      </c>
      <c r="E146">
        <v>26</v>
      </c>
      <c r="F146">
        <v>4.6270473114521496E-2</v>
      </c>
      <c r="G146" t="str">
        <f t="shared" si="24"/>
        <v>Insert into BlueCreditTypeRainbow Values (2, 0, 0, 16.9, 26, 0.0462704731145215)</v>
      </c>
      <c r="N146" s="4">
        <v>143</v>
      </c>
      <c r="O146" s="8">
        <f>$B$7*COUNTIF(Sheet2!$B$1:$B$132,N146)</f>
        <v>0</v>
      </c>
      <c r="P146" s="8">
        <f t="shared" ca="1" si="22"/>
        <v>0</v>
      </c>
      <c r="Q146" s="8">
        <f ca="1">CEILING(R145*(IF(N146&lt;=IF($B$2=0,0,OFFSET(Sheet2!$B$1,Sheet1!$B$2-1,0)),$B$1/(365*100),$B$3/(365*100)))*100,1)/100</f>
        <v>397.09</v>
      </c>
      <c r="R146" s="9">
        <f t="shared" ca="1" si="23"/>
        <v>973126.93790574104</v>
      </c>
    </row>
    <row r="147" spans="1:18" x14ac:dyDescent="0.25">
      <c r="A147">
        <v>2</v>
      </c>
      <c r="B147">
        <v>0</v>
      </c>
      <c r="C147">
        <v>0</v>
      </c>
      <c r="D147">
        <v>16.899999999999999</v>
      </c>
      <c r="E147">
        <v>27</v>
      </c>
      <c r="F147">
        <v>4.4852600370370428E-2</v>
      </c>
      <c r="G147" t="str">
        <f t="shared" si="24"/>
        <v>Insert into BlueCreditTypeRainbow Values (2, 0, 0, 16.9, 27, 0.0448526003703704)</v>
      </c>
      <c r="N147" s="4">
        <v>144</v>
      </c>
      <c r="O147" s="8">
        <f>$B$7*COUNTIF(Sheet2!$B$1:$B$132,N147)</f>
        <v>0</v>
      </c>
      <c r="P147" s="8">
        <f t="shared" ca="1" si="22"/>
        <v>0</v>
      </c>
      <c r="Q147" s="8">
        <f ca="1">CEILING(R146*(IF(N147&lt;=IF($B$2=0,0,OFFSET(Sheet2!$B$1,Sheet1!$B$2-1,0)),$B$1/(365*100),$B$3/(365*100)))*100,1)/100</f>
        <v>397.25</v>
      </c>
      <c r="R147" s="9">
        <f t="shared" ca="1" si="23"/>
        <v>973524.18790574104</v>
      </c>
    </row>
    <row r="148" spans="1:18" x14ac:dyDescent="0.25">
      <c r="A148">
        <v>2</v>
      </c>
      <c r="B148">
        <v>0</v>
      </c>
      <c r="C148">
        <v>0</v>
      </c>
      <c r="D148">
        <v>16.899999999999999</v>
      </c>
      <c r="E148">
        <v>28</v>
      </c>
      <c r="F148">
        <v>4.3537493571428547E-2</v>
      </c>
      <c r="G148" t="str">
        <f t="shared" si="24"/>
        <v>Insert into BlueCreditTypeRainbow Values (2, 0, 0, 16.9, 28, 0.0435374935714285)</v>
      </c>
      <c r="N148" s="4">
        <v>145</v>
      </c>
      <c r="O148" s="8">
        <f>$B$7*COUNTIF(Sheet2!$B$1:$B$132,N148)</f>
        <v>0</v>
      </c>
      <c r="P148" s="8">
        <f t="shared" ca="1" si="22"/>
        <v>0</v>
      </c>
      <c r="Q148" s="8">
        <f ca="1">CEILING(R147*(IF(N148&lt;=IF($B$2=0,0,OFFSET(Sheet2!$B$1,Sheet1!$B$2-1,0)),$B$1/(365*100),$B$3/(365*100)))*100,1)/100</f>
        <v>397.42</v>
      </c>
      <c r="R148" s="9">
        <f t="shared" ca="1" si="23"/>
        <v>973921.60790574108</v>
      </c>
    </row>
    <row r="149" spans="1:18" x14ac:dyDescent="0.25">
      <c r="A149">
        <v>2</v>
      </c>
      <c r="B149">
        <v>0</v>
      </c>
      <c r="C149">
        <v>0</v>
      </c>
      <c r="D149">
        <v>16.899999999999999</v>
      </c>
      <c r="E149">
        <v>29</v>
      </c>
      <c r="F149">
        <v>4.2313936929061935E-2</v>
      </c>
      <c r="G149" t="str">
        <f t="shared" si="24"/>
        <v>Insert into BlueCreditTypeRainbow Values (2, 0, 0, 16.9, 29, 0.0423139369290619)</v>
      </c>
      <c r="N149" s="4">
        <v>146</v>
      </c>
      <c r="O149" s="8">
        <f>$B$7*COUNTIF(Sheet2!$B$1:$B$132,N149)</f>
        <v>0</v>
      </c>
      <c r="P149" s="8">
        <f t="shared" ca="1" si="22"/>
        <v>0</v>
      </c>
      <c r="Q149" s="8">
        <f ca="1">CEILING(R148*(IF(N149&lt;=IF($B$2=0,0,OFFSET(Sheet2!$B$1,Sheet1!$B$2-1,0)),$B$1/(365*100),$B$3/(365*100)))*100,1)/100</f>
        <v>397.58</v>
      </c>
      <c r="R149" s="9">
        <f t="shared" ca="1" si="23"/>
        <v>974319.18790574104</v>
      </c>
    </row>
    <row r="150" spans="1:18" x14ac:dyDescent="0.25">
      <c r="A150">
        <v>2</v>
      </c>
      <c r="B150">
        <v>0</v>
      </c>
      <c r="C150">
        <v>0</v>
      </c>
      <c r="D150">
        <v>16.899999999999999</v>
      </c>
      <c r="E150">
        <v>30</v>
      </c>
      <c r="F150">
        <v>4.1173301653517375E-2</v>
      </c>
      <c r="G150" t="str">
        <f t="shared" si="24"/>
        <v>Insert into BlueCreditTypeRainbow Values (2, 0, 0, 16.9, 30, 0.0411733016535174)</v>
      </c>
      <c r="N150" s="4">
        <v>147</v>
      </c>
      <c r="O150" s="8">
        <f>$B$7*COUNTIF(Sheet2!$B$1:$B$132,N150)</f>
        <v>0</v>
      </c>
      <c r="P150" s="8">
        <f t="shared" ca="1" si="22"/>
        <v>0</v>
      </c>
      <c r="Q150" s="8">
        <f ca="1">CEILING(R149*(IF(N150&lt;=IF($B$2=0,0,OFFSET(Sheet2!$B$1,Sheet1!$B$2-1,0)),$B$1/(365*100),$B$3/(365*100)))*100,1)/100</f>
        <v>397.74</v>
      </c>
      <c r="R150" s="9">
        <f t="shared" ca="1" si="23"/>
        <v>974716.92790574103</v>
      </c>
    </row>
    <row r="151" spans="1:18" x14ac:dyDescent="0.25">
      <c r="A151">
        <v>2</v>
      </c>
      <c r="B151">
        <v>0</v>
      </c>
      <c r="C151">
        <v>0</v>
      </c>
      <c r="D151">
        <v>16.899999999999999</v>
      </c>
      <c r="E151">
        <v>31</v>
      </c>
      <c r="F151">
        <v>4.0107067107580024E-2</v>
      </c>
      <c r="G151" t="str">
        <f t="shared" si="24"/>
        <v>Insert into BlueCreditTypeRainbow Values (2, 0, 0, 16.9, 31, 0.04010706710758)</v>
      </c>
      <c r="N151" s="4">
        <v>148</v>
      </c>
      <c r="O151" s="8">
        <f>$B$7*COUNTIF(Sheet2!$B$1:$B$132,N151)</f>
        <v>0</v>
      </c>
      <c r="P151" s="8">
        <f t="shared" ca="1" si="22"/>
        <v>0</v>
      </c>
      <c r="Q151" s="8">
        <f ca="1">CEILING(R150*(IF(N151&lt;=IF($B$2=0,0,OFFSET(Sheet2!$B$1,Sheet1!$B$2-1,0)),$B$1/(365*100),$B$3/(365*100)))*100,1)/100</f>
        <v>397.9</v>
      </c>
      <c r="R151" s="9">
        <f t="shared" ca="1" si="23"/>
        <v>975114.82790574105</v>
      </c>
    </row>
    <row r="152" spans="1:18" x14ac:dyDescent="0.25">
      <c r="A152">
        <v>2</v>
      </c>
      <c r="B152">
        <v>0</v>
      </c>
      <c r="C152">
        <v>0</v>
      </c>
      <c r="D152">
        <v>16.899999999999999</v>
      </c>
      <c r="E152">
        <v>32</v>
      </c>
      <c r="F152">
        <v>3.910826843750001E-2</v>
      </c>
      <c r="G152" t="str">
        <f t="shared" si="24"/>
        <v>Insert into BlueCreditTypeRainbow Values (2, 0, 0, 16.9, 32, 0.0391082684375)</v>
      </c>
      <c r="N152" s="4">
        <v>149</v>
      </c>
      <c r="O152" s="8">
        <f>$B$7*COUNTIF(Sheet2!$B$1:$B$132,N152)</f>
        <v>0</v>
      </c>
      <c r="P152" s="8">
        <f t="shared" ca="1" si="22"/>
        <v>0</v>
      </c>
      <c r="Q152" s="8">
        <f ca="1">CEILING(R151*(IF(N152&lt;=IF($B$2=0,0,OFFSET(Sheet2!$B$1,Sheet1!$B$2-1,0)),$B$1/(365*100),$B$3/(365*100)))*100,1)/100</f>
        <v>398.07</v>
      </c>
      <c r="R152" s="9">
        <f t="shared" ca="1" si="23"/>
        <v>975512.897905741</v>
      </c>
    </row>
    <row r="153" spans="1:18" x14ac:dyDescent="0.25">
      <c r="A153">
        <v>2</v>
      </c>
      <c r="B153">
        <v>0</v>
      </c>
      <c r="C153">
        <v>0</v>
      </c>
      <c r="D153">
        <v>16.899999999999999</v>
      </c>
      <c r="E153">
        <v>33</v>
      </c>
      <c r="F153">
        <v>3.8171231613094013E-2</v>
      </c>
      <c r="G153" t="str">
        <f t="shared" si="24"/>
        <v>Insert into BlueCreditTypeRainbow Values (2, 0, 0, 16.9, 33, 0.038171231613094)</v>
      </c>
      <c r="N153" s="4">
        <v>150</v>
      </c>
      <c r="O153" s="8">
        <f>$B$7*COUNTIF(Sheet2!$B$1:$B$132,N153)</f>
        <v>0</v>
      </c>
      <c r="P153" s="8">
        <f t="shared" ca="1" si="22"/>
        <v>0</v>
      </c>
      <c r="Q153" s="8">
        <f ca="1">CEILING(R152*(IF(N153&lt;=IF($B$2=0,0,OFFSET(Sheet2!$B$1,Sheet1!$B$2-1,0)),$B$1/(365*100),$B$3/(365*100)))*100,1)/100</f>
        <v>398.23</v>
      </c>
      <c r="R153" s="9">
        <f t="shared" ca="1" si="23"/>
        <v>975911.12790574098</v>
      </c>
    </row>
    <row r="154" spans="1:18" x14ac:dyDescent="0.25">
      <c r="A154">
        <v>2</v>
      </c>
      <c r="B154">
        <v>0</v>
      </c>
      <c r="C154">
        <v>0</v>
      </c>
      <c r="D154">
        <v>16.899999999999999</v>
      </c>
      <c r="E154">
        <v>34</v>
      </c>
      <c r="F154">
        <v>3.7290082035708688E-2</v>
      </c>
      <c r="G154" t="str">
        <f t="shared" si="24"/>
        <v>Insert into BlueCreditTypeRainbow Values (2, 0, 0, 16.9, 34, 0.0372900820357087)</v>
      </c>
      <c r="N154" s="4">
        <v>151</v>
      </c>
      <c r="O154" s="8">
        <f>$B$7*COUNTIF(Sheet2!$B$1:$B$132,N154)</f>
        <v>0</v>
      </c>
      <c r="P154" s="8">
        <f t="shared" ca="1" si="22"/>
        <v>0</v>
      </c>
      <c r="Q154" s="8">
        <f ca="1">CEILING(R153*(IF(N154&lt;=IF($B$2=0,0,OFFSET(Sheet2!$B$1,Sheet1!$B$2-1,0)),$B$1/(365*100),$B$3/(365*100)))*100,1)/100</f>
        <v>398.39</v>
      </c>
      <c r="R154" s="9">
        <f t="shared" ca="1" si="23"/>
        <v>976309.517905741</v>
      </c>
    </row>
    <row r="155" spans="1:18" x14ac:dyDescent="0.25">
      <c r="A155">
        <v>2</v>
      </c>
      <c r="B155">
        <v>0</v>
      </c>
      <c r="C155">
        <v>0</v>
      </c>
      <c r="D155">
        <v>16.899999999999999</v>
      </c>
      <c r="E155">
        <v>35</v>
      </c>
      <c r="F155">
        <v>3.6460415220755445E-2</v>
      </c>
      <c r="G155" t="str">
        <f t="shared" si="24"/>
        <v>Insert into BlueCreditTypeRainbow Values (2, 0, 0, 16.9, 35, 0.0364604152207554)</v>
      </c>
      <c r="N155" s="4">
        <v>152</v>
      </c>
      <c r="O155" s="8">
        <f>$B$7*COUNTIF(Sheet2!$B$1:$B$132,N155)</f>
        <v>21157.10552356458</v>
      </c>
      <c r="P155" s="8">
        <f t="shared" ca="1" si="22"/>
        <v>20758.555523564581</v>
      </c>
      <c r="Q155" s="8">
        <f ca="1">CEILING(R154*(IF(N155&lt;=IF($B$2=0,0,OFFSET(Sheet2!$B$1,Sheet1!$B$2-1,0)),$B$1/(365*100),$B$3/(365*100)))*100,1)/100</f>
        <v>398.55</v>
      </c>
      <c r="R155" s="9">
        <f t="shared" ca="1" si="23"/>
        <v>955550.96238217643</v>
      </c>
    </row>
    <row r="156" spans="1:18" x14ac:dyDescent="0.25">
      <c r="A156">
        <v>2</v>
      </c>
      <c r="B156">
        <v>0</v>
      </c>
      <c r="C156">
        <v>0</v>
      </c>
      <c r="D156">
        <v>16.899999999999999</v>
      </c>
      <c r="E156">
        <v>36</v>
      </c>
      <c r="F156">
        <v>3.5677567222222262E-2</v>
      </c>
      <c r="G156" t="str">
        <f t="shared" si="24"/>
        <v>Insert into BlueCreditTypeRainbow Values (2, 0, 0, 16.9, 36, 0.0356775672222223)</v>
      </c>
      <c r="N156" s="4">
        <v>153</v>
      </c>
      <c r="O156" s="8">
        <f>$B$7*COUNTIF(Sheet2!$B$1:$B$132,N156)</f>
        <v>0</v>
      </c>
      <c r="P156" s="8">
        <f t="shared" ca="1" si="22"/>
        <v>0</v>
      </c>
      <c r="Q156" s="8">
        <f ca="1">CEILING(R155*(IF(N156&lt;=IF($B$2=0,0,OFFSET(Sheet2!$B$1,Sheet1!$B$2-1,0)),$B$1/(365*100),$B$3/(365*100)))*100,1)/100</f>
        <v>390.08</v>
      </c>
      <c r="R156" s="9">
        <f t="shared" ca="1" si="23"/>
        <v>955941.04238217638</v>
      </c>
    </row>
    <row r="157" spans="1:18" x14ac:dyDescent="0.25">
      <c r="A157">
        <v>3</v>
      </c>
      <c r="B157">
        <v>0</v>
      </c>
      <c r="C157">
        <v>9</v>
      </c>
      <c r="D157">
        <v>18.899999999999999</v>
      </c>
      <c r="E157">
        <v>30</v>
      </c>
      <c r="F157">
        <v>3.7407701025580692E-2</v>
      </c>
      <c r="G157" t="str">
        <f t="shared" si="24"/>
        <v>Insert into BlueCreditTypeRainbow Values (3, 0, 9, 18.9, 30, 0.0374077010255807)</v>
      </c>
      <c r="N157" s="4">
        <v>154</v>
      </c>
      <c r="O157" s="8">
        <f>$B$7*COUNTIF(Sheet2!$B$1:$B$132,N157)</f>
        <v>0</v>
      </c>
      <c r="P157" s="8">
        <f t="shared" ca="1" si="22"/>
        <v>0</v>
      </c>
      <c r="Q157" s="8">
        <f ca="1">CEILING(R156*(IF(N157&lt;=IF($B$2=0,0,OFFSET(Sheet2!$B$1,Sheet1!$B$2-1,0)),$B$1/(365*100),$B$3/(365*100)))*100,1)/100</f>
        <v>390.24</v>
      </c>
      <c r="R157" s="9">
        <f t="shared" ca="1" si="23"/>
        <v>956331.28238217637</v>
      </c>
    </row>
    <row r="158" spans="1:18" x14ac:dyDescent="0.25">
      <c r="A158">
        <v>3</v>
      </c>
      <c r="B158">
        <v>0</v>
      </c>
      <c r="C158">
        <v>9</v>
      </c>
      <c r="D158">
        <v>18.899999999999999</v>
      </c>
      <c r="E158">
        <v>31</v>
      </c>
      <c r="F158">
        <v>3.644445841709449E-2</v>
      </c>
      <c r="G158" t="str">
        <f t="shared" si="24"/>
        <v>Insert into BlueCreditTypeRainbow Values (3, 0, 9, 18.9, 31, 0.0364444584170945)</v>
      </c>
      <c r="N158" s="4">
        <v>155</v>
      </c>
      <c r="O158" s="8">
        <f>$B$7*COUNTIF(Sheet2!$B$1:$B$132,N158)</f>
        <v>0</v>
      </c>
      <c r="P158" s="8">
        <f t="shared" ca="1" si="22"/>
        <v>0</v>
      </c>
      <c r="Q158" s="8">
        <f ca="1">CEILING(R157*(IF(N158&lt;=IF($B$2=0,0,OFFSET(Sheet2!$B$1,Sheet1!$B$2-1,0)),$B$1/(365*100),$B$3/(365*100)))*100,1)/100</f>
        <v>390.4</v>
      </c>
      <c r="R158" s="9">
        <f t="shared" ca="1" si="23"/>
        <v>956721.6823821764</v>
      </c>
    </row>
    <row r="159" spans="1:18" x14ac:dyDescent="0.25">
      <c r="A159">
        <v>3</v>
      </c>
      <c r="B159">
        <v>0</v>
      </c>
      <c r="C159">
        <v>9</v>
      </c>
      <c r="D159">
        <v>18.899999999999999</v>
      </c>
      <c r="E159">
        <v>32</v>
      </c>
      <c r="F159">
        <v>3.5543336562500014E-2</v>
      </c>
      <c r="G159" t="str">
        <f t="shared" si="24"/>
        <v>Insert into BlueCreditTypeRainbow Values (3, 0, 9, 18.9, 32, 0.0355433365625)</v>
      </c>
      <c r="N159" s="4">
        <v>156</v>
      </c>
      <c r="O159" s="8">
        <f>$B$7*COUNTIF(Sheet2!$B$1:$B$132,N159)</f>
        <v>0</v>
      </c>
      <c r="P159" s="8">
        <f t="shared" ca="1" si="22"/>
        <v>0</v>
      </c>
      <c r="Q159" s="8">
        <f ca="1">CEILING(R158*(IF(N159&lt;=IF($B$2=0,0,OFFSET(Sheet2!$B$1,Sheet1!$B$2-1,0)),$B$1/(365*100),$B$3/(365*100)))*100,1)/100</f>
        <v>390.56</v>
      </c>
      <c r="R159" s="9">
        <f t="shared" ca="1" si="23"/>
        <v>957112.24238217645</v>
      </c>
    </row>
    <row r="160" spans="1:18" x14ac:dyDescent="0.25">
      <c r="A160">
        <v>3</v>
      </c>
      <c r="B160">
        <v>0</v>
      </c>
      <c r="C160">
        <v>9</v>
      </c>
      <c r="D160">
        <v>18.899999999999999</v>
      </c>
      <c r="E160">
        <v>33</v>
      </c>
      <c r="F160">
        <v>3.469902396966814E-2</v>
      </c>
      <c r="G160" t="str">
        <f t="shared" si="24"/>
        <v>Insert into BlueCreditTypeRainbow Values (3, 0, 9, 18.9, 33, 0.0346990239696681)</v>
      </c>
      <c r="N160" s="4">
        <v>157</v>
      </c>
      <c r="O160" s="8">
        <f>$B$7*COUNTIF(Sheet2!$B$1:$B$132,N160)</f>
        <v>0</v>
      </c>
      <c r="P160" s="8">
        <f t="shared" ca="1" si="22"/>
        <v>0</v>
      </c>
      <c r="Q160" s="8">
        <f ca="1">CEILING(R159*(IF(N160&lt;=IF($B$2=0,0,OFFSET(Sheet2!$B$1,Sheet1!$B$2-1,0)),$B$1/(365*100),$B$3/(365*100)))*100,1)/100</f>
        <v>390.72</v>
      </c>
      <c r="R160" s="9">
        <f t="shared" ca="1" si="23"/>
        <v>957502.96238217643</v>
      </c>
    </row>
    <row r="161" spans="1:18" x14ac:dyDescent="0.25">
      <c r="A161">
        <v>3</v>
      </c>
      <c r="B161">
        <v>0</v>
      </c>
      <c r="C161">
        <v>9</v>
      </c>
      <c r="D161">
        <v>18.899999999999999</v>
      </c>
      <c r="E161">
        <v>34</v>
      </c>
      <c r="F161">
        <v>3.3906022988792271E-2</v>
      </c>
      <c r="G161" t="str">
        <f t="shared" si="24"/>
        <v>Insert into BlueCreditTypeRainbow Values (3, 0, 9, 18.9, 34, 0.0339060229887923)</v>
      </c>
      <c r="N161" s="4">
        <v>158</v>
      </c>
      <c r="O161" s="8">
        <f>$B$7*COUNTIF(Sheet2!$B$1:$B$132,N161)</f>
        <v>0</v>
      </c>
      <c r="P161" s="8">
        <f t="shared" ca="1" si="22"/>
        <v>0</v>
      </c>
      <c r="Q161" s="8">
        <f ca="1">CEILING(R160*(IF(N161&lt;=IF($B$2=0,0,OFFSET(Sheet2!$B$1,Sheet1!$B$2-1,0)),$B$1/(365*100),$B$3/(365*100)))*100,1)/100</f>
        <v>390.88</v>
      </c>
      <c r="R161" s="9">
        <f t="shared" ca="1" si="23"/>
        <v>957893.84238217643</v>
      </c>
    </row>
    <row r="162" spans="1:18" x14ac:dyDescent="0.25">
      <c r="A162">
        <v>3</v>
      </c>
      <c r="B162">
        <v>0</v>
      </c>
      <c r="C162">
        <v>9</v>
      </c>
      <c r="D162">
        <v>18.899999999999999</v>
      </c>
      <c r="E162">
        <v>35</v>
      </c>
      <c r="F162">
        <v>3.3160248285714289E-2</v>
      </c>
      <c r="G162" t="str">
        <f t="shared" si="24"/>
        <v>Insert into BlueCreditTypeRainbow Values (3, 0, 9, 18.9, 35, 0.0331602482857143)</v>
      </c>
      <c r="N162" s="4">
        <v>159</v>
      </c>
      <c r="O162" s="8">
        <f>$B$7*COUNTIF(Sheet2!$B$1:$B$132,N162)</f>
        <v>0</v>
      </c>
      <c r="P162" s="8">
        <f t="shared" ca="1" si="22"/>
        <v>0</v>
      </c>
      <c r="Q162" s="8">
        <f ca="1">CEILING(R161*(IF(N162&lt;=IF($B$2=0,0,OFFSET(Sheet2!$B$1,Sheet1!$B$2-1,0)),$B$1/(365*100),$B$3/(365*100)))*100,1)/100</f>
        <v>391.04</v>
      </c>
      <c r="R162" s="9">
        <f t="shared" ca="1" si="23"/>
        <v>958284.88238217647</v>
      </c>
    </row>
    <row r="163" spans="1:18" x14ac:dyDescent="0.25">
      <c r="A163">
        <v>3</v>
      </c>
      <c r="B163">
        <v>0</v>
      </c>
      <c r="C163">
        <v>9</v>
      </c>
      <c r="D163">
        <v>18.899999999999999</v>
      </c>
      <c r="E163">
        <v>36</v>
      </c>
      <c r="F163">
        <v>3.2457335826146023E-2</v>
      </c>
      <c r="G163" t="str">
        <f t="shared" si="24"/>
        <v>Insert into BlueCreditTypeRainbow Values (3, 0, 9, 18.9, 36, 0.032457335826146)</v>
      </c>
      <c r="N163" s="4">
        <v>160</v>
      </c>
      <c r="O163" s="8">
        <f>$B$7*COUNTIF(Sheet2!$B$1:$B$132,N163)</f>
        <v>0</v>
      </c>
      <c r="P163" s="8">
        <f t="shared" ca="1" si="22"/>
        <v>0</v>
      </c>
      <c r="Q163" s="8">
        <f ca="1">CEILING(R162*(IF(N163&lt;=IF($B$2=0,0,OFFSET(Sheet2!$B$1,Sheet1!$B$2-1,0)),$B$1/(365*100),$B$3/(365*100)))*100,1)/100</f>
        <v>391.2</v>
      </c>
      <c r="R163" s="9">
        <f t="shared" ca="1" si="23"/>
        <v>958676.08238217642</v>
      </c>
    </row>
    <row r="164" spans="1:18" x14ac:dyDescent="0.25">
      <c r="A164">
        <v>3</v>
      </c>
      <c r="B164">
        <v>0</v>
      </c>
      <c r="C164">
        <v>9</v>
      </c>
      <c r="D164">
        <v>18.899999999999999</v>
      </c>
      <c r="E164">
        <v>37</v>
      </c>
      <c r="F164">
        <v>3.1794122440956619E-2</v>
      </c>
      <c r="G164" t="str">
        <f t="shared" si="24"/>
        <v>Insert into BlueCreditTypeRainbow Values (3, 0, 9, 18.9, 37, 0.0317941224409566)</v>
      </c>
      <c r="N164" s="4">
        <v>161</v>
      </c>
      <c r="O164" s="8">
        <f>$B$7*COUNTIF(Sheet2!$B$1:$B$132,N164)</f>
        <v>0</v>
      </c>
      <c r="P164" s="8">
        <f t="shared" ca="1" si="22"/>
        <v>0</v>
      </c>
      <c r="Q164" s="8">
        <f ca="1">CEILING(R163*(IF(N164&lt;=IF($B$2=0,0,OFFSET(Sheet2!$B$1,Sheet1!$B$2-1,0)),$B$1/(365*100),$B$3/(365*100)))*100,1)/100</f>
        <v>391.35</v>
      </c>
      <c r="R164" s="9">
        <f t="shared" ca="1" si="23"/>
        <v>959067.4323821764</v>
      </c>
    </row>
    <row r="165" spans="1:18" x14ac:dyDescent="0.25">
      <c r="A165">
        <v>3</v>
      </c>
      <c r="B165">
        <v>0</v>
      </c>
      <c r="C165">
        <v>9</v>
      </c>
      <c r="D165">
        <v>18.899999999999999</v>
      </c>
      <c r="E165">
        <v>38</v>
      </c>
      <c r="F165">
        <v>3.1167085274106048E-2</v>
      </c>
      <c r="G165" t="str">
        <f t="shared" si="24"/>
        <v>Insert into BlueCreditTypeRainbow Values (3, 0, 9, 18.9, 38, 0.031167085274106)</v>
      </c>
      <c r="N165" s="4">
        <v>162</v>
      </c>
      <c r="O165" s="8">
        <f>$B$7*COUNTIF(Sheet2!$B$1:$B$132,N165)</f>
        <v>0</v>
      </c>
      <c r="P165" s="8">
        <f t="shared" ca="1" si="22"/>
        <v>0</v>
      </c>
      <c r="Q165" s="8">
        <f ca="1">CEILING(R164*(IF(N165&lt;=IF($B$2=0,0,OFFSET(Sheet2!$B$1,Sheet1!$B$2-1,0)),$B$1/(365*100),$B$3/(365*100)))*100,1)/100</f>
        <v>391.51</v>
      </c>
      <c r="R165" s="9">
        <f t="shared" ca="1" si="23"/>
        <v>959458.94238217641</v>
      </c>
    </row>
    <row r="166" spans="1:18" x14ac:dyDescent="0.25">
      <c r="A166">
        <v>3</v>
      </c>
      <c r="B166">
        <v>0</v>
      </c>
      <c r="C166">
        <v>9</v>
      </c>
      <c r="D166">
        <v>18.899999999999999</v>
      </c>
      <c r="E166">
        <v>39</v>
      </c>
      <c r="F166">
        <v>3.057370540915871E-2</v>
      </c>
      <c r="G166" t="str">
        <f t="shared" si="24"/>
        <v>Insert into BlueCreditTypeRainbow Values (3, 0, 9, 18.9, 39, 0.0305737054091587)</v>
      </c>
      <c r="N166" s="4">
        <v>163</v>
      </c>
      <c r="O166" s="8">
        <f>$B$7*COUNTIF(Sheet2!$B$1:$B$132,N166)</f>
        <v>0</v>
      </c>
      <c r="P166" s="8">
        <f t="shared" ca="1" si="22"/>
        <v>0</v>
      </c>
      <c r="Q166" s="8">
        <f ca="1">CEILING(R165*(IF(N166&lt;=IF($B$2=0,0,OFFSET(Sheet2!$B$1,Sheet1!$B$2-1,0)),$B$1/(365*100),$B$3/(365*100)))*100,1)/100</f>
        <v>391.67</v>
      </c>
      <c r="R166" s="9">
        <f t="shared" ca="1" si="23"/>
        <v>959850.61238217645</v>
      </c>
    </row>
    <row r="167" spans="1:18" x14ac:dyDescent="0.25">
      <c r="A167">
        <v>3</v>
      </c>
      <c r="B167">
        <v>0</v>
      </c>
      <c r="C167">
        <v>9</v>
      </c>
      <c r="D167">
        <v>18.899999999999999</v>
      </c>
      <c r="E167">
        <v>40</v>
      </c>
      <c r="F167">
        <v>3.0011429750000086E-2</v>
      </c>
      <c r="G167" t="str">
        <f t="shared" si="24"/>
        <v>Insert into BlueCreditTypeRainbow Values (3, 0, 9, 18.9, 40, 0.0300114297500001)</v>
      </c>
      <c r="N167" s="4">
        <v>164</v>
      </c>
      <c r="O167" s="8">
        <f>$B$7*COUNTIF(Sheet2!$B$1:$B$132,N167)</f>
        <v>0</v>
      </c>
      <c r="P167" s="8">
        <f t="shared" ca="1" si="22"/>
        <v>0</v>
      </c>
      <c r="Q167" s="8">
        <f ca="1">CEILING(R166*(IF(N167&lt;=IF($B$2=0,0,OFFSET(Sheet2!$B$1,Sheet1!$B$2-1,0)),$B$1/(365*100),$B$3/(365*100)))*100,1)/100</f>
        <v>391.83</v>
      </c>
      <c r="R167" s="9">
        <f t="shared" ca="1" si="23"/>
        <v>960242.44238217641</v>
      </c>
    </row>
    <row r="168" spans="1:18" x14ac:dyDescent="0.25">
      <c r="A168">
        <v>3</v>
      </c>
      <c r="B168">
        <v>0</v>
      </c>
      <c r="C168">
        <v>9</v>
      </c>
      <c r="D168">
        <v>18.899999999999999</v>
      </c>
      <c r="E168">
        <v>41</v>
      </c>
      <c r="F168">
        <v>2.9477668045267504E-2</v>
      </c>
      <c r="G168" t="str">
        <f t="shared" si="24"/>
        <v>Insert into BlueCreditTypeRainbow Values (3, 0, 9, 18.9, 41, 0.0294776680452675)</v>
      </c>
      <c r="N168" s="4">
        <v>165</v>
      </c>
      <c r="O168" s="8">
        <f>$B$7*COUNTIF(Sheet2!$B$1:$B$132,N168)</f>
        <v>0</v>
      </c>
      <c r="P168" s="8">
        <f t="shared" ca="1" si="22"/>
        <v>0</v>
      </c>
      <c r="Q168" s="8">
        <f ca="1">CEILING(R167*(IF(N168&lt;=IF($B$2=0,0,OFFSET(Sheet2!$B$1,Sheet1!$B$2-1,0)),$B$1/(365*100),$B$3/(365*100)))*100,1)/100</f>
        <v>391.99</v>
      </c>
      <c r="R168" s="9">
        <f t="shared" ca="1" si="23"/>
        <v>960634.4323821764</v>
      </c>
    </row>
    <row r="169" spans="1:18" x14ac:dyDescent="0.25">
      <c r="A169">
        <v>3</v>
      </c>
      <c r="B169">
        <v>0</v>
      </c>
      <c r="C169">
        <v>9</v>
      </c>
      <c r="D169">
        <v>18.899999999999999</v>
      </c>
      <c r="E169">
        <v>42</v>
      </c>
      <c r="F169">
        <v>2.8970622142857151E-2</v>
      </c>
      <c r="G169" t="str">
        <f t="shared" si="24"/>
        <v>Insert into BlueCreditTypeRainbow Values (3, 0, 9, 18.9, 42, 0.0289706221428572)</v>
      </c>
      <c r="N169" s="4">
        <v>166</v>
      </c>
      <c r="O169" s="8">
        <f>$B$7*COUNTIF(Sheet2!$B$1:$B$132,N169)</f>
        <v>0</v>
      </c>
      <c r="P169" s="8">
        <f t="shared" ca="1" si="22"/>
        <v>0</v>
      </c>
      <c r="Q169" s="8">
        <f ca="1">CEILING(R168*(IF(N169&lt;=IF($B$2=0,0,OFFSET(Sheet2!$B$1,Sheet1!$B$2-1,0)),$B$1/(365*100),$B$3/(365*100)))*100,1)/100</f>
        <v>392.15</v>
      </c>
      <c r="R169" s="9">
        <f t="shared" ca="1" si="23"/>
        <v>961026.58238217642</v>
      </c>
    </row>
    <row r="170" spans="1:18" x14ac:dyDescent="0.25">
      <c r="A170">
        <v>3</v>
      </c>
      <c r="B170">
        <v>0</v>
      </c>
      <c r="C170">
        <v>8</v>
      </c>
      <c r="D170">
        <v>18.899999999999999</v>
      </c>
      <c r="E170">
        <v>30</v>
      </c>
      <c r="F170">
        <v>3.7816064926108409E-2</v>
      </c>
      <c r="G170" t="str">
        <f t="shared" si="24"/>
        <v>Insert into BlueCreditTypeRainbow Values (3, 0, 8, 18.9, 30, 0.0378160649261084)</v>
      </c>
      <c r="N170" s="4">
        <v>167</v>
      </c>
      <c r="O170" s="8">
        <f>$B$7*COUNTIF(Sheet2!$B$1:$B$132,N170)</f>
        <v>0</v>
      </c>
      <c r="P170" s="8">
        <f t="shared" ca="1" si="22"/>
        <v>0</v>
      </c>
      <c r="Q170" s="8">
        <f ca="1">CEILING(R169*(IF(N170&lt;=IF($B$2=0,0,OFFSET(Sheet2!$B$1,Sheet1!$B$2-1,0)),$B$1/(365*100),$B$3/(365*100)))*100,1)/100</f>
        <v>392.31</v>
      </c>
      <c r="R170" s="9">
        <f t="shared" ca="1" si="23"/>
        <v>961418.89238217648</v>
      </c>
    </row>
    <row r="171" spans="1:18" x14ac:dyDescent="0.25">
      <c r="A171">
        <v>3</v>
      </c>
      <c r="B171">
        <v>0</v>
      </c>
      <c r="C171">
        <v>8</v>
      </c>
      <c r="D171">
        <v>18.899999999999999</v>
      </c>
      <c r="E171">
        <v>31</v>
      </c>
      <c r="F171">
        <v>3.6846731637947668E-2</v>
      </c>
      <c r="G171" t="str">
        <f t="shared" si="24"/>
        <v>Insert into BlueCreditTypeRainbow Values (3, 0, 8, 18.9, 31, 0.0368467316379477)</v>
      </c>
      <c r="N171" s="4">
        <v>168</v>
      </c>
      <c r="O171" s="8">
        <f>$B$7*COUNTIF(Sheet2!$B$1:$B$132,N171)</f>
        <v>0</v>
      </c>
      <c r="P171" s="8">
        <f t="shared" ca="1" si="22"/>
        <v>0</v>
      </c>
      <c r="Q171" s="8">
        <f ca="1">CEILING(R170*(IF(N171&lt;=IF($B$2=0,0,OFFSET(Sheet2!$B$1,Sheet1!$B$2-1,0)),$B$1/(365*100),$B$3/(365*100)))*100,1)/100</f>
        <v>392.47</v>
      </c>
      <c r="R171" s="9">
        <f t="shared" ca="1" si="23"/>
        <v>961811.36238217645</v>
      </c>
    </row>
    <row r="172" spans="1:18" x14ac:dyDescent="0.25">
      <c r="A172">
        <v>3</v>
      </c>
      <c r="B172">
        <v>0</v>
      </c>
      <c r="C172">
        <v>8</v>
      </c>
      <c r="D172">
        <v>18.899999999999999</v>
      </c>
      <c r="E172">
        <v>32</v>
      </c>
      <c r="F172">
        <v>3.5939697264780253E-2</v>
      </c>
      <c r="G172" t="str">
        <f t="shared" si="24"/>
        <v>Insert into BlueCreditTypeRainbow Values (3, 0, 8, 18.9, 32, 0.0359396972647803)</v>
      </c>
      <c r="N172" s="4">
        <v>169</v>
      </c>
      <c r="O172" s="8">
        <f>$B$7*COUNTIF(Sheet2!$B$1:$B$132,N172)</f>
        <v>0</v>
      </c>
      <c r="P172" s="8">
        <f t="shared" ca="1" si="22"/>
        <v>0</v>
      </c>
      <c r="Q172" s="8">
        <f ca="1">CEILING(R171*(IF(N172&lt;=IF($B$2=0,0,OFFSET(Sheet2!$B$1,Sheet1!$B$2-1,0)),$B$1/(365*100),$B$3/(365*100)))*100,1)/100</f>
        <v>392.63</v>
      </c>
      <c r="R172" s="9">
        <f t="shared" ca="1" si="23"/>
        <v>962203.99238217645</v>
      </c>
    </row>
    <row r="173" spans="1:18" x14ac:dyDescent="0.25">
      <c r="A173">
        <v>3</v>
      </c>
      <c r="B173">
        <v>0</v>
      </c>
      <c r="C173">
        <v>8</v>
      </c>
      <c r="D173">
        <v>18.899999999999999</v>
      </c>
      <c r="E173">
        <v>33</v>
      </c>
      <c r="F173">
        <v>3.5089663821548836E-2</v>
      </c>
      <c r="G173" t="str">
        <f t="shared" si="24"/>
        <v>Insert into BlueCreditTypeRainbow Values (3, 0, 8, 18.9, 33, 0.0350896638215488)</v>
      </c>
      <c r="N173" s="4">
        <v>170</v>
      </c>
      <c r="O173" s="8">
        <f>$B$7*COUNTIF(Sheet2!$B$1:$B$132,N173)</f>
        <v>0</v>
      </c>
      <c r="P173" s="8">
        <f t="shared" ca="1" si="22"/>
        <v>0</v>
      </c>
      <c r="Q173" s="8">
        <f ca="1">CEILING(R172*(IF(N173&lt;=IF($B$2=0,0,OFFSET(Sheet2!$B$1,Sheet1!$B$2-1,0)),$B$1/(365*100),$B$3/(365*100)))*100,1)/100</f>
        <v>392.8</v>
      </c>
      <c r="R173" s="9">
        <f t="shared" ca="1" si="23"/>
        <v>962596.7923821765</v>
      </c>
    </row>
    <row r="174" spans="1:18" x14ac:dyDescent="0.25">
      <c r="A174">
        <v>3</v>
      </c>
      <c r="B174">
        <v>0</v>
      </c>
      <c r="C174">
        <v>8</v>
      </c>
      <c r="D174">
        <v>18.899999999999999</v>
      </c>
      <c r="E174">
        <v>34</v>
      </c>
      <c r="F174">
        <v>3.4291120893075691E-2</v>
      </c>
      <c r="G174" t="str">
        <f t="shared" si="24"/>
        <v>Insert into BlueCreditTypeRainbow Values (3, 0, 8, 18.9, 34, 0.0342911208930757)</v>
      </c>
      <c r="N174" s="4">
        <v>171</v>
      </c>
      <c r="O174" s="8">
        <f>$B$7*COUNTIF(Sheet2!$B$1:$B$132,N174)</f>
        <v>0</v>
      </c>
      <c r="P174" s="8">
        <f t="shared" ca="1" si="22"/>
        <v>0</v>
      </c>
      <c r="Q174" s="8">
        <f ca="1">CEILING(R173*(IF(N174&lt;=IF($B$2=0,0,OFFSET(Sheet2!$B$1,Sheet1!$B$2-1,0)),$B$1/(365*100),$B$3/(365*100)))*100,1)/100</f>
        <v>392.96</v>
      </c>
      <c r="R174" s="9">
        <f t="shared" ca="1" si="23"/>
        <v>962989.75238217646</v>
      </c>
    </row>
    <row r="175" spans="1:18" x14ac:dyDescent="0.25">
      <c r="A175">
        <v>3</v>
      </c>
      <c r="B175">
        <v>0</v>
      </c>
      <c r="C175">
        <v>8</v>
      </c>
      <c r="D175">
        <v>18.899999999999999</v>
      </c>
      <c r="E175">
        <v>35</v>
      </c>
      <c r="F175">
        <v>3.3539994970760142E-2</v>
      </c>
      <c r="G175" t="str">
        <f t="shared" si="24"/>
        <v>Insert into BlueCreditTypeRainbow Values (3, 0, 8, 18.9, 35, 0.0335399949707601)</v>
      </c>
      <c r="N175" s="4">
        <v>172</v>
      </c>
      <c r="O175" s="8">
        <f>$B$7*COUNTIF(Sheet2!$B$1:$B$132,N175)</f>
        <v>0</v>
      </c>
      <c r="P175" s="8">
        <f t="shared" ca="1" si="22"/>
        <v>0</v>
      </c>
      <c r="Q175" s="8">
        <f ca="1">CEILING(R174*(IF(N175&lt;=IF($B$2=0,0,OFFSET(Sheet2!$B$1,Sheet1!$B$2-1,0)),$B$1/(365*100),$B$3/(365*100)))*100,1)/100</f>
        <v>393.12</v>
      </c>
      <c r="R175" s="9">
        <f t="shared" ca="1" si="23"/>
        <v>963382.87238217646</v>
      </c>
    </row>
    <row r="176" spans="1:18" x14ac:dyDescent="0.25">
      <c r="A176">
        <v>3</v>
      </c>
      <c r="B176">
        <v>0</v>
      </c>
      <c r="C176">
        <v>8</v>
      </c>
      <c r="D176">
        <v>18.899999999999999</v>
      </c>
      <c r="E176">
        <v>36</v>
      </c>
      <c r="F176">
        <v>3.283191668852134E-2</v>
      </c>
      <c r="G176" t="str">
        <f t="shared" si="24"/>
        <v>Insert into BlueCreditTypeRainbow Values (3, 0, 8, 18.9, 36, 0.0328319166885213)</v>
      </c>
      <c r="N176" s="4">
        <v>173</v>
      </c>
      <c r="O176" s="8">
        <f>$B$7*COUNTIF(Sheet2!$B$1:$B$132,N176)</f>
        <v>0</v>
      </c>
      <c r="P176" s="8">
        <f t="shared" ca="1" si="22"/>
        <v>0</v>
      </c>
      <c r="Q176" s="8">
        <f ca="1">CEILING(R175*(IF(N176&lt;=IF($B$2=0,0,OFFSET(Sheet2!$B$1,Sheet1!$B$2-1,0)),$B$1/(365*100),$B$3/(365*100)))*100,1)/100</f>
        <v>393.28</v>
      </c>
      <c r="R176" s="9">
        <f t="shared" ca="1" si="23"/>
        <v>963776.15238217649</v>
      </c>
    </row>
    <row r="177" spans="1:18" x14ac:dyDescent="0.25">
      <c r="A177">
        <v>3</v>
      </c>
      <c r="B177">
        <v>0</v>
      </c>
      <c r="C177">
        <v>8</v>
      </c>
      <c r="D177">
        <v>18.899999999999999</v>
      </c>
      <c r="E177">
        <v>37</v>
      </c>
      <c r="F177">
        <v>3.2163704347822494E-2</v>
      </c>
      <c r="G177" t="str">
        <f t="shared" si="24"/>
        <v>Insert into BlueCreditTypeRainbow Values (3, 0, 8, 18.9, 37, 0.0321637043478225)</v>
      </c>
      <c r="N177" s="4">
        <v>174</v>
      </c>
      <c r="O177" s="8">
        <f>$B$7*COUNTIF(Sheet2!$B$1:$B$132,N177)</f>
        <v>0</v>
      </c>
      <c r="P177" s="8">
        <f t="shared" ca="1" si="22"/>
        <v>0</v>
      </c>
      <c r="Q177" s="8">
        <f ca="1">CEILING(R176*(IF(N177&lt;=IF($B$2=0,0,OFFSET(Sheet2!$B$1,Sheet1!$B$2-1,0)),$B$1/(365*100),$B$3/(365*100)))*100,1)/100</f>
        <v>393.44</v>
      </c>
      <c r="R177" s="9">
        <f t="shared" ca="1" si="23"/>
        <v>964169.59238217643</v>
      </c>
    </row>
    <row r="178" spans="1:18" x14ac:dyDescent="0.25">
      <c r="A178">
        <v>3</v>
      </c>
      <c r="B178">
        <v>0</v>
      </c>
      <c r="C178">
        <v>8</v>
      </c>
      <c r="D178">
        <v>18.899999999999999</v>
      </c>
      <c r="E178">
        <v>38</v>
      </c>
      <c r="F178">
        <v>3.1531843167726954E-2</v>
      </c>
      <c r="G178" t="str">
        <f t="shared" si="24"/>
        <v>Insert into BlueCreditTypeRainbow Values (3, 0, 8, 18.9, 38, 0.031531843167727)</v>
      </c>
      <c r="N178" s="4">
        <v>175</v>
      </c>
      <c r="O178" s="8">
        <f>$B$7*COUNTIF(Sheet2!$B$1:$B$132,N178)</f>
        <v>0</v>
      </c>
      <c r="P178" s="8">
        <f t="shared" ca="1" si="22"/>
        <v>0</v>
      </c>
      <c r="Q178" s="8">
        <f ca="1">CEILING(R177*(IF(N178&lt;=IF($B$2=0,0,OFFSET(Sheet2!$B$1,Sheet1!$B$2-1,0)),$B$1/(365*100),$B$3/(365*100)))*100,1)/100</f>
        <v>393.6</v>
      </c>
      <c r="R178" s="9">
        <f t="shared" ca="1" si="23"/>
        <v>964563.19238217641</v>
      </c>
    </row>
    <row r="179" spans="1:18" x14ac:dyDescent="0.25">
      <c r="A179">
        <v>3</v>
      </c>
      <c r="B179">
        <v>0</v>
      </c>
      <c r="C179">
        <v>8</v>
      </c>
      <c r="D179">
        <v>18.899999999999999</v>
      </c>
      <c r="E179">
        <v>39</v>
      </c>
      <c r="F179">
        <v>3.0933813357089369E-2</v>
      </c>
      <c r="G179" t="str">
        <f t="shared" si="24"/>
        <v>Insert into BlueCreditTypeRainbow Values (3, 0, 8, 18.9, 39, 0.0309338133570894)</v>
      </c>
      <c r="N179" s="4">
        <v>176</v>
      </c>
      <c r="O179" s="8">
        <f>$B$7*COUNTIF(Sheet2!$B$1:$B$132,N179)</f>
        <v>0</v>
      </c>
      <c r="P179" s="8">
        <f t="shared" ca="1" si="22"/>
        <v>0</v>
      </c>
      <c r="Q179" s="8">
        <f ca="1">CEILING(R178*(IF(N179&lt;=IF($B$2=0,0,OFFSET(Sheet2!$B$1,Sheet1!$B$2-1,0)),$B$1/(365*100),$B$3/(365*100)))*100,1)/100</f>
        <v>393.76</v>
      </c>
      <c r="R179" s="9">
        <f t="shared" ca="1" si="23"/>
        <v>964956.95238217642</v>
      </c>
    </row>
    <row r="180" spans="1:18" x14ac:dyDescent="0.25">
      <c r="A180">
        <v>3</v>
      </c>
      <c r="B180">
        <v>0</v>
      </c>
      <c r="C180">
        <v>8</v>
      </c>
      <c r="D180">
        <v>18.899999999999999</v>
      </c>
      <c r="E180">
        <v>40</v>
      </c>
      <c r="F180">
        <v>3.0367046250000022E-2</v>
      </c>
      <c r="G180" t="str">
        <f t="shared" si="24"/>
        <v>Insert into BlueCreditTypeRainbow Values (3, 0, 8, 18.9, 40, 0.03036704625)</v>
      </c>
      <c r="N180" s="4">
        <v>177</v>
      </c>
      <c r="O180" s="8">
        <f>$B$7*COUNTIF(Sheet2!$B$1:$B$132,N180)</f>
        <v>0</v>
      </c>
      <c r="P180" s="8">
        <f t="shared" ca="1" si="22"/>
        <v>0</v>
      </c>
      <c r="Q180" s="8">
        <f ca="1">CEILING(R179*(IF(N180&lt;=IF($B$2=0,0,OFFSET(Sheet2!$B$1,Sheet1!$B$2-1,0)),$B$1/(365*100),$B$3/(365*100)))*100,1)/100</f>
        <v>393.92</v>
      </c>
      <c r="R180" s="9">
        <f t="shared" ca="1" si="23"/>
        <v>965350.87238217646</v>
      </c>
    </row>
    <row r="181" spans="1:18" x14ac:dyDescent="0.25">
      <c r="A181">
        <v>3</v>
      </c>
      <c r="B181">
        <v>0</v>
      </c>
      <c r="C181">
        <v>8</v>
      </c>
      <c r="D181">
        <v>18.899999999999999</v>
      </c>
      <c r="E181">
        <v>41</v>
      </c>
      <c r="F181">
        <v>2.9828940389403362E-2</v>
      </c>
      <c r="G181" t="str">
        <f t="shared" si="24"/>
        <v>Insert into BlueCreditTypeRainbow Values (3, 0, 8, 18.9, 41, 0.0298289403894034)</v>
      </c>
      <c r="N181" s="4">
        <v>178</v>
      </c>
      <c r="O181" s="8">
        <f>$B$7*COUNTIF(Sheet2!$B$1:$B$132,N181)</f>
        <v>0</v>
      </c>
      <c r="P181" s="8">
        <f t="shared" ca="1" si="22"/>
        <v>0</v>
      </c>
      <c r="Q181" s="8">
        <f ca="1">CEILING(R180*(IF(N181&lt;=IF($B$2=0,0,OFFSET(Sheet2!$B$1,Sheet1!$B$2-1,0)),$B$1/(365*100),$B$3/(365*100)))*100,1)/100</f>
        <v>394.08</v>
      </c>
      <c r="R181" s="9">
        <f t="shared" ca="1" si="23"/>
        <v>965744.95238217642</v>
      </c>
    </row>
    <row r="182" spans="1:18" x14ac:dyDescent="0.25">
      <c r="A182">
        <v>3</v>
      </c>
      <c r="B182">
        <v>0</v>
      </c>
      <c r="C182">
        <v>8</v>
      </c>
      <c r="D182">
        <v>18.899999999999999</v>
      </c>
      <c r="E182">
        <v>42</v>
      </c>
      <c r="F182">
        <v>2.9317706450150166E-2</v>
      </c>
      <c r="G182" t="str">
        <f t="shared" si="24"/>
        <v>Insert into BlueCreditTypeRainbow Values (3, 0, 8, 18.9, 42, 0.0293177064501502)</v>
      </c>
      <c r="N182" s="4">
        <v>179</v>
      </c>
      <c r="O182" s="8">
        <f>$B$7*COUNTIF(Sheet2!$B$1:$B$132,N182)</f>
        <v>0</v>
      </c>
      <c r="P182" s="8">
        <f t="shared" ca="1" si="22"/>
        <v>0</v>
      </c>
      <c r="Q182" s="8">
        <f ca="1">CEILING(R181*(IF(N182&lt;=IF($B$2=0,0,OFFSET(Sheet2!$B$1,Sheet1!$B$2-1,0)),$B$1/(365*100),$B$3/(365*100)))*100,1)/100</f>
        <v>394.24</v>
      </c>
      <c r="R182" s="9">
        <f t="shared" ca="1" si="23"/>
        <v>966139.19238217641</v>
      </c>
    </row>
    <row r="183" spans="1:18" x14ac:dyDescent="0.25">
      <c r="A183">
        <v>3</v>
      </c>
      <c r="B183">
        <v>0</v>
      </c>
      <c r="C183">
        <v>7</v>
      </c>
      <c r="D183">
        <v>18.899999999999999</v>
      </c>
      <c r="E183">
        <v>30</v>
      </c>
      <c r="F183">
        <v>3.8249478683855871E-2</v>
      </c>
      <c r="G183" t="str">
        <f t="shared" si="24"/>
        <v>Insert into BlueCreditTypeRainbow Values (3, 0, 7, 18.9, 30, 0.0382494786838559)</v>
      </c>
      <c r="N183" s="4">
        <v>180</v>
      </c>
      <c r="O183" s="8">
        <f>$B$7*COUNTIF(Sheet2!$B$1:$B$132,N183)</f>
        <v>0</v>
      </c>
      <c r="P183" s="8">
        <f t="shared" ca="1" si="22"/>
        <v>0</v>
      </c>
      <c r="Q183" s="8">
        <f ca="1">CEILING(R182*(IF(N183&lt;=IF($B$2=0,0,OFFSET(Sheet2!$B$1,Sheet1!$B$2-1,0)),$B$1/(365*100),$B$3/(365*100)))*100,1)/100</f>
        <v>394.4</v>
      </c>
      <c r="R183" s="9">
        <f t="shared" ca="1" si="23"/>
        <v>966533.59238217643</v>
      </c>
    </row>
    <row r="184" spans="1:18" x14ac:dyDescent="0.25">
      <c r="A184">
        <v>3</v>
      </c>
      <c r="B184">
        <v>0</v>
      </c>
      <c r="C184">
        <v>7</v>
      </c>
      <c r="D184">
        <v>18.899999999999999</v>
      </c>
      <c r="E184">
        <v>31</v>
      </c>
      <c r="F184">
        <v>3.7272976152278259E-2</v>
      </c>
      <c r="G184" t="str">
        <f t="shared" si="24"/>
        <v>Insert into BlueCreditTypeRainbow Values (3, 0, 7, 18.9, 31, 0.0372729761522783)</v>
      </c>
      <c r="N184" s="4">
        <v>181</v>
      </c>
      <c r="O184" s="8">
        <f>$B$7*COUNTIF(Sheet2!$B$1:$B$132,N184)</f>
        <v>0</v>
      </c>
      <c r="P184" s="8">
        <f t="shared" ca="1" si="22"/>
        <v>0</v>
      </c>
      <c r="Q184" s="8">
        <f ca="1">CEILING(R183*(IF(N184&lt;=IF($B$2=0,0,OFFSET(Sheet2!$B$1,Sheet1!$B$2-1,0)),$B$1/(365*100),$B$3/(365*100)))*100,1)/100</f>
        <v>394.56</v>
      </c>
      <c r="R184" s="9">
        <f t="shared" ca="1" si="23"/>
        <v>966928.15238217649</v>
      </c>
    </row>
    <row r="185" spans="1:18" x14ac:dyDescent="0.25">
      <c r="A185">
        <v>3</v>
      </c>
      <c r="B185">
        <v>0</v>
      </c>
      <c r="C185">
        <v>7</v>
      </c>
      <c r="D185">
        <v>18.899999999999999</v>
      </c>
      <c r="E185">
        <v>32</v>
      </c>
      <c r="F185">
        <v>3.6359038155761317E-2</v>
      </c>
      <c r="G185" t="str">
        <f t="shared" si="24"/>
        <v>Insert into BlueCreditTypeRainbow Values (3, 0, 7, 18.9, 32, 0.0363590381557613)</v>
      </c>
      <c r="N185" s="4">
        <v>182</v>
      </c>
      <c r="O185" s="8">
        <f>$B$7*COUNTIF(Sheet2!$B$1:$B$132,N185)</f>
        <v>0</v>
      </c>
      <c r="P185" s="8">
        <f t="shared" ca="1" si="22"/>
        <v>0</v>
      </c>
      <c r="Q185" s="8">
        <f ca="1">CEILING(R184*(IF(N185&lt;=IF($B$2=0,0,OFFSET(Sheet2!$B$1,Sheet1!$B$2-1,0)),$B$1/(365*100),$B$3/(365*100)))*100,1)/100</f>
        <v>394.72</v>
      </c>
      <c r="R185" s="9">
        <f t="shared" ca="1" si="23"/>
        <v>967322.87238217646</v>
      </c>
    </row>
    <row r="186" spans="1:18" x14ac:dyDescent="0.25">
      <c r="A186">
        <v>3</v>
      </c>
      <c r="B186">
        <v>0</v>
      </c>
      <c r="C186">
        <v>7</v>
      </c>
      <c r="D186">
        <v>18.899999999999999</v>
      </c>
      <c r="E186">
        <v>33</v>
      </c>
      <c r="F186">
        <v>3.5502382756234512E-2</v>
      </c>
      <c r="G186" t="str">
        <f t="shared" si="24"/>
        <v>Insert into BlueCreditTypeRainbow Values (3, 0, 7, 18.9, 33, 0.0355023827562345)</v>
      </c>
      <c r="N186" s="4">
        <v>183</v>
      </c>
      <c r="O186" s="8">
        <f>$B$7*COUNTIF(Sheet2!$B$1:$B$132,N186)</f>
        <v>21157.10552356458</v>
      </c>
      <c r="P186" s="8">
        <f t="shared" ca="1" si="22"/>
        <v>20762.225523564579</v>
      </c>
      <c r="Q186" s="8">
        <f ca="1">CEILING(R185*(IF(N186&lt;=IF($B$2=0,0,OFFSET(Sheet2!$B$1,Sheet1!$B$2-1,0)),$B$1/(365*100),$B$3/(365*100)))*100,1)/100</f>
        <v>394.88</v>
      </c>
      <c r="R186" s="9">
        <f t="shared" ca="1" si="23"/>
        <v>946560.64685861184</v>
      </c>
    </row>
    <row r="187" spans="1:18" x14ac:dyDescent="0.25">
      <c r="A187">
        <v>3</v>
      </c>
      <c r="B187">
        <v>0</v>
      </c>
      <c r="C187">
        <v>7</v>
      </c>
      <c r="D187">
        <v>18.899999999999999</v>
      </c>
      <c r="E187">
        <v>34</v>
      </c>
      <c r="F187">
        <v>3.4697477353646755E-2</v>
      </c>
      <c r="G187" t="str">
        <f t="shared" si="24"/>
        <v>Insert into BlueCreditTypeRainbow Values (3, 0, 7, 18.9, 34, 0.0346974773536468)</v>
      </c>
      <c r="N187" s="4">
        <v>184</v>
      </c>
      <c r="O187" s="8">
        <f>$B$7*COUNTIF(Sheet2!$B$1:$B$132,N187)</f>
        <v>0</v>
      </c>
      <c r="P187" s="8">
        <f t="shared" ca="1" si="22"/>
        <v>0</v>
      </c>
      <c r="Q187" s="8">
        <f ca="1">CEILING(R186*(IF(N187&lt;=IF($B$2=0,0,OFFSET(Sheet2!$B$1,Sheet1!$B$2-1,0)),$B$1/(365*100),$B$3/(365*100)))*100,1)/100</f>
        <v>386.41</v>
      </c>
      <c r="R187" s="9">
        <f t="shared" ca="1" si="23"/>
        <v>946947.05685861188</v>
      </c>
    </row>
    <row r="188" spans="1:18" x14ac:dyDescent="0.25">
      <c r="A188">
        <v>3</v>
      </c>
      <c r="B188">
        <v>0</v>
      </c>
      <c r="C188">
        <v>7</v>
      </c>
      <c r="D188">
        <v>18.899999999999999</v>
      </c>
      <c r="E188">
        <v>35</v>
      </c>
      <c r="F188">
        <v>3.3940230309605531E-2</v>
      </c>
      <c r="G188" t="str">
        <f t="shared" si="24"/>
        <v>Insert into BlueCreditTypeRainbow Values (3, 0, 7, 18.9, 35, 0.0339402303096055)</v>
      </c>
      <c r="N188" s="4">
        <v>185</v>
      </c>
      <c r="O188" s="8">
        <f>$B$7*COUNTIF(Sheet2!$B$1:$B$132,N188)</f>
        <v>0</v>
      </c>
      <c r="P188" s="8">
        <f t="shared" ca="1" si="22"/>
        <v>0</v>
      </c>
      <c r="Q188" s="8">
        <f ca="1">CEILING(R187*(IF(N188&lt;=IF($B$2=0,0,OFFSET(Sheet2!$B$1,Sheet1!$B$2-1,0)),$B$1/(365*100),$B$3/(365*100)))*100,1)/100</f>
        <v>386.57</v>
      </c>
      <c r="R188" s="9">
        <f t="shared" ca="1" si="23"/>
        <v>947333.62685861182</v>
      </c>
    </row>
    <row r="189" spans="1:18" x14ac:dyDescent="0.25">
      <c r="A189">
        <v>3</v>
      </c>
      <c r="B189">
        <v>0</v>
      </c>
      <c r="C189">
        <v>7</v>
      </c>
      <c r="D189">
        <v>18.899999999999999</v>
      </c>
      <c r="E189">
        <v>36</v>
      </c>
      <c r="F189">
        <v>3.3226274166666708E-2</v>
      </c>
      <c r="G189" t="str">
        <f t="shared" si="24"/>
        <v>Insert into BlueCreditTypeRainbow Values (3, 0, 7, 18.9, 36, 0.0332262741666667)</v>
      </c>
      <c r="N189" s="4">
        <v>186</v>
      </c>
      <c r="O189" s="8">
        <f>$B$7*COUNTIF(Sheet2!$B$1:$B$132,N189)</f>
        <v>0</v>
      </c>
      <c r="P189" s="8">
        <f t="shared" ca="1" si="22"/>
        <v>0</v>
      </c>
      <c r="Q189" s="8">
        <f ca="1">CEILING(R188*(IF(N189&lt;=IF($B$2=0,0,OFFSET(Sheet2!$B$1,Sheet1!$B$2-1,0)),$B$1/(365*100),$B$3/(365*100)))*100,1)/100</f>
        <v>386.72</v>
      </c>
      <c r="R189" s="9">
        <f t="shared" ca="1" si="23"/>
        <v>947720.3468586118</v>
      </c>
    </row>
    <row r="190" spans="1:18" x14ac:dyDescent="0.25">
      <c r="A190">
        <v>3</v>
      </c>
      <c r="B190">
        <v>0</v>
      </c>
      <c r="C190">
        <v>7</v>
      </c>
      <c r="D190">
        <v>18.899999999999999</v>
      </c>
      <c r="E190">
        <v>37</v>
      </c>
      <c r="F190">
        <v>3.255241405405402E-2</v>
      </c>
      <c r="G190" t="str">
        <f t="shared" si="24"/>
        <v>Insert into BlueCreditTypeRainbow Values (3, 0, 7, 18.9, 37, 0.032552414054054)</v>
      </c>
      <c r="N190" s="4">
        <v>187</v>
      </c>
      <c r="O190" s="8">
        <f>$B$7*COUNTIF(Sheet2!$B$1:$B$132,N190)</f>
        <v>0</v>
      </c>
      <c r="P190" s="8">
        <f t="shared" ca="1" si="22"/>
        <v>0</v>
      </c>
      <c r="Q190" s="8">
        <f ca="1">CEILING(R189*(IF(N190&lt;=IF($B$2=0,0,OFFSET(Sheet2!$B$1,Sheet1!$B$2-1,0)),$B$1/(365*100),$B$3/(365*100)))*100,1)/100</f>
        <v>386.88</v>
      </c>
      <c r="R190" s="9">
        <f t="shared" ca="1" si="23"/>
        <v>948107.2268586118</v>
      </c>
    </row>
    <row r="191" spans="1:18" x14ac:dyDescent="0.25">
      <c r="A191">
        <v>3</v>
      </c>
      <c r="B191">
        <v>0</v>
      </c>
      <c r="C191">
        <v>7</v>
      </c>
      <c r="D191">
        <v>18.899999999999999</v>
      </c>
      <c r="E191">
        <v>38</v>
      </c>
      <c r="F191">
        <v>3.1915108684210554E-2</v>
      </c>
      <c r="G191" t="str">
        <f t="shared" si="24"/>
        <v>Insert into BlueCreditTypeRainbow Values (3, 0, 7, 18.9, 38, 0.0319151086842106)</v>
      </c>
      <c r="N191" s="4">
        <v>188</v>
      </c>
      <c r="O191" s="8">
        <f>$B$7*COUNTIF(Sheet2!$B$1:$B$132,N191)</f>
        <v>0</v>
      </c>
      <c r="P191" s="8">
        <f t="shared" ca="1" si="22"/>
        <v>0</v>
      </c>
      <c r="Q191" s="8">
        <f ca="1">CEILING(R190*(IF(N191&lt;=IF($B$2=0,0,OFFSET(Sheet2!$B$1,Sheet1!$B$2-1,0)),$B$1/(365*100),$B$3/(365*100)))*100,1)/100</f>
        <v>387.04</v>
      </c>
      <c r="R191" s="9">
        <f t="shared" ca="1" si="23"/>
        <v>948494.26685861184</v>
      </c>
    </row>
    <row r="192" spans="1:18" x14ac:dyDescent="0.25">
      <c r="A192">
        <v>3</v>
      </c>
      <c r="B192">
        <v>0</v>
      </c>
      <c r="C192">
        <v>7</v>
      </c>
      <c r="D192">
        <v>18.899999999999999</v>
      </c>
      <c r="E192">
        <v>39</v>
      </c>
      <c r="F192">
        <v>3.1311854871794907E-2</v>
      </c>
      <c r="G192" t="str">
        <f t="shared" si="24"/>
        <v>Insert into BlueCreditTypeRainbow Values (3, 0, 7, 18.9, 39, 0.0313118548717949)</v>
      </c>
      <c r="N192" s="4">
        <v>189</v>
      </c>
      <c r="O192" s="8">
        <f>$B$7*COUNTIF(Sheet2!$B$1:$B$132,N192)</f>
        <v>0</v>
      </c>
      <c r="P192" s="8">
        <f t="shared" ca="1" si="22"/>
        <v>0</v>
      </c>
      <c r="Q192" s="8">
        <f ca="1">CEILING(R191*(IF(N192&lt;=IF($B$2=0,0,OFFSET(Sheet2!$B$1,Sheet1!$B$2-1,0)),$B$1/(365*100),$B$3/(365*100)))*100,1)/100</f>
        <v>387.2</v>
      </c>
      <c r="R192" s="9">
        <f t="shared" ca="1" si="23"/>
        <v>948881.46685861179</v>
      </c>
    </row>
    <row r="193" spans="1:18" x14ac:dyDescent="0.25">
      <c r="A193">
        <v>3</v>
      </c>
      <c r="B193">
        <v>0</v>
      </c>
      <c r="C193">
        <v>7</v>
      </c>
      <c r="D193">
        <v>18.899999999999999</v>
      </c>
      <c r="E193">
        <v>40</v>
      </c>
      <c r="F193">
        <v>3.0740065021623977E-2</v>
      </c>
      <c r="G193" t="str">
        <f t="shared" si="24"/>
        <v>Insert into BlueCreditTypeRainbow Values (3, 0, 7, 18.9, 40, 0.030740065021624)</v>
      </c>
      <c r="N193" s="4">
        <v>190</v>
      </c>
      <c r="O193" s="8">
        <f>$B$7*COUNTIF(Sheet2!$B$1:$B$132,N193)</f>
        <v>0</v>
      </c>
      <c r="P193" s="8">
        <f t="shared" ca="1" si="22"/>
        <v>0</v>
      </c>
      <c r="Q193" s="8">
        <f ca="1">CEILING(R192*(IF(N193&lt;=IF($B$2=0,0,OFFSET(Sheet2!$B$1,Sheet1!$B$2-1,0)),$B$1/(365*100),$B$3/(365*100)))*100,1)/100</f>
        <v>387.36</v>
      </c>
      <c r="R193" s="9">
        <f t="shared" ca="1" si="23"/>
        <v>949268.82685861178</v>
      </c>
    </row>
    <row r="194" spans="1:18" x14ac:dyDescent="0.25">
      <c r="A194">
        <v>3</v>
      </c>
      <c r="B194">
        <v>0</v>
      </c>
      <c r="C194">
        <v>7</v>
      </c>
      <c r="D194">
        <v>18.899999999999999</v>
      </c>
      <c r="E194">
        <v>41</v>
      </c>
      <c r="F194">
        <v>3.019712829268292E-2</v>
      </c>
      <c r="G194" t="str">
        <f t="shared" si="24"/>
        <v>Insert into BlueCreditTypeRainbow Values (3, 0, 7, 18.9, 41, 0.0301971282926829)</v>
      </c>
      <c r="N194" s="4">
        <v>191</v>
      </c>
      <c r="O194" s="8">
        <f>$B$7*COUNTIF(Sheet2!$B$1:$B$132,N194)</f>
        <v>0</v>
      </c>
      <c r="P194" s="8">
        <f t="shared" ca="1" si="22"/>
        <v>0</v>
      </c>
      <c r="Q194" s="8">
        <f ca="1">CEILING(R193*(IF(N194&lt;=IF($B$2=0,0,OFFSET(Sheet2!$B$1,Sheet1!$B$2-1,0)),$B$1/(365*100),$B$3/(365*100)))*100,1)/100</f>
        <v>387.51</v>
      </c>
      <c r="R194" s="9">
        <f t="shared" ca="1" si="23"/>
        <v>949656.33685861179</v>
      </c>
    </row>
    <row r="195" spans="1:18" x14ac:dyDescent="0.25">
      <c r="A195">
        <v>3</v>
      </c>
      <c r="B195">
        <v>0</v>
      </c>
      <c r="C195">
        <v>7</v>
      </c>
      <c r="D195">
        <v>18.899999999999999</v>
      </c>
      <c r="E195">
        <v>42</v>
      </c>
      <c r="F195">
        <v>2.9681236666666704E-2</v>
      </c>
      <c r="G195" t="str">
        <f t="shared" si="24"/>
        <v>Insert into BlueCreditTypeRainbow Values (3, 0, 7, 18.9, 42, 0.0296812366666667)</v>
      </c>
      <c r="N195" s="4">
        <v>192</v>
      </c>
      <c r="O195" s="8">
        <f>$B$7*COUNTIF(Sheet2!$B$1:$B$132,N195)</f>
        <v>0</v>
      </c>
      <c r="P195" s="8">
        <f t="shared" ca="1" si="22"/>
        <v>0</v>
      </c>
      <c r="Q195" s="8">
        <f ca="1">CEILING(R194*(IF(N195&lt;=IF($B$2=0,0,OFFSET(Sheet2!$B$1,Sheet1!$B$2-1,0)),$B$1/(365*100),$B$3/(365*100)))*100,1)/100</f>
        <v>387.67</v>
      </c>
      <c r="R195" s="9">
        <f t="shared" ca="1" si="23"/>
        <v>950044.00685861183</v>
      </c>
    </row>
    <row r="196" spans="1:18" x14ac:dyDescent="0.25">
      <c r="A196">
        <v>3</v>
      </c>
      <c r="B196">
        <v>0</v>
      </c>
      <c r="C196">
        <v>6</v>
      </c>
      <c r="D196">
        <v>18.899999999999999</v>
      </c>
      <c r="E196">
        <v>30</v>
      </c>
      <c r="F196">
        <v>3.8724478042316511E-2</v>
      </c>
      <c r="G196" t="str">
        <f t="shared" si="24"/>
        <v>Insert into BlueCreditTypeRainbow Values (3, 0, 6, 18.9, 30, 0.0387244780423165)</v>
      </c>
      <c r="N196" s="4">
        <v>193</v>
      </c>
      <c r="O196" s="8">
        <f>$B$7*COUNTIF(Sheet2!$B$1:$B$132,N196)</f>
        <v>0</v>
      </c>
      <c r="P196" s="8">
        <f t="shared" ca="1" si="22"/>
        <v>0</v>
      </c>
      <c r="Q196" s="8">
        <f ca="1">CEILING(R195*(IF(N196&lt;=IF($B$2=0,0,OFFSET(Sheet2!$B$1,Sheet1!$B$2-1,0)),$B$1/(365*100),$B$3/(365*100)))*100,1)/100</f>
        <v>387.83</v>
      </c>
      <c r="R196" s="9">
        <f t="shared" ca="1" si="23"/>
        <v>950431.83685861179</v>
      </c>
    </row>
    <row r="197" spans="1:18" x14ac:dyDescent="0.25">
      <c r="A197">
        <v>3</v>
      </c>
      <c r="B197">
        <v>0</v>
      </c>
      <c r="C197">
        <v>6</v>
      </c>
      <c r="D197">
        <v>18.899999999999999</v>
      </c>
      <c r="E197">
        <v>31</v>
      </c>
      <c r="F197">
        <v>3.7739423560878005E-2</v>
      </c>
      <c r="G197" t="str">
        <f t="shared" si="24"/>
        <v>Insert into BlueCreditTypeRainbow Values (3, 0, 6, 18.9, 31, 0.037739423560878)</v>
      </c>
      <c r="N197" s="4">
        <v>194</v>
      </c>
      <c r="O197" s="8">
        <f>$B$7*COUNTIF(Sheet2!$B$1:$B$132,N197)</f>
        <v>0</v>
      </c>
      <c r="P197" s="8">
        <f t="shared" ref="P197:P260" ca="1" si="25">IF(O197-Q197&gt; 0, O197-Q197, 0)</f>
        <v>0</v>
      </c>
      <c r="Q197" s="8">
        <f ca="1">CEILING(R196*(IF(N197&lt;=IF($B$2=0,0,OFFSET(Sheet2!$B$1,Sheet1!$B$2-1,0)),$B$1/(365*100),$B$3/(365*100)))*100,1)/100</f>
        <v>387.99</v>
      </c>
      <c r="R197" s="9">
        <f t="shared" ref="R197:R260" ca="1" si="26">R196+Q197-O197</f>
        <v>950819.82685861178</v>
      </c>
    </row>
    <row r="198" spans="1:18" x14ac:dyDescent="0.25">
      <c r="A198">
        <v>3</v>
      </c>
      <c r="B198">
        <v>0</v>
      </c>
      <c r="C198">
        <v>6</v>
      </c>
      <c r="D198">
        <v>18.899999999999999</v>
      </c>
      <c r="E198">
        <v>32</v>
      </c>
      <c r="F198">
        <v>3.6817303750000023E-2</v>
      </c>
      <c r="G198" t="str">
        <f t="shared" si="24"/>
        <v>Insert into BlueCreditTypeRainbow Values (3, 0, 6, 18.9, 32, 0.03681730375)</v>
      </c>
      <c r="N198" s="4">
        <v>195</v>
      </c>
      <c r="O198" s="8">
        <f>$B$7*COUNTIF(Sheet2!$B$1:$B$132,N198)</f>
        <v>0</v>
      </c>
      <c r="P198" s="8">
        <f t="shared" ca="1" si="25"/>
        <v>0</v>
      </c>
      <c r="Q198" s="8">
        <f ca="1">CEILING(R197*(IF(N198&lt;=IF($B$2=0,0,OFFSET(Sheet2!$B$1,Sheet1!$B$2-1,0)),$B$1/(365*100),$B$3/(365*100)))*100,1)/100</f>
        <v>388.15</v>
      </c>
      <c r="R198" s="9">
        <f t="shared" ca="1" si="26"/>
        <v>951207.9768586118</v>
      </c>
    </row>
    <row r="199" spans="1:18" x14ac:dyDescent="0.25">
      <c r="A199">
        <v>3</v>
      </c>
      <c r="B199">
        <v>0</v>
      </c>
      <c r="C199">
        <v>6</v>
      </c>
      <c r="D199">
        <v>18.899999999999999</v>
      </c>
      <c r="E199">
        <v>33</v>
      </c>
      <c r="F199">
        <v>3.59528303030303E-2</v>
      </c>
      <c r="G199" t="str">
        <f t="shared" si="24"/>
        <v>Insert into BlueCreditTypeRainbow Values (3, 0, 6, 18.9, 33, 0.0359528303030303)</v>
      </c>
      <c r="N199" s="4">
        <v>196</v>
      </c>
      <c r="O199" s="8">
        <f>$B$7*COUNTIF(Sheet2!$B$1:$B$132,N199)</f>
        <v>0</v>
      </c>
      <c r="P199" s="8">
        <f t="shared" ca="1" si="25"/>
        <v>0</v>
      </c>
      <c r="Q199" s="8">
        <f ca="1">CEILING(R198*(IF(N199&lt;=IF($B$2=0,0,OFFSET(Sheet2!$B$1,Sheet1!$B$2-1,0)),$B$1/(365*100),$B$3/(365*100)))*100,1)/100</f>
        <v>388.31</v>
      </c>
      <c r="R199" s="9">
        <f t="shared" ca="1" si="26"/>
        <v>951596.28685861186</v>
      </c>
    </row>
    <row r="200" spans="1:18" x14ac:dyDescent="0.25">
      <c r="A200">
        <v>3</v>
      </c>
      <c r="B200">
        <v>0</v>
      </c>
      <c r="C200">
        <v>6</v>
      </c>
      <c r="D200">
        <v>18.899999999999999</v>
      </c>
      <c r="E200">
        <v>34</v>
      </c>
      <c r="F200">
        <v>3.51404462042849E-2</v>
      </c>
      <c r="G200" t="str">
        <f t="shared" si="24"/>
        <v>Insert into BlueCreditTypeRainbow Values (3, 0, 6, 18.9, 34, 0.0351404462042849)</v>
      </c>
      <c r="N200" s="4">
        <v>197</v>
      </c>
      <c r="O200" s="8">
        <f>$B$7*COUNTIF(Sheet2!$B$1:$B$132,N200)</f>
        <v>0</v>
      </c>
      <c r="P200" s="8">
        <f t="shared" ca="1" si="25"/>
        <v>0</v>
      </c>
      <c r="Q200" s="8">
        <f ca="1">CEILING(R199*(IF(N200&lt;=IF($B$2=0,0,OFFSET(Sheet2!$B$1,Sheet1!$B$2-1,0)),$B$1/(365*100),$B$3/(365*100)))*100,1)/100</f>
        <v>388.46</v>
      </c>
      <c r="R200" s="9">
        <f t="shared" ca="1" si="26"/>
        <v>951984.74685861182</v>
      </c>
    </row>
    <row r="201" spans="1:18" x14ac:dyDescent="0.25">
      <c r="A201">
        <v>3</v>
      </c>
      <c r="B201">
        <v>0</v>
      </c>
      <c r="C201">
        <v>6</v>
      </c>
      <c r="D201">
        <v>18.899999999999999</v>
      </c>
      <c r="E201">
        <v>35</v>
      </c>
      <c r="F201">
        <v>3.4376048492916839E-2</v>
      </c>
      <c r="G201" t="str">
        <f t="shared" si="24"/>
        <v>Insert into BlueCreditTypeRainbow Values (3, 0, 6, 18.9, 35, 0.0343760484929168)</v>
      </c>
      <c r="N201" s="4">
        <v>198</v>
      </c>
      <c r="O201" s="8">
        <f>$B$7*COUNTIF(Sheet2!$B$1:$B$132,N201)</f>
        <v>0</v>
      </c>
      <c r="P201" s="8">
        <f t="shared" ca="1" si="25"/>
        <v>0</v>
      </c>
      <c r="Q201" s="8">
        <f ca="1">CEILING(R200*(IF(N201&lt;=IF($B$2=0,0,OFFSET(Sheet2!$B$1,Sheet1!$B$2-1,0)),$B$1/(365*100),$B$3/(365*100)))*100,1)/100</f>
        <v>388.62</v>
      </c>
      <c r="R201" s="9">
        <f t="shared" ca="1" si="26"/>
        <v>952373.36685861181</v>
      </c>
    </row>
    <row r="202" spans="1:18" x14ac:dyDescent="0.25">
      <c r="A202">
        <v>3</v>
      </c>
      <c r="B202">
        <v>0</v>
      </c>
      <c r="C202">
        <v>6</v>
      </c>
      <c r="D202">
        <v>18.899999999999999</v>
      </c>
      <c r="E202">
        <v>36</v>
      </c>
      <c r="F202">
        <v>3.3655246111111085E-2</v>
      </c>
      <c r="G202" t="str">
        <f t="shared" si="24"/>
        <v>Insert into BlueCreditTypeRainbow Values (3, 0, 6, 18.9, 36, 0.0336552461111111)</v>
      </c>
      <c r="N202" s="4">
        <v>199</v>
      </c>
      <c r="O202" s="8">
        <f>$B$7*COUNTIF(Sheet2!$B$1:$B$132,N202)</f>
        <v>0</v>
      </c>
      <c r="P202" s="8">
        <f t="shared" ca="1" si="25"/>
        <v>0</v>
      </c>
      <c r="Q202" s="8">
        <f ca="1">CEILING(R201*(IF(N202&lt;=IF($B$2=0,0,OFFSET(Sheet2!$B$1,Sheet1!$B$2-1,0)),$B$1/(365*100),$B$3/(365*100)))*100,1)/100</f>
        <v>388.78</v>
      </c>
      <c r="R202" s="9">
        <f t="shared" ca="1" si="26"/>
        <v>952762.14685861184</v>
      </c>
    </row>
    <row r="203" spans="1:18" x14ac:dyDescent="0.25">
      <c r="A203">
        <v>3</v>
      </c>
      <c r="B203">
        <v>0</v>
      </c>
      <c r="C203">
        <v>6</v>
      </c>
      <c r="D203">
        <v>18.899999999999999</v>
      </c>
      <c r="E203">
        <v>37</v>
      </c>
      <c r="F203">
        <v>3.2974835955534285E-2</v>
      </c>
      <c r="G203" t="str">
        <f t="shared" si="24"/>
        <v>Insert into BlueCreditTypeRainbow Values (3, 0, 6, 18.9, 37, 0.0329748359555343)</v>
      </c>
      <c r="N203" s="4">
        <v>200</v>
      </c>
      <c r="O203" s="8">
        <f>$B$7*COUNTIF(Sheet2!$B$1:$B$132,N203)</f>
        <v>0</v>
      </c>
      <c r="P203" s="8">
        <f t="shared" ca="1" si="25"/>
        <v>0</v>
      </c>
      <c r="Q203" s="8">
        <f ca="1">CEILING(R202*(IF(N203&lt;=IF($B$2=0,0,OFFSET(Sheet2!$B$1,Sheet1!$B$2-1,0)),$B$1/(365*100),$B$3/(365*100)))*100,1)/100</f>
        <v>388.94</v>
      </c>
      <c r="R203" s="9">
        <f t="shared" ca="1" si="26"/>
        <v>953151.08685861179</v>
      </c>
    </row>
    <row r="204" spans="1:18" x14ac:dyDescent="0.25">
      <c r="A204">
        <v>3</v>
      </c>
      <c r="B204">
        <v>0</v>
      </c>
      <c r="C204">
        <v>6</v>
      </c>
      <c r="D204">
        <v>18.899999999999999</v>
      </c>
      <c r="E204">
        <v>38</v>
      </c>
      <c r="F204">
        <v>3.233125581302785E-2</v>
      </c>
      <c r="G204" t="str">
        <f t="shared" si="24"/>
        <v>Insert into BlueCreditTypeRainbow Values (3, 0, 6, 18.9, 38, 0.0323312558130278)</v>
      </c>
      <c r="N204" s="4">
        <v>201</v>
      </c>
      <c r="O204" s="8">
        <f>$B$7*COUNTIF(Sheet2!$B$1:$B$132,N204)</f>
        <v>0</v>
      </c>
      <c r="P204" s="8">
        <f t="shared" ca="1" si="25"/>
        <v>0</v>
      </c>
      <c r="Q204" s="8">
        <f ca="1">CEILING(R203*(IF(N204&lt;=IF($B$2=0,0,OFFSET(Sheet2!$B$1,Sheet1!$B$2-1,0)),$B$1/(365*100),$B$3/(365*100)))*100,1)/100</f>
        <v>389.1</v>
      </c>
      <c r="R204" s="9">
        <f t="shared" ca="1" si="26"/>
        <v>953540.18685861176</v>
      </c>
    </row>
    <row r="205" spans="1:18" x14ac:dyDescent="0.25">
      <c r="A205">
        <v>3</v>
      </c>
      <c r="B205">
        <v>0</v>
      </c>
      <c r="C205">
        <v>6</v>
      </c>
      <c r="D205">
        <v>18.899999999999999</v>
      </c>
      <c r="E205">
        <v>39</v>
      </c>
      <c r="F205">
        <v>3.172199051591118E-2</v>
      </c>
      <c r="G205" t="str">
        <f t="shared" si="24"/>
        <v>Insert into BlueCreditTypeRainbow Values (3, 0, 6, 18.9, 39, 0.0317219905159112)</v>
      </c>
      <c r="N205" s="4">
        <v>202</v>
      </c>
      <c r="O205" s="8">
        <f>$B$7*COUNTIF(Sheet2!$B$1:$B$132,N205)</f>
        <v>0</v>
      </c>
      <c r="P205" s="8">
        <f t="shared" ca="1" si="25"/>
        <v>0</v>
      </c>
      <c r="Q205" s="8">
        <f ca="1">CEILING(R204*(IF(N205&lt;=IF($B$2=0,0,OFFSET(Sheet2!$B$1,Sheet1!$B$2-1,0)),$B$1/(365*100),$B$3/(365*100)))*100,1)/100</f>
        <v>389.26</v>
      </c>
      <c r="R205" s="9">
        <f t="shared" ca="1" si="26"/>
        <v>953929.44685861177</v>
      </c>
    </row>
    <row r="206" spans="1:18" x14ac:dyDescent="0.25">
      <c r="A206">
        <v>3</v>
      </c>
      <c r="B206">
        <v>0</v>
      </c>
      <c r="C206">
        <v>6</v>
      </c>
      <c r="D206">
        <v>18.899999999999999</v>
      </c>
      <c r="E206">
        <v>40</v>
      </c>
      <c r="F206">
        <v>3.1144428520677132E-2</v>
      </c>
      <c r="G206" t="str">
        <f t="shared" si="24"/>
        <v>Insert into BlueCreditTypeRainbow Values (3, 0, 6, 18.9, 40, 0.0311444285206771)</v>
      </c>
      <c r="N206" s="4">
        <v>203</v>
      </c>
      <c r="O206" s="8">
        <f>$B$7*COUNTIF(Sheet2!$B$1:$B$132,N206)</f>
        <v>0</v>
      </c>
      <c r="P206" s="8">
        <f t="shared" ca="1" si="25"/>
        <v>0</v>
      </c>
      <c r="Q206" s="8">
        <f ca="1">CEILING(R205*(IF(N206&lt;=IF($B$2=0,0,OFFSET(Sheet2!$B$1,Sheet1!$B$2-1,0)),$B$1/(365*100),$B$3/(365*100)))*100,1)/100</f>
        <v>389.42</v>
      </c>
      <c r="R206" s="9">
        <f t="shared" ca="1" si="26"/>
        <v>954318.86685861181</v>
      </c>
    </row>
    <row r="207" spans="1:18" x14ac:dyDescent="0.25">
      <c r="A207">
        <v>3</v>
      </c>
      <c r="B207">
        <v>0</v>
      </c>
      <c r="C207">
        <v>6</v>
      </c>
      <c r="D207">
        <v>18.899999999999999</v>
      </c>
      <c r="E207">
        <v>41</v>
      </c>
      <c r="F207">
        <v>3.0595959779563347E-2</v>
      </c>
      <c r="G207" t="str">
        <f t="shared" ref="G207:G270" si="27">CONCATENATE("Insert into BlueCreditTypeRainbow Values (",A207,", ",B207,", ",C207,", ",D207,", ",E207,", ",F207,")")</f>
        <v>Insert into BlueCreditTypeRainbow Values (3, 0, 6, 18.9, 41, 0.0305959597795633)</v>
      </c>
      <c r="N207" s="4">
        <v>204</v>
      </c>
      <c r="O207" s="8">
        <f>$B$7*COUNTIF(Sheet2!$B$1:$B$132,N207)</f>
        <v>0</v>
      </c>
      <c r="P207" s="8">
        <f t="shared" ca="1" si="25"/>
        <v>0</v>
      </c>
      <c r="Q207" s="8">
        <f ca="1">CEILING(R206*(IF(N207&lt;=IF($B$2=0,0,OFFSET(Sheet2!$B$1,Sheet1!$B$2-1,0)),$B$1/(365*100),$B$3/(365*100)))*100,1)/100</f>
        <v>389.58</v>
      </c>
      <c r="R207" s="9">
        <f t="shared" ca="1" si="26"/>
        <v>954708.44685861177</v>
      </c>
    </row>
    <row r="208" spans="1:18" x14ac:dyDescent="0.25">
      <c r="A208">
        <v>3</v>
      </c>
      <c r="B208">
        <v>0</v>
      </c>
      <c r="C208">
        <v>6</v>
      </c>
      <c r="D208">
        <v>18.899999999999999</v>
      </c>
      <c r="E208">
        <v>42</v>
      </c>
      <c r="F208">
        <v>3.0074760259213056E-2</v>
      </c>
      <c r="G208" t="str">
        <f t="shared" si="27"/>
        <v>Insert into BlueCreditTypeRainbow Values (3, 0, 6, 18.9, 42, 0.0300747602592131)</v>
      </c>
      <c r="N208" s="4">
        <v>205</v>
      </c>
      <c r="O208" s="8">
        <f>$B$7*COUNTIF(Sheet2!$B$1:$B$132,N208)</f>
        <v>0</v>
      </c>
      <c r="P208" s="8">
        <f t="shared" ca="1" si="25"/>
        <v>0</v>
      </c>
      <c r="Q208" s="8">
        <f ca="1">CEILING(R207*(IF(N208&lt;=IF($B$2=0,0,OFFSET(Sheet2!$B$1,Sheet1!$B$2-1,0)),$B$1/(365*100),$B$3/(365*100)))*100,1)/100</f>
        <v>389.74</v>
      </c>
      <c r="R208" s="9">
        <f t="shared" ca="1" si="26"/>
        <v>955098.18685861176</v>
      </c>
    </row>
    <row r="209" spans="1:18" x14ac:dyDescent="0.25">
      <c r="A209">
        <v>3</v>
      </c>
      <c r="B209">
        <v>0</v>
      </c>
      <c r="C209">
        <v>5</v>
      </c>
      <c r="D209">
        <v>18.899999999999999</v>
      </c>
      <c r="E209">
        <v>30</v>
      </c>
      <c r="F209">
        <v>3.9228067333333325E-2</v>
      </c>
      <c r="G209" t="str">
        <f t="shared" si="27"/>
        <v>Insert into BlueCreditTypeRainbow Values (3, 0, 5, 18.9, 30, 0.0392280673333333)</v>
      </c>
      <c r="N209" s="4">
        <v>206</v>
      </c>
      <c r="O209" s="8">
        <f>$B$7*COUNTIF(Sheet2!$B$1:$B$132,N209)</f>
        <v>0</v>
      </c>
      <c r="P209" s="8">
        <f t="shared" ca="1" si="25"/>
        <v>0</v>
      </c>
      <c r="Q209" s="8">
        <f ca="1">CEILING(R208*(IF(N209&lt;=IF($B$2=0,0,OFFSET(Sheet2!$B$1,Sheet1!$B$2-1,0)),$B$1/(365*100),$B$3/(365*100)))*100,1)/100</f>
        <v>389.89</v>
      </c>
      <c r="R209" s="9">
        <f t="shared" ca="1" si="26"/>
        <v>955488.07685861178</v>
      </c>
    </row>
    <row r="210" spans="1:18" x14ac:dyDescent="0.25">
      <c r="A210">
        <v>3</v>
      </c>
      <c r="B210">
        <v>0</v>
      </c>
      <c r="C210">
        <v>5</v>
      </c>
      <c r="D210">
        <v>18.899999999999999</v>
      </c>
      <c r="E210">
        <v>31</v>
      </c>
      <c r="F210">
        <v>3.8233236451612924E-2</v>
      </c>
      <c r="G210" t="str">
        <f t="shared" si="27"/>
        <v>Insert into BlueCreditTypeRainbow Values (3, 0, 5, 18.9, 31, 0.0382332364516129)</v>
      </c>
      <c r="N210" s="4">
        <v>207</v>
      </c>
      <c r="O210" s="8">
        <f>$B$7*COUNTIF(Sheet2!$B$1:$B$132,N210)</f>
        <v>0</v>
      </c>
      <c r="P210" s="8">
        <f t="shared" ca="1" si="25"/>
        <v>0</v>
      </c>
      <c r="Q210" s="8">
        <f ca="1">CEILING(R209*(IF(N210&lt;=IF($B$2=0,0,OFFSET(Sheet2!$B$1,Sheet1!$B$2-1,0)),$B$1/(365*100),$B$3/(365*100)))*100,1)/100</f>
        <v>390.05</v>
      </c>
      <c r="R210" s="9">
        <f t="shared" ca="1" si="26"/>
        <v>955878.12685861182</v>
      </c>
    </row>
    <row r="211" spans="1:18" x14ac:dyDescent="0.25">
      <c r="A211">
        <v>3</v>
      </c>
      <c r="B211">
        <v>0</v>
      </c>
      <c r="C211">
        <v>5</v>
      </c>
      <c r="D211">
        <v>18.899999999999999</v>
      </c>
      <c r="E211">
        <v>32</v>
      </c>
      <c r="F211">
        <v>3.7301829770723063E-2</v>
      </c>
      <c r="G211" t="str">
        <f t="shared" si="27"/>
        <v>Insert into BlueCreditTypeRainbow Values (3, 0, 5, 18.9, 32, 0.0373018297707231)</v>
      </c>
      <c r="N211" s="4">
        <v>208</v>
      </c>
      <c r="O211" s="8">
        <f>$B$7*COUNTIF(Sheet2!$B$1:$B$132,N211)</f>
        <v>0</v>
      </c>
      <c r="P211" s="8">
        <f t="shared" ca="1" si="25"/>
        <v>0</v>
      </c>
      <c r="Q211" s="8">
        <f ca="1">CEILING(R210*(IF(N211&lt;=IF($B$2=0,0,OFFSET(Sheet2!$B$1,Sheet1!$B$2-1,0)),$B$1/(365*100),$B$3/(365*100)))*100,1)/100</f>
        <v>390.21</v>
      </c>
      <c r="R211" s="9">
        <f t="shared" ca="1" si="26"/>
        <v>956268.33685861179</v>
      </c>
    </row>
    <row r="212" spans="1:18" x14ac:dyDescent="0.25">
      <c r="A212">
        <v>3</v>
      </c>
      <c r="B212">
        <v>0</v>
      </c>
      <c r="C212">
        <v>5</v>
      </c>
      <c r="D212">
        <v>18.899999999999999</v>
      </c>
      <c r="E212">
        <v>33</v>
      </c>
      <c r="F212">
        <v>3.642851881756827E-2</v>
      </c>
      <c r="G212" t="str">
        <f t="shared" si="27"/>
        <v>Insert into BlueCreditTypeRainbow Values (3, 0, 5, 18.9, 33, 0.0364285188175683)</v>
      </c>
      <c r="N212" s="4">
        <v>209</v>
      </c>
      <c r="O212" s="8">
        <f>$B$7*COUNTIF(Sheet2!$B$1:$B$132,N212)</f>
        <v>0</v>
      </c>
      <c r="P212" s="8">
        <f t="shared" ca="1" si="25"/>
        <v>0</v>
      </c>
      <c r="Q212" s="8">
        <f ca="1">CEILING(R211*(IF(N212&lt;=IF($B$2=0,0,OFFSET(Sheet2!$B$1,Sheet1!$B$2-1,0)),$B$1/(365*100),$B$3/(365*100)))*100,1)/100</f>
        <v>390.37</v>
      </c>
      <c r="R212" s="9">
        <f t="shared" ca="1" si="26"/>
        <v>956658.70685861178</v>
      </c>
    </row>
    <row r="213" spans="1:18" x14ac:dyDescent="0.25">
      <c r="A213">
        <v>3</v>
      </c>
      <c r="B213">
        <v>0</v>
      </c>
      <c r="C213">
        <v>5</v>
      </c>
      <c r="D213">
        <v>18.899999999999999</v>
      </c>
      <c r="E213">
        <v>34</v>
      </c>
      <c r="F213">
        <v>3.5607715316279404E-2</v>
      </c>
      <c r="G213" t="str">
        <f t="shared" si="27"/>
        <v>Insert into BlueCreditTypeRainbow Values (3, 0, 5, 18.9, 34, 0.0356077153162794)</v>
      </c>
      <c r="N213" s="4">
        <v>210</v>
      </c>
      <c r="O213" s="8">
        <f>$B$7*COUNTIF(Sheet2!$B$1:$B$132,N213)</f>
        <v>0</v>
      </c>
      <c r="P213" s="8">
        <f t="shared" ca="1" si="25"/>
        <v>0</v>
      </c>
      <c r="Q213" s="8">
        <f ca="1">CEILING(R212*(IF(N213&lt;=IF($B$2=0,0,OFFSET(Sheet2!$B$1,Sheet1!$B$2-1,0)),$B$1/(365*100),$B$3/(365*100)))*100,1)/100</f>
        <v>390.53</v>
      </c>
      <c r="R213" s="9">
        <f t="shared" ca="1" si="26"/>
        <v>957049.23685861181</v>
      </c>
    </row>
    <row r="214" spans="1:18" x14ac:dyDescent="0.25">
      <c r="A214">
        <v>3</v>
      </c>
      <c r="B214">
        <v>0</v>
      </c>
      <c r="C214">
        <v>5</v>
      </c>
      <c r="D214">
        <v>18.899999999999999</v>
      </c>
      <c r="E214">
        <v>35</v>
      </c>
      <c r="F214">
        <v>3.4835307454854463E-2</v>
      </c>
      <c r="G214" t="str">
        <f t="shared" si="27"/>
        <v>Insert into BlueCreditTypeRainbow Values (3, 0, 5, 18.9, 35, 0.0348353074548545)</v>
      </c>
      <c r="N214" s="4">
        <v>211</v>
      </c>
      <c r="O214" s="8">
        <f>$B$7*COUNTIF(Sheet2!$B$1:$B$132,N214)</f>
        <v>0</v>
      </c>
      <c r="P214" s="8">
        <f t="shared" ca="1" si="25"/>
        <v>0</v>
      </c>
      <c r="Q214" s="8">
        <f ca="1">CEILING(R213*(IF(N214&lt;=IF($B$2=0,0,OFFSET(Sheet2!$B$1,Sheet1!$B$2-1,0)),$B$1/(365*100),$B$3/(365*100)))*100,1)/100</f>
        <v>390.69</v>
      </c>
      <c r="R214" s="9">
        <f t="shared" ca="1" si="26"/>
        <v>957439.92685861175</v>
      </c>
    </row>
    <row r="215" spans="1:18" x14ac:dyDescent="0.25">
      <c r="A215">
        <v>3</v>
      </c>
      <c r="B215">
        <v>0</v>
      </c>
      <c r="C215">
        <v>5</v>
      </c>
      <c r="D215">
        <v>18.899999999999999</v>
      </c>
      <c r="E215">
        <v>36</v>
      </c>
      <c r="F215">
        <v>3.4106855846012328E-2</v>
      </c>
      <c r="G215" t="str">
        <f t="shared" si="27"/>
        <v>Insert into BlueCreditTypeRainbow Values (3, 0, 5, 18.9, 36, 0.0341068558460123)</v>
      </c>
      <c r="N215" s="4">
        <v>212</v>
      </c>
      <c r="O215" s="8">
        <f>$B$7*COUNTIF(Sheet2!$B$1:$B$132,N215)</f>
        <v>0</v>
      </c>
      <c r="P215" s="8">
        <f t="shared" ca="1" si="25"/>
        <v>0</v>
      </c>
      <c r="Q215" s="8">
        <f ca="1">CEILING(R214*(IF(N215&lt;=IF($B$2=0,0,OFFSET(Sheet2!$B$1,Sheet1!$B$2-1,0)),$B$1/(365*100),$B$3/(365*100)))*100,1)/100</f>
        <v>390.85</v>
      </c>
      <c r="R215" s="9">
        <f t="shared" ca="1" si="26"/>
        <v>957830.77685861173</v>
      </c>
    </row>
    <row r="216" spans="1:18" x14ac:dyDescent="0.25">
      <c r="A216">
        <v>3</v>
      </c>
      <c r="B216">
        <v>0</v>
      </c>
      <c r="C216">
        <v>5</v>
      </c>
      <c r="D216">
        <v>18.899999999999999</v>
      </c>
      <c r="E216">
        <v>37</v>
      </c>
      <c r="F216">
        <v>3.3419146105911367E-2</v>
      </c>
      <c r="G216" t="str">
        <f t="shared" si="27"/>
        <v>Insert into BlueCreditTypeRainbow Values (3, 0, 5, 18.9, 37, 0.0334191461059114)</v>
      </c>
      <c r="N216" s="4">
        <v>213</v>
      </c>
      <c r="O216" s="8">
        <f>$B$7*COUNTIF(Sheet2!$B$1:$B$132,N216)</f>
        <v>0</v>
      </c>
      <c r="P216" s="8">
        <f t="shared" ca="1" si="25"/>
        <v>0</v>
      </c>
      <c r="Q216" s="8">
        <f ca="1">CEILING(R215*(IF(N216&lt;=IF($B$2=0,0,OFFSET(Sheet2!$B$1,Sheet1!$B$2-1,0)),$B$1/(365*100),$B$3/(365*100)))*100,1)/100</f>
        <v>391.01</v>
      </c>
      <c r="R216" s="9">
        <f t="shared" ca="1" si="26"/>
        <v>958221.78685861174</v>
      </c>
    </row>
    <row r="217" spans="1:18" x14ac:dyDescent="0.25">
      <c r="A217">
        <v>3</v>
      </c>
      <c r="B217">
        <v>0</v>
      </c>
      <c r="C217">
        <v>5</v>
      </c>
      <c r="D217">
        <v>18.899999999999999</v>
      </c>
      <c r="E217">
        <v>38</v>
      </c>
      <c r="F217">
        <v>3.2768602906736402E-2</v>
      </c>
      <c r="G217" t="str">
        <f t="shared" si="27"/>
        <v>Insert into BlueCreditTypeRainbow Values (3, 0, 5, 18.9, 38, 0.0327686029067364)</v>
      </c>
      <c r="N217" s="4">
        <v>214</v>
      </c>
      <c r="O217" s="8">
        <f>$B$7*COUNTIF(Sheet2!$B$1:$B$132,N217)</f>
        <v>21157.10552356458</v>
      </c>
      <c r="P217" s="8">
        <f t="shared" ca="1" si="25"/>
        <v>20765.935523564582</v>
      </c>
      <c r="Q217" s="8">
        <f ca="1">CEILING(R216*(IF(N217&lt;=IF($B$2=0,0,OFFSET(Sheet2!$B$1,Sheet1!$B$2-1,0)),$B$1/(365*100),$B$3/(365*100)))*100,1)/100</f>
        <v>391.17</v>
      </c>
      <c r="R217" s="9">
        <f t="shared" ca="1" si="26"/>
        <v>937455.85133504716</v>
      </c>
    </row>
    <row r="218" spans="1:18" x14ac:dyDescent="0.25">
      <c r="A218">
        <v>3</v>
      </c>
      <c r="B218">
        <v>0</v>
      </c>
      <c r="C218">
        <v>5</v>
      </c>
      <c r="D218">
        <v>18.899999999999999</v>
      </c>
      <c r="E218">
        <v>39</v>
      </c>
      <c r="F218">
        <v>3.2152673614734423E-2</v>
      </c>
      <c r="G218" t="str">
        <f t="shared" si="27"/>
        <v>Insert into BlueCreditTypeRainbow Values (3, 0, 5, 18.9, 39, 0.0321526736147344)</v>
      </c>
      <c r="N218" s="4">
        <v>215</v>
      </c>
      <c r="O218" s="8">
        <f>$B$7*COUNTIF(Sheet2!$B$1:$B$132,N218)</f>
        <v>0</v>
      </c>
      <c r="P218" s="8">
        <f t="shared" ca="1" si="25"/>
        <v>0</v>
      </c>
      <c r="Q218" s="8">
        <f ca="1">CEILING(R217*(IF(N218&lt;=IF($B$2=0,0,OFFSET(Sheet2!$B$1,Sheet1!$B$2-1,0)),$B$1/(365*100),$B$3/(365*100)))*100,1)/100</f>
        <v>382.69</v>
      </c>
      <c r="R218" s="9">
        <f t="shared" ca="1" si="26"/>
        <v>937838.54133504711</v>
      </c>
    </row>
    <row r="219" spans="1:18" x14ac:dyDescent="0.25">
      <c r="A219">
        <v>3</v>
      </c>
      <c r="B219">
        <v>0</v>
      </c>
      <c r="C219">
        <v>5</v>
      </c>
      <c r="D219">
        <v>18.899999999999999</v>
      </c>
      <c r="E219">
        <v>40</v>
      </c>
      <c r="F219">
        <v>3.156874375713823E-2</v>
      </c>
      <c r="G219" t="str">
        <f t="shared" si="27"/>
        <v>Insert into BlueCreditTypeRainbow Values (3, 0, 5, 18.9, 40, 0.0315687437571382)</v>
      </c>
      <c r="N219" s="4">
        <v>216</v>
      </c>
      <c r="O219" s="8">
        <f>$B$7*COUNTIF(Sheet2!$B$1:$B$132,N219)</f>
        <v>0</v>
      </c>
      <c r="P219" s="8">
        <f t="shared" ca="1" si="25"/>
        <v>0</v>
      </c>
      <c r="Q219" s="8">
        <f ca="1">CEILING(R218*(IF(N219&lt;=IF($B$2=0,0,OFFSET(Sheet2!$B$1,Sheet1!$B$2-1,0)),$B$1/(365*100),$B$3/(365*100)))*100,1)/100</f>
        <v>382.85</v>
      </c>
      <c r="R219" s="9">
        <f t="shared" ca="1" si="26"/>
        <v>938221.39133504708</v>
      </c>
    </row>
    <row r="220" spans="1:18" x14ac:dyDescent="0.25">
      <c r="A220">
        <v>3</v>
      </c>
      <c r="B220">
        <v>0</v>
      </c>
      <c r="C220">
        <v>5</v>
      </c>
      <c r="D220">
        <v>18.899999999999999</v>
      </c>
      <c r="E220">
        <v>41</v>
      </c>
      <c r="F220">
        <v>3.1014166936786321E-2</v>
      </c>
      <c r="G220" t="str">
        <f t="shared" si="27"/>
        <v>Insert into BlueCreditTypeRainbow Values (3, 0, 5, 18.9, 41, 0.0310141669367863)</v>
      </c>
      <c r="N220" s="4">
        <v>217</v>
      </c>
      <c r="O220" s="8">
        <f>$B$7*COUNTIF(Sheet2!$B$1:$B$132,N220)</f>
        <v>0</v>
      </c>
      <c r="P220" s="8">
        <f t="shared" ca="1" si="25"/>
        <v>0</v>
      </c>
      <c r="Q220" s="8">
        <f ca="1">CEILING(R219*(IF(N220&lt;=IF($B$2=0,0,OFFSET(Sheet2!$B$1,Sheet1!$B$2-1,0)),$B$1/(365*100),$B$3/(365*100)))*100,1)/100</f>
        <v>383</v>
      </c>
      <c r="R220" s="9">
        <f t="shared" ca="1" si="26"/>
        <v>938604.39133504708</v>
      </c>
    </row>
    <row r="221" spans="1:18" x14ac:dyDescent="0.25">
      <c r="A221">
        <v>3</v>
      </c>
      <c r="B221">
        <v>0</v>
      </c>
      <c r="C221">
        <v>5</v>
      </c>
      <c r="D221">
        <v>18.899999999999999</v>
      </c>
      <c r="E221">
        <v>42</v>
      </c>
      <c r="F221">
        <v>3.0487129061942359E-2</v>
      </c>
      <c r="G221" t="str">
        <f t="shared" si="27"/>
        <v>Insert into BlueCreditTypeRainbow Values (3, 0, 5, 18.9, 42, 0.0304871290619424)</v>
      </c>
      <c r="N221" s="4">
        <v>218</v>
      </c>
      <c r="O221" s="8">
        <f>$B$7*COUNTIF(Sheet2!$B$1:$B$132,N221)</f>
        <v>0</v>
      </c>
      <c r="P221" s="8">
        <f t="shared" ca="1" si="25"/>
        <v>0</v>
      </c>
      <c r="Q221" s="8">
        <f ca="1">CEILING(R220*(IF(N221&lt;=IF($B$2=0,0,OFFSET(Sheet2!$B$1,Sheet1!$B$2-1,0)),$B$1/(365*100),$B$3/(365*100)))*100,1)/100</f>
        <v>383.16</v>
      </c>
      <c r="R221" s="9">
        <f t="shared" ca="1" si="26"/>
        <v>938987.55133504712</v>
      </c>
    </row>
    <row r="222" spans="1:18" x14ac:dyDescent="0.25">
      <c r="A222">
        <v>3</v>
      </c>
      <c r="B222">
        <v>0</v>
      </c>
      <c r="C222">
        <v>4</v>
      </c>
      <c r="D222">
        <v>18.899999999999999</v>
      </c>
      <c r="E222">
        <v>30</v>
      </c>
      <c r="F222">
        <v>3.9744442340646363E-2</v>
      </c>
      <c r="G222" t="str">
        <f t="shared" si="27"/>
        <v>Insert into BlueCreditTypeRainbow Values (3, 0, 4, 18.9, 30, 0.0397444423406464)</v>
      </c>
      <c r="N222" s="4">
        <v>219</v>
      </c>
      <c r="O222" s="8">
        <f>$B$7*COUNTIF(Sheet2!$B$1:$B$132,N222)</f>
        <v>0</v>
      </c>
      <c r="P222" s="8">
        <f t="shared" ca="1" si="25"/>
        <v>0</v>
      </c>
      <c r="Q222" s="8">
        <f ca="1">CEILING(R221*(IF(N222&lt;=IF($B$2=0,0,OFFSET(Sheet2!$B$1,Sheet1!$B$2-1,0)),$B$1/(365*100),$B$3/(365*100)))*100,1)/100</f>
        <v>383.32</v>
      </c>
      <c r="R222" s="9">
        <f t="shared" ca="1" si="26"/>
        <v>939370.87133504706</v>
      </c>
    </row>
    <row r="223" spans="1:18" x14ac:dyDescent="0.25">
      <c r="A223">
        <v>3</v>
      </c>
      <c r="B223">
        <v>0</v>
      </c>
      <c r="C223">
        <v>4</v>
      </c>
      <c r="D223">
        <v>18.899999999999999</v>
      </c>
      <c r="E223">
        <v>31</v>
      </c>
      <c r="F223">
        <v>3.8738921032836139E-2</v>
      </c>
      <c r="G223" t="str">
        <f t="shared" si="27"/>
        <v>Insert into BlueCreditTypeRainbow Values (3, 0, 4, 18.9, 31, 0.0387389210328361)</v>
      </c>
      <c r="N223" s="4">
        <v>220</v>
      </c>
      <c r="O223" s="8">
        <f>$B$7*COUNTIF(Sheet2!$B$1:$B$132,N223)</f>
        <v>0</v>
      </c>
      <c r="P223" s="8">
        <f t="shared" ca="1" si="25"/>
        <v>0</v>
      </c>
      <c r="Q223" s="8">
        <f ca="1">CEILING(R222*(IF(N223&lt;=IF($B$2=0,0,OFFSET(Sheet2!$B$1,Sheet1!$B$2-1,0)),$B$1/(365*100),$B$3/(365*100)))*100,1)/100</f>
        <v>383.47</v>
      </c>
      <c r="R223" s="9">
        <f t="shared" ca="1" si="26"/>
        <v>939754.34133504704</v>
      </c>
    </row>
    <row r="224" spans="1:18" x14ac:dyDescent="0.25">
      <c r="A224">
        <v>3</v>
      </c>
      <c r="B224">
        <v>0</v>
      </c>
      <c r="C224">
        <v>4</v>
      </c>
      <c r="D224">
        <v>18.899999999999999</v>
      </c>
      <c r="E224">
        <v>32</v>
      </c>
      <c r="F224">
        <v>3.7797398125000048E-2</v>
      </c>
      <c r="G224" t="str">
        <f t="shared" si="27"/>
        <v>Insert into BlueCreditTypeRainbow Values (3, 0, 4, 18.9, 32, 0.037797398125)</v>
      </c>
      <c r="N224" s="4">
        <v>221</v>
      </c>
      <c r="O224" s="8">
        <f>$B$7*COUNTIF(Sheet2!$B$1:$B$132,N224)</f>
        <v>0</v>
      </c>
      <c r="P224" s="8">
        <f t="shared" ca="1" si="25"/>
        <v>0</v>
      </c>
      <c r="Q224" s="8">
        <f ca="1">CEILING(R223*(IF(N224&lt;=IF($B$2=0,0,OFFSET(Sheet2!$B$1,Sheet1!$B$2-1,0)),$B$1/(365*100),$B$3/(365*100)))*100,1)/100</f>
        <v>383.63</v>
      </c>
      <c r="R224" s="9">
        <f t="shared" ca="1" si="26"/>
        <v>940137.97133504704</v>
      </c>
    </row>
    <row r="225" spans="1:18" x14ac:dyDescent="0.25">
      <c r="A225">
        <v>3</v>
      </c>
      <c r="B225">
        <v>0</v>
      </c>
      <c r="C225">
        <v>4</v>
      </c>
      <c r="D225">
        <v>18.899999999999999</v>
      </c>
      <c r="E225">
        <v>33</v>
      </c>
      <c r="F225">
        <v>3.6914493968214376E-2</v>
      </c>
      <c r="G225" t="str">
        <f t="shared" si="27"/>
        <v>Insert into BlueCreditTypeRainbow Values (3, 0, 4, 18.9, 33, 0.0369144939682144)</v>
      </c>
      <c r="N225" s="4">
        <v>222</v>
      </c>
      <c r="O225" s="8">
        <f>$B$7*COUNTIF(Sheet2!$B$1:$B$132,N225)</f>
        <v>0</v>
      </c>
      <c r="P225" s="8">
        <f t="shared" ca="1" si="25"/>
        <v>0</v>
      </c>
      <c r="Q225" s="8">
        <f ca="1">CEILING(R224*(IF(N225&lt;=IF($B$2=0,0,OFFSET(Sheet2!$B$1,Sheet1!$B$2-1,0)),$B$1/(365*100),$B$3/(365*100)))*100,1)/100</f>
        <v>383.79</v>
      </c>
      <c r="R225" s="9">
        <f t="shared" ca="1" si="26"/>
        <v>940521.76133504708</v>
      </c>
    </row>
    <row r="226" spans="1:18" x14ac:dyDescent="0.25">
      <c r="A226">
        <v>3</v>
      </c>
      <c r="B226">
        <v>0</v>
      </c>
      <c r="C226">
        <v>4</v>
      </c>
      <c r="D226">
        <v>18.899999999999999</v>
      </c>
      <c r="E226">
        <v>34</v>
      </c>
      <c r="F226">
        <v>3.6084590434345337E-2</v>
      </c>
      <c r="G226" t="str">
        <f t="shared" si="27"/>
        <v>Insert into BlueCreditTypeRainbow Values (3, 0, 4, 18.9, 34, 0.0360845904343453)</v>
      </c>
      <c r="N226" s="4">
        <v>223</v>
      </c>
      <c r="O226" s="8">
        <f>$B$7*COUNTIF(Sheet2!$B$1:$B$132,N226)</f>
        <v>0</v>
      </c>
      <c r="P226" s="8">
        <f t="shared" ca="1" si="25"/>
        <v>0</v>
      </c>
      <c r="Q226" s="8">
        <f ca="1">CEILING(R225*(IF(N226&lt;=IF($B$2=0,0,OFFSET(Sheet2!$B$1,Sheet1!$B$2-1,0)),$B$1/(365*100),$B$3/(365*100)))*100,1)/100</f>
        <v>383.94</v>
      </c>
      <c r="R226" s="9">
        <f t="shared" ca="1" si="26"/>
        <v>940905.70133504702</v>
      </c>
    </row>
    <row r="227" spans="1:18" x14ac:dyDescent="0.25">
      <c r="A227">
        <v>3</v>
      </c>
      <c r="B227">
        <v>0</v>
      </c>
      <c r="C227">
        <v>4</v>
      </c>
      <c r="D227">
        <v>18.899999999999999</v>
      </c>
      <c r="E227">
        <v>35</v>
      </c>
      <c r="F227">
        <v>3.530353774155965E-2</v>
      </c>
      <c r="G227" t="str">
        <f t="shared" si="27"/>
        <v>Insert into BlueCreditTypeRainbow Values (3, 0, 4, 18.9, 35, 0.0353035377415596)</v>
      </c>
      <c r="N227" s="4">
        <v>224</v>
      </c>
      <c r="O227" s="8">
        <f>$B$7*COUNTIF(Sheet2!$B$1:$B$132,N227)</f>
        <v>0</v>
      </c>
      <c r="P227" s="8">
        <f t="shared" ca="1" si="25"/>
        <v>0</v>
      </c>
      <c r="Q227" s="8">
        <f ca="1">CEILING(R226*(IF(N227&lt;=IF($B$2=0,0,OFFSET(Sheet2!$B$1,Sheet1!$B$2-1,0)),$B$1/(365*100),$B$3/(365*100)))*100,1)/100</f>
        <v>384.1</v>
      </c>
      <c r="R227" s="9">
        <f t="shared" ca="1" si="26"/>
        <v>941289.801335047</v>
      </c>
    </row>
    <row r="228" spans="1:18" x14ac:dyDescent="0.25">
      <c r="A228">
        <v>3</v>
      </c>
      <c r="B228">
        <v>0</v>
      </c>
      <c r="C228">
        <v>4</v>
      </c>
      <c r="D228">
        <v>18.899999999999999</v>
      </c>
      <c r="E228">
        <v>36</v>
      </c>
      <c r="F228">
        <v>3.4566874192861564E-2</v>
      </c>
      <c r="G228" t="str">
        <f t="shared" si="27"/>
        <v>Insert into BlueCreditTypeRainbow Values (3, 0, 4, 18.9, 36, 0.0345668741928616)</v>
      </c>
      <c r="N228" s="4">
        <v>225</v>
      </c>
      <c r="O228" s="8">
        <f>$B$7*COUNTIF(Sheet2!$B$1:$B$132,N228)</f>
        <v>0</v>
      </c>
      <c r="P228" s="8">
        <f t="shared" ca="1" si="25"/>
        <v>0</v>
      </c>
      <c r="Q228" s="8">
        <f ca="1">CEILING(R227*(IF(N228&lt;=IF($B$2=0,0,OFFSET(Sheet2!$B$1,Sheet1!$B$2-1,0)),$B$1/(365*100),$B$3/(365*100)))*100,1)/100</f>
        <v>384.26</v>
      </c>
      <c r="R228" s="9">
        <f t="shared" ca="1" si="26"/>
        <v>941674.06133504701</v>
      </c>
    </row>
    <row r="229" spans="1:18" x14ac:dyDescent="0.25">
      <c r="A229">
        <v>3</v>
      </c>
      <c r="B229">
        <v>0</v>
      </c>
      <c r="C229">
        <v>4</v>
      </c>
      <c r="D229">
        <v>18.899999999999999</v>
      </c>
      <c r="E229">
        <v>37</v>
      </c>
      <c r="F229">
        <v>3.3871337582596153E-2</v>
      </c>
      <c r="G229" t="str">
        <f t="shared" si="27"/>
        <v>Insert into BlueCreditTypeRainbow Values (3, 0, 4, 18.9, 37, 0.0338713375825962)</v>
      </c>
      <c r="N229" s="4">
        <v>226</v>
      </c>
      <c r="O229" s="8">
        <f>$B$7*COUNTIF(Sheet2!$B$1:$B$132,N229)</f>
        <v>0</v>
      </c>
      <c r="P229" s="8">
        <f t="shared" ca="1" si="25"/>
        <v>0</v>
      </c>
      <c r="Q229" s="8">
        <f ca="1">CEILING(R228*(IF(N229&lt;=IF($B$2=0,0,OFFSET(Sheet2!$B$1,Sheet1!$B$2-1,0)),$B$1/(365*100),$B$3/(365*100)))*100,1)/100</f>
        <v>384.41</v>
      </c>
      <c r="R229" s="9">
        <f t="shared" ca="1" si="26"/>
        <v>942058.47133504704</v>
      </c>
    </row>
    <row r="230" spans="1:18" x14ac:dyDescent="0.25">
      <c r="A230">
        <v>3</v>
      </c>
      <c r="B230">
        <v>0</v>
      </c>
      <c r="C230">
        <v>4</v>
      </c>
      <c r="D230">
        <v>18.899999999999999</v>
      </c>
      <c r="E230">
        <v>38</v>
      </c>
      <c r="F230">
        <v>3.3213342393763494E-2</v>
      </c>
      <c r="G230" t="str">
        <f t="shared" si="27"/>
        <v>Insert into BlueCreditTypeRainbow Values (3, 0, 4, 18.9, 38, 0.0332133423937635)</v>
      </c>
      <c r="N230" s="4">
        <v>227</v>
      </c>
      <c r="O230" s="8">
        <f>$B$7*COUNTIF(Sheet2!$B$1:$B$132,N230)</f>
        <v>0</v>
      </c>
      <c r="P230" s="8">
        <f t="shared" ca="1" si="25"/>
        <v>0</v>
      </c>
      <c r="Q230" s="8">
        <f ca="1">CEILING(R229*(IF(N230&lt;=IF($B$2=0,0,OFFSET(Sheet2!$B$1,Sheet1!$B$2-1,0)),$B$1/(365*100),$B$3/(365*100)))*100,1)/100</f>
        <v>384.57</v>
      </c>
      <c r="R230" s="9">
        <f t="shared" ca="1" si="26"/>
        <v>942443.04133504699</v>
      </c>
    </row>
    <row r="231" spans="1:18" x14ac:dyDescent="0.25">
      <c r="A231">
        <v>3</v>
      </c>
      <c r="B231">
        <v>0</v>
      </c>
      <c r="C231">
        <v>4</v>
      </c>
      <c r="D231">
        <v>18.899999999999999</v>
      </c>
      <c r="E231">
        <v>39</v>
      </c>
      <c r="F231">
        <v>3.2590310784431788E-2</v>
      </c>
      <c r="G231" t="str">
        <f t="shared" si="27"/>
        <v>Insert into BlueCreditTypeRainbow Values (3, 0, 4, 18.9, 39, 0.0325903107844318)</v>
      </c>
      <c r="N231" s="4">
        <v>228</v>
      </c>
      <c r="O231" s="8">
        <f>$B$7*COUNTIF(Sheet2!$B$1:$B$132,N231)</f>
        <v>0</v>
      </c>
      <c r="P231" s="8">
        <f t="shared" ca="1" si="25"/>
        <v>0</v>
      </c>
      <c r="Q231" s="8">
        <f ca="1">CEILING(R230*(IF(N231&lt;=IF($B$2=0,0,OFFSET(Sheet2!$B$1,Sheet1!$B$2-1,0)),$B$1/(365*100),$B$3/(365*100)))*100,1)/100</f>
        <v>384.73</v>
      </c>
      <c r="R231" s="9">
        <f t="shared" ca="1" si="26"/>
        <v>942827.77133504697</v>
      </c>
    </row>
    <row r="232" spans="1:18" x14ac:dyDescent="0.25">
      <c r="A232">
        <v>3</v>
      </c>
      <c r="B232">
        <v>0</v>
      </c>
      <c r="C232">
        <v>4</v>
      </c>
      <c r="D232">
        <v>18.899999999999999</v>
      </c>
      <c r="E232">
        <v>40</v>
      </c>
      <c r="F232">
        <v>3.1999600999999968E-2</v>
      </c>
      <c r="G232" t="str">
        <f t="shared" si="27"/>
        <v>Insert into BlueCreditTypeRainbow Values (3, 0, 4, 18.9, 40, 0.031999601)</v>
      </c>
      <c r="N232" s="4">
        <v>229</v>
      </c>
      <c r="O232" s="8">
        <f>$B$7*COUNTIF(Sheet2!$B$1:$B$132,N232)</f>
        <v>0</v>
      </c>
      <c r="P232" s="8">
        <f t="shared" ca="1" si="25"/>
        <v>0</v>
      </c>
      <c r="Q232" s="8">
        <f ca="1">CEILING(R231*(IF(N232&lt;=IF($B$2=0,0,OFFSET(Sheet2!$B$1,Sheet1!$B$2-1,0)),$B$1/(365*100),$B$3/(365*100)))*100,1)/100</f>
        <v>384.89</v>
      </c>
      <c r="R232" s="9">
        <f t="shared" ca="1" si="26"/>
        <v>943212.66133504699</v>
      </c>
    </row>
    <row r="233" spans="1:18" x14ac:dyDescent="0.25">
      <c r="A233">
        <v>3</v>
      </c>
      <c r="B233">
        <v>0</v>
      </c>
      <c r="C233">
        <v>4</v>
      </c>
      <c r="D233">
        <v>18.899999999999999</v>
      </c>
      <c r="E233">
        <v>41</v>
      </c>
      <c r="F233">
        <v>3.1438547095548164E-2</v>
      </c>
      <c r="G233" t="str">
        <f t="shared" si="27"/>
        <v>Insert into BlueCreditTypeRainbow Values (3, 0, 4, 18.9, 41, 0.0314385470955482)</v>
      </c>
      <c r="N233" s="4">
        <v>230</v>
      </c>
      <c r="O233" s="8">
        <f>$B$7*COUNTIF(Sheet2!$B$1:$B$132,N233)</f>
        <v>0</v>
      </c>
      <c r="P233" s="8">
        <f t="shared" ca="1" si="25"/>
        <v>0</v>
      </c>
      <c r="Q233" s="8">
        <f ca="1">CEILING(R232*(IF(N233&lt;=IF($B$2=0,0,OFFSET(Sheet2!$B$1,Sheet1!$B$2-1,0)),$B$1/(365*100),$B$3/(365*100)))*100,1)/100</f>
        <v>385.04</v>
      </c>
      <c r="R233" s="9">
        <f t="shared" ca="1" si="26"/>
        <v>943597.70133504702</v>
      </c>
    </row>
    <row r="234" spans="1:18" x14ac:dyDescent="0.25">
      <c r="A234">
        <v>3</v>
      </c>
      <c r="B234">
        <v>0</v>
      </c>
      <c r="C234">
        <v>4</v>
      </c>
      <c r="D234">
        <v>18.899999999999999</v>
      </c>
      <c r="E234">
        <v>42</v>
      </c>
      <c r="F234">
        <v>3.0905310735969152E-2</v>
      </c>
      <c r="G234" t="str">
        <f t="shared" si="27"/>
        <v>Insert into BlueCreditTypeRainbow Values (3, 0, 4, 18.9, 42, 0.0309053107359692)</v>
      </c>
      <c r="N234" s="4">
        <v>231</v>
      </c>
      <c r="O234" s="8">
        <f>$B$7*COUNTIF(Sheet2!$B$1:$B$132,N234)</f>
        <v>0</v>
      </c>
      <c r="P234" s="8">
        <f t="shared" ca="1" si="25"/>
        <v>0</v>
      </c>
      <c r="Q234" s="8">
        <f ca="1">CEILING(R233*(IF(N234&lt;=IF($B$2=0,0,OFFSET(Sheet2!$B$1,Sheet1!$B$2-1,0)),$B$1/(365*100),$B$3/(365*100)))*100,1)/100</f>
        <v>385.2</v>
      </c>
      <c r="R234" s="9">
        <f t="shared" ca="1" si="26"/>
        <v>943982.90133504698</v>
      </c>
    </row>
    <row r="235" spans="1:18" x14ac:dyDescent="0.25">
      <c r="A235">
        <v>3</v>
      </c>
      <c r="B235">
        <v>0</v>
      </c>
      <c r="C235">
        <v>3</v>
      </c>
      <c r="D235">
        <v>18.899999999999999</v>
      </c>
      <c r="E235">
        <v>30</v>
      </c>
      <c r="F235">
        <v>4.030965433333332E-2</v>
      </c>
      <c r="G235" t="str">
        <f t="shared" si="27"/>
        <v>Insert into BlueCreditTypeRainbow Values (3, 0, 3, 18.9, 30, 0.0403096543333333)</v>
      </c>
      <c r="N235" s="4">
        <v>232</v>
      </c>
      <c r="O235" s="8">
        <f>$B$7*COUNTIF(Sheet2!$B$1:$B$132,N235)</f>
        <v>0</v>
      </c>
      <c r="P235" s="8">
        <f t="shared" ca="1" si="25"/>
        <v>0</v>
      </c>
      <c r="Q235" s="8">
        <f ca="1">CEILING(R234*(IF(N235&lt;=IF($B$2=0,0,OFFSET(Sheet2!$B$1,Sheet1!$B$2-1,0)),$B$1/(365*100),$B$3/(365*100)))*100,1)/100</f>
        <v>385.36</v>
      </c>
      <c r="R235" s="9">
        <f t="shared" ca="1" si="26"/>
        <v>944368.26133504696</v>
      </c>
    </row>
    <row r="236" spans="1:18" x14ac:dyDescent="0.25">
      <c r="A236">
        <v>3</v>
      </c>
      <c r="B236">
        <v>0</v>
      </c>
      <c r="C236">
        <v>3</v>
      </c>
      <c r="D236">
        <v>18.899999999999999</v>
      </c>
      <c r="E236">
        <v>31</v>
      </c>
      <c r="F236">
        <v>3.929174873498318E-2</v>
      </c>
      <c r="G236" t="str">
        <f t="shared" si="27"/>
        <v>Insert into BlueCreditTypeRainbow Values (3, 0, 3, 18.9, 31, 0.0392917487349832)</v>
      </c>
      <c r="N236" s="4">
        <v>233</v>
      </c>
      <c r="O236" s="8">
        <f>$B$7*COUNTIF(Sheet2!$B$1:$B$132,N236)</f>
        <v>0</v>
      </c>
      <c r="P236" s="8">
        <f t="shared" ca="1" si="25"/>
        <v>0</v>
      </c>
      <c r="Q236" s="8">
        <f ca="1">CEILING(R235*(IF(N236&lt;=IF($B$2=0,0,OFFSET(Sheet2!$B$1,Sheet1!$B$2-1,0)),$B$1/(365*100),$B$3/(365*100)))*100,1)/100</f>
        <v>385.51</v>
      </c>
      <c r="R236" s="9">
        <f t="shared" ca="1" si="26"/>
        <v>944753.77133504697</v>
      </c>
    </row>
    <row r="237" spans="1:18" x14ac:dyDescent="0.25">
      <c r="A237">
        <v>3</v>
      </c>
      <c r="B237">
        <v>0</v>
      </c>
      <c r="C237">
        <v>3</v>
      </c>
      <c r="D237">
        <v>18.899999999999999</v>
      </c>
      <c r="E237">
        <v>32</v>
      </c>
      <c r="F237">
        <v>3.8338537187500014E-2</v>
      </c>
      <c r="G237" t="str">
        <f t="shared" si="27"/>
        <v>Insert into BlueCreditTypeRainbow Values (3, 0, 3, 18.9, 32, 0.0383385371875)</v>
      </c>
      <c r="N237" s="4">
        <v>234</v>
      </c>
      <c r="O237" s="8">
        <f>$B$7*COUNTIF(Sheet2!$B$1:$B$132,N237)</f>
        <v>0</v>
      </c>
      <c r="P237" s="8">
        <f t="shared" ca="1" si="25"/>
        <v>0</v>
      </c>
      <c r="Q237" s="8">
        <f ca="1">CEILING(R236*(IF(N237&lt;=IF($B$2=0,0,OFFSET(Sheet2!$B$1,Sheet1!$B$2-1,0)),$B$1/(365*100),$B$3/(365*100)))*100,1)/100</f>
        <v>385.67</v>
      </c>
      <c r="R237" s="9">
        <f t="shared" ca="1" si="26"/>
        <v>945139.44133504701</v>
      </c>
    </row>
    <row r="238" spans="1:18" x14ac:dyDescent="0.25">
      <c r="A238">
        <v>3</v>
      </c>
      <c r="B238">
        <v>0</v>
      </c>
      <c r="C238">
        <v>3</v>
      </c>
      <c r="D238">
        <v>18.899999999999999</v>
      </c>
      <c r="E238">
        <v>33</v>
      </c>
      <c r="F238">
        <v>3.7444587724856523E-2</v>
      </c>
      <c r="G238" t="str">
        <f t="shared" si="27"/>
        <v>Insert into BlueCreditTypeRainbow Values (3, 0, 3, 18.9, 33, 0.0374445877248565)</v>
      </c>
      <c r="N238" s="4">
        <v>235</v>
      </c>
      <c r="O238" s="8">
        <f>$B$7*COUNTIF(Sheet2!$B$1:$B$132,N238)</f>
        <v>0</v>
      </c>
      <c r="P238" s="8">
        <f t="shared" ca="1" si="25"/>
        <v>0</v>
      </c>
      <c r="Q238" s="8">
        <f ca="1">CEILING(R237*(IF(N238&lt;=IF($B$2=0,0,OFFSET(Sheet2!$B$1,Sheet1!$B$2-1,0)),$B$1/(365*100),$B$3/(365*100)))*100,1)/100</f>
        <v>385.83</v>
      </c>
      <c r="R238" s="9">
        <f t="shared" ca="1" si="26"/>
        <v>945525.27133504697</v>
      </c>
    </row>
    <row r="239" spans="1:18" x14ac:dyDescent="0.25">
      <c r="A239">
        <v>3</v>
      </c>
      <c r="B239">
        <v>0</v>
      </c>
      <c r="C239">
        <v>3</v>
      </c>
      <c r="D239">
        <v>18.899999999999999</v>
      </c>
      <c r="E239">
        <v>34</v>
      </c>
      <c r="F239">
        <v>3.6604245320982345E-2</v>
      </c>
      <c r="G239" t="str">
        <f t="shared" si="27"/>
        <v>Insert into BlueCreditTypeRainbow Values (3, 0, 3, 18.9, 34, 0.0366042453209823)</v>
      </c>
      <c r="N239" s="4">
        <v>236</v>
      </c>
      <c r="O239" s="8">
        <f>$B$7*COUNTIF(Sheet2!$B$1:$B$132,N239)</f>
        <v>0</v>
      </c>
      <c r="P239" s="8">
        <f t="shared" ca="1" si="25"/>
        <v>0</v>
      </c>
      <c r="Q239" s="8">
        <f ca="1">CEILING(R238*(IF(N239&lt;=IF($B$2=0,0,OFFSET(Sheet2!$B$1,Sheet1!$B$2-1,0)),$B$1/(365*100),$B$3/(365*100)))*100,1)/100</f>
        <v>385.99</v>
      </c>
      <c r="R239" s="9">
        <f t="shared" ca="1" si="26"/>
        <v>945911.26133504696</v>
      </c>
    </row>
    <row r="240" spans="1:18" x14ac:dyDescent="0.25">
      <c r="A240">
        <v>3</v>
      </c>
      <c r="B240">
        <v>0</v>
      </c>
      <c r="C240">
        <v>3</v>
      </c>
      <c r="D240">
        <v>18.899999999999999</v>
      </c>
      <c r="E240">
        <v>35</v>
      </c>
      <c r="F240">
        <v>3.5813298571428606E-2</v>
      </c>
      <c r="G240" t="str">
        <f t="shared" si="27"/>
        <v>Insert into BlueCreditTypeRainbow Values (3, 0, 3, 18.9, 35, 0.0358132985714286)</v>
      </c>
      <c r="N240" s="4">
        <v>237</v>
      </c>
      <c r="O240" s="8">
        <f>$B$7*COUNTIF(Sheet2!$B$1:$B$132,N240)</f>
        <v>0</v>
      </c>
      <c r="P240" s="8">
        <f t="shared" ca="1" si="25"/>
        <v>0</v>
      </c>
      <c r="Q240" s="8">
        <f ca="1">CEILING(R239*(IF(N240&lt;=IF($B$2=0,0,OFFSET(Sheet2!$B$1,Sheet1!$B$2-1,0)),$B$1/(365*100),$B$3/(365*100)))*100,1)/100</f>
        <v>386.14</v>
      </c>
      <c r="R240" s="9">
        <f t="shared" ca="1" si="26"/>
        <v>946297.40133504698</v>
      </c>
    </row>
    <row r="241" spans="1:18" x14ac:dyDescent="0.25">
      <c r="A241">
        <v>3</v>
      </c>
      <c r="B241">
        <v>0</v>
      </c>
      <c r="C241">
        <v>3</v>
      </c>
      <c r="D241">
        <v>18.899999999999999</v>
      </c>
      <c r="E241">
        <v>36</v>
      </c>
      <c r="F241">
        <v>3.5067247232851963E-2</v>
      </c>
      <c r="G241" t="str">
        <f t="shared" si="27"/>
        <v>Insert into BlueCreditTypeRainbow Values (3, 0, 3, 18.9, 36, 0.035067247232852)</v>
      </c>
      <c r="N241" s="4">
        <v>238</v>
      </c>
      <c r="O241" s="8">
        <f>$B$7*COUNTIF(Sheet2!$B$1:$B$132,N241)</f>
        <v>0</v>
      </c>
      <c r="P241" s="8">
        <f t="shared" ca="1" si="25"/>
        <v>0</v>
      </c>
      <c r="Q241" s="8">
        <f ca="1">CEILING(R240*(IF(N241&lt;=IF($B$2=0,0,OFFSET(Sheet2!$B$1,Sheet1!$B$2-1,0)),$B$1/(365*100),$B$3/(365*100)))*100,1)/100</f>
        <v>386.3</v>
      </c>
      <c r="R241" s="9">
        <f t="shared" ca="1" si="26"/>
        <v>946683.70133504702</v>
      </c>
    </row>
    <row r="242" spans="1:18" x14ac:dyDescent="0.25">
      <c r="A242">
        <v>3</v>
      </c>
      <c r="B242">
        <v>0</v>
      </c>
      <c r="C242">
        <v>3</v>
      </c>
      <c r="D242">
        <v>18.899999999999999</v>
      </c>
      <c r="E242">
        <v>37</v>
      </c>
      <c r="F242">
        <v>3.4362806431510885E-2</v>
      </c>
      <c r="G242" t="str">
        <f t="shared" si="27"/>
        <v>Insert into BlueCreditTypeRainbow Values (3, 0, 3, 18.9, 37, 0.0343628064315109)</v>
      </c>
      <c r="N242" s="4">
        <v>239</v>
      </c>
      <c r="O242" s="8">
        <f>$B$7*COUNTIF(Sheet2!$B$1:$B$132,N242)</f>
        <v>0</v>
      </c>
      <c r="P242" s="8">
        <f t="shared" ca="1" si="25"/>
        <v>0</v>
      </c>
      <c r="Q242" s="8">
        <f ca="1">CEILING(R241*(IF(N242&lt;=IF($B$2=0,0,OFFSET(Sheet2!$B$1,Sheet1!$B$2-1,0)),$B$1/(365*100),$B$3/(365*100)))*100,1)/100</f>
        <v>386.46</v>
      </c>
      <c r="R242" s="9">
        <f t="shared" ca="1" si="26"/>
        <v>947070.16133504699</v>
      </c>
    </row>
    <row r="243" spans="1:18" x14ac:dyDescent="0.25">
      <c r="A243">
        <v>3</v>
      </c>
      <c r="B243">
        <v>0</v>
      </c>
      <c r="C243">
        <v>3</v>
      </c>
      <c r="D243">
        <v>18.899999999999999</v>
      </c>
      <c r="E243">
        <v>38</v>
      </c>
      <c r="F243">
        <v>3.3696338157894738E-2</v>
      </c>
      <c r="G243" t="str">
        <f t="shared" si="27"/>
        <v>Insert into BlueCreditTypeRainbow Values (3, 0, 3, 18.9, 38, 0.0336963381578947)</v>
      </c>
      <c r="N243" s="4">
        <v>240</v>
      </c>
      <c r="O243" s="8">
        <f>$B$7*COUNTIF(Sheet2!$B$1:$B$132,N243)</f>
        <v>0</v>
      </c>
      <c r="P243" s="8">
        <f t="shared" ca="1" si="25"/>
        <v>0</v>
      </c>
      <c r="Q243" s="8">
        <f ca="1">CEILING(R242*(IF(N243&lt;=IF($B$2=0,0,OFFSET(Sheet2!$B$1,Sheet1!$B$2-1,0)),$B$1/(365*100),$B$3/(365*100)))*100,1)/100</f>
        <v>386.62</v>
      </c>
      <c r="R243" s="9">
        <f t="shared" ca="1" si="26"/>
        <v>947456.78133504698</v>
      </c>
    </row>
    <row r="244" spans="1:18" x14ac:dyDescent="0.25">
      <c r="A244">
        <v>3</v>
      </c>
      <c r="B244">
        <v>0</v>
      </c>
      <c r="C244">
        <v>3</v>
      </c>
      <c r="D244">
        <v>18.899999999999999</v>
      </c>
      <c r="E244">
        <v>39</v>
      </c>
      <c r="F244">
        <v>3.3065237967539809E-2</v>
      </c>
      <c r="G244" t="str">
        <f t="shared" si="27"/>
        <v>Insert into BlueCreditTypeRainbow Values (3, 0, 3, 18.9, 39, 0.0330652379675398)</v>
      </c>
      <c r="N244" s="4">
        <v>241</v>
      </c>
      <c r="O244" s="8">
        <f>$B$7*COUNTIF(Sheet2!$B$1:$B$132,N244)</f>
        <v>0</v>
      </c>
      <c r="P244" s="8">
        <f t="shared" ca="1" si="25"/>
        <v>0</v>
      </c>
      <c r="Q244" s="8">
        <f ca="1">CEILING(R243*(IF(N244&lt;=IF($B$2=0,0,OFFSET(Sheet2!$B$1,Sheet1!$B$2-1,0)),$B$1/(365*100),$B$3/(365*100)))*100,1)/100</f>
        <v>386.78</v>
      </c>
      <c r="R244" s="9">
        <f t="shared" ca="1" si="26"/>
        <v>947843.56133504701</v>
      </c>
    </row>
    <row r="245" spans="1:18" x14ac:dyDescent="0.25">
      <c r="A245">
        <v>3</v>
      </c>
      <c r="B245">
        <v>0</v>
      </c>
      <c r="C245">
        <v>3</v>
      </c>
      <c r="D245">
        <v>18.899999999999999</v>
      </c>
      <c r="E245">
        <v>40</v>
      </c>
      <c r="F245">
        <v>3.2466855652305358E-2</v>
      </c>
      <c r="G245" t="str">
        <f t="shared" si="27"/>
        <v>Insert into BlueCreditTypeRainbow Values (3, 0, 3, 18.9, 40, 0.0324668556523054)</v>
      </c>
      <c r="N245" s="4">
        <v>242</v>
      </c>
      <c r="O245" s="8">
        <f>$B$7*COUNTIF(Sheet2!$B$1:$B$132,N245)</f>
        <v>0</v>
      </c>
      <c r="P245" s="8">
        <f t="shared" ca="1" si="25"/>
        <v>0</v>
      </c>
      <c r="Q245" s="8">
        <f ca="1">CEILING(R244*(IF(N245&lt;=IF($B$2=0,0,OFFSET(Sheet2!$B$1,Sheet1!$B$2-1,0)),$B$1/(365*100),$B$3/(365*100)))*100,1)/100</f>
        <v>386.93</v>
      </c>
      <c r="R245" s="9">
        <f t="shared" ca="1" si="26"/>
        <v>948230.49133504706</v>
      </c>
    </row>
    <row r="246" spans="1:18" x14ac:dyDescent="0.25">
      <c r="A246">
        <v>3</v>
      </c>
      <c r="B246">
        <v>0</v>
      </c>
      <c r="C246">
        <v>3</v>
      </c>
      <c r="D246">
        <v>18.899999999999999</v>
      </c>
      <c r="E246">
        <v>41</v>
      </c>
      <c r="F246">
        <v>3.1898472682926872E-2</v>
      </c>
      <c r="G246" t="str">
        <f t="shared" si="27"/>
        <v>Insert into BlueCreditTypeRainbow Values (3, 0, 3, 18.9, 41, 0.0318984726829269)</v>
      </c>
      <c r="N246" s="4">
        <v>243</v>
      </c>
      <c r="O246" s="8">
        <f>$B$7*COUNTIF(Sheet2!$B$1:$B$132,N246)</f>
        <v>0</v>
      </c>
      <c r="P246" s="8">
        <f t="shared" ca="1" si="25"/>
        <v>0</v>
      </c>
      <c r="Q246" s="8">
        <f ca="1">CEILING(R245*(IF(N246&lt;=IF($B$2=0,0,OFFSET(Sheet2!$B$1,Sheet1!$B$2-1,0)),$B$1/(365*100),$B$3/(365*100)))*100,1)/100</f>
        <v>387.09</v>
      </c>
      <c r="R246" s="9">
        <f t="shared" ca="1" si="26"/>
        <v>948617.58133504703</v>
      </c>
    </row>
    <row r="247" spans="1:18" x14ac:dyDescent="0.25">
      <c r="A247">
        <v>3</v>
      </c>
      <c r="B247">
        <v>0</v>
      </c>
      <c r="C247">
        <v>3</v>
      </c>
      <c r="D247">
        <v>18.899999999999999</v>
      </c>
      <c r="E247">
        <v>42</v>
      </c>
      <c r="F247">
        <v>3.135824547736412E-2</v>
      </c>
      <c r="G247" t="str">
        <f t="shared" si="27"/>
        <v>Insert into BlueCreditTypeRainbow Values (3, 0, 3, 18.9, 42, 0.0313582454773641)</v>
      </c>
      <c r="N247" s="4">
        <v>244</v>
      </c>
      <c r="O247" s="8">
        <f>$B$7*COUNTIF(Sheet2!$B$1:$B$132,N247)</f>
        <v>21157.10552356458</v>
      </c>
      <c r="P247" s="8">
        <f t="shared" ca="1" si="25"/>
        <v>20769.85552356458</v>
      </c>
      <c r="Q247" s="8">
        <f ca="1">CEILING(R246*(IF(N247&lt;=IF($B$2=0,0,OFFSET(Sheet2!$B$1,Sheet1!$B$2-1,0)),$B$1/(365*100),$B$3/(365*100)))*100,1)/100</f>
        <v>387.25</v>
      </c>
      <c r="R247" s="9">
        <f t="shared" ca="1" si="26"/>
        <v>927847.72581148241</v>
      </c>
    </row>
    <row r="248" spans="1:18" x14ac:dyDescent="0.25">
      <c r="A248">
        <v>3</v>
      </c>
      <c r="B248">
        <v>0</v>
      </c>
      <c r="C248">
        <v>2</v>
      </c>
      <c r="D248">
        <v>18.899999999999999</v>
      </c>
      <c r="E248">
        <v>30</v>
      </c>
      <c r="F248">
        <v>4.0888970359868521E-2</v>
      </c>
      <c r="G248" t="str">
        <f t="shared" si="27"/>
        <v>Insert into BlueCreditTypeRainbow Values (3, 0, 2, 18.9, 30, 0.0408889703598685)</v>
      </c>
      <c r="N248" s="4">
        <v>245</v>
      </c>
      <c r="O248" s="8">
        <f>$B$7*COUNTIF(Sheet2!$B$1:$B$132,N248)</f>
        <v>0</v>
      </c>
      <c r="P248" s="8">
        <f t="shared" ca="1" si="25"/>
        <v>0</v>
      </c>
      <c r="Q248" s="8">
        <f ca="1">CEILING(R247*(IF(N248&lt;=IF($B$2=0,0,OFFSET(Sheet2!$B$1,Sheet1!$B$2-1,0)),$B$1/(365*100),$B$3/(365*100)))*100,1)/100</f>
        <v>378.77</v>
      </c>
      <c r="R248" s="9">
        <f t="shared" ca="1" si="26"/>
        <v>928226.49581148243</v>
      </c>
    </row>
    <row r="249" spans="1:18" x14ac:dyDescent="0.25">
      <c r="A249">
        <v>3</v>
      </c>
      <c r="B249">
        <v>0</v>
      </c>
      <c r="C249">
        <v>2</v>
      </c>
      <c r="D249">
        <v>18.899999999999999</v>
      </c>
      <c r="E249">
        <v>31</v>
      </c>
      <c r="F249">
        <v>3.9857700645161337E-2</v>
      </c>
      <c r="G249" t="str">
        <f t="shared" si="27"/>
        <v>Insert into BlueCreditTypeRainbow Values (3, 0, 2, 18.9, 31, 0.0398577006451613)</v>
      </c>
      <c r="N249" s="4">
        <v>246</v>
      </c>
      <c r="O249" s="8">
        <f>$B$7*COUNTIF(Sheet2!$B$1:$B$132,N249)</f>
        <v>0</v>
      </c>
      <c r="P249" s="8">
        <f t="shared" ca="1" si="25"/>
        <v>0</v>
      </c>
      <c r="Q249" s="8">
        <f ca="1">CEILING(R248*(IF(N249&lt;=IF($B$2=0,0,OFFSET(Sheet2!$B$1,Sheet1!$B$2-1,0)),$B$1/(365*100),$B$3/(365*100)))*100,1)/100</f>
        <v>378.92</v>
      </c>
      <c r="R249" s="9">
        <f t="shared" ca="1" si="26"/>
        <v>928605.41581148247</v>
      </c>
    </row>
    <row r="250" spans="1:18" x14ac:dyDescent="0.25">
      <c r="A250">
        <v>3</v>
      </c>
      <c r="B250">
        <v>0</v>
      </c>
      <c r="C250">
        <v>2</v>
      </c>
      <c r="D250">
        <v>18.899999999999999</v>
      </c>
      <c r="E250">
        <v>32</v>
      </c>
      <c r="F250">
        <v>3.8891918142483398E-2</v>
      </c>
      <c r="G250" t="str">
        <f t="shared" si="27"/>
        <v>Insert into BlueCreditTypeRainbow Values (3, 0, 2, 18.9, 32, 0.0388919181424834)</v>
      </c>
      <c r="N250" s="4">
        <v>247</v>
      </c>
      <c r="O250" s="8">
        <f>$B$7*COUNTIF(Sheet2!$B$1:$B$132,N250)</f>
        <v>0</v>
      </c>
      <c r="P250" s="8">
        <f t="shared" ca="1" si="25"/>
        <v>0</v>
      </c>
      <c r="Q250" s="8">
        <f ca="1">CEILING(R249*(IF(N250&lt;=IF($B$2=0,0,OFFSET(Sheet2!$B$1,Sheet1!$B$2-1,0)),$B$1/(365*100),$B$3/(365*100)))*100,1)/100</f>
        <v>379.08</v>
      </c>
      <c r="R250" s="9">
        <f t="shared" ca="1" si="26"/>
        <v>928984.49581148243</v>
      </c>
    </row>
    <row r="251" spans="1:18" x14ac:dyDescent="0.25">
      <c r="A251">
        <v>3</v>
      </c>
      <c r="B251">
        <v>0</v>
      </c>
      <c r="C251">
        <v>2</v>
      </c>
      <c r="D251">
        <v>18.899999999999999</v>
      </c>
      <c r="E251">
        <v>33</v>
      </c>
      <c r="F251">
        <v>3.7986132453959653E-2</v>
      </c>
      <c r="G251" t="str">
        <f t="shared" si="27"/>
        <v>Insert into BlueCreditTypeRainbow Values (3, 0, 2, 18.9, 33, 0.0379861324539597)</v>
      </c>
      <c r="N251" s="4">
        <v>248</v>
      </c>
      <c r="O251" s="8">
        <f>$B$7*COUNTIF(Sheet2!$B$1:$B$132,N251)</f>
        <v>0</v>
      </c>
      <c r="P251" s="8">
        <f t="shared" ca="1" si="25"/>
        <v>0</v>
      </c>
      <c r="Q251" s="8">
        <f ca="1">CEILING(R250*(IF(N251&lt;=IF($B$2=0,0,OFFSET(Sheet2!$B$1,Sheet1!$B$2-1,0)),$B$1/(365*100),$B$3/(365*100)))*100,1)/100</f>
        <v>379.23</v>
      </c>
      <c r="R251" s="9">
        <f t="shared" ca="1" si="26"/>
        <v>929363.72581148241</v>
      </c>
    </row>
    <row r="252" spans="1:18" x14ac:dyDescent="0.25">
      <c r="A252">
        <v>3</v>
      </c>
      <c r="B252">
        <v>0</v>
      </c>
      <c r="C252">
        <v>2</v>
      </c>
      <c r="D252">
        <v>18.899999999999999</v>
      </c>
      <c r="E252">
        <v>34</v>
      </c>
      <c r="F252">
        <v>3.7134606764705827E-2</v>
      </c>
      <c r="G252" t="str">
        <f t="shared" si="27"/>
        <v>Insert into BlueCreditTypeRainbow Values (3, 0, 2, 18.9, 34, 0.0371346067647058)</v>
      </c>
      <c r="N252" s="4">
        <v>249</v>
      </c>
      <c r="O252" s="8">
        <f>$B$7*COUNTIF(Sheet2!$B$1:$B$132,N252)</f>
        <v>0</v>
      </c>
      <c r="P252" s="8">
        <f t="shared" ca="1" si="25"/>
        <v>0</v>
      </c>
      <c r="Q252" s="8">
        <f ca="1">CEILING(R251*(IF(N252&lt;=IF($B$2=0,0,OFFSET(Sheet2!$B$1,Sheet1!$B$2-1,0)),$B$1/(365*100),$B$3/(365*100)))*100,1)/100</f>
        <v>379.39</v>
      </c>
      <c r="R252" s="9">
        <f t="shared" ca="1" si="26"/>
        <v>929743.11581148242</v>
      </c>
    </row>
    <row r="253" spans="1:18" x14ac:dyDescent="0.25">
      <c r="A253">
        <v>3</v>
      </c>
      <c r="B253">
        <v>0</v>
      </c>
      <c r="C253">
        <v>2</v>
      </c>
      <c r="D253">
        <v>18.899999999999999</v>
      </c>
      <c r="E253">
        <v>35</v>
      </c>
      <c r="F253">
        <v>3.6333102000000034E-2</v>
      </c>
      <c r="G253" t="str">
        <f t="shared" si="27"/>
        <v>Insert into BlueCreditTypeRainbow Values (3, 0, 2, 18.9, 35, 0.036333102)</v>
      </c>
      <c r="N253" s="4">
        <v>250</v>
      </c>
      <c r="O253" s="8">
        <f>$B$7*COUNTIF(Sheet2!$B$1:$B$132,N253)</f>
        <v>0</v>
      </c>
      <c r="P253" s="8">
        <f t="shared" ca="1" si="25"/>
        <v>0</v>
      </c>
      <c r="Q253" s="8">
        <f ca="1">CEILING(R252*(IF(N253&lt;=IF($B$2=0,0,OFFSET(Sheet2!$B$1,Sheet1!$B$2-1,0)),$B$1/(365*100),$B$3/(365*100)))*100,1)/100</f>
        <v>379.54</v>
      </c>
      <c r="R253" s="9">
        <f t="shared" ca="1" si="26"/>
        <v>930122.65581148246</v>
      </c>
    </row>
    <row r="254" spans="1:18" x14ac:dyDescent="0.25">
      <c r="A254">
        <v>3</v>
      </c>
      <c r="B254">
        <v>0</v>
      </c>
      <c r="C254">
        <v>2</v>
      </c>
      <c r="D254">
        <v>18.899999999999999</v>
      </c>
      <c r="E254">
        <v>36</v>
      </c>
      <c r="F254">
        <v>3.5577053347521904E-2</v>
      </c>
      <c r="G254" t="str">
        <f t="shared" si="27"/>
        <v>Insert into BlueCreditTypeRainbow Values (3, 0, 2, 18.9, 36, 0.0355770533475219)</v>
      </c>
      <c r="N254" s="4">
        <v>251</v>
      </c>
      <c r="O254" s="8">
        <f>$B$7*COUNTIF(Sheet2!$B$1:$B$132,N254)</f>
        <v>0</v>
      </c>
      <c r="P254" s="8">
        <f t="shared" ca="1" si="25"/>
        <v>0</v>
      </c>
      <c r="Q254" s="8">
        <f ca="1">CEILING(R253*(IF(N254&lt;=IF($B$2=0,0,OFFSET(Sheet2!$B$1,Sheet1!$B$2-1,0)),$B$1/(365*100),$B$3/(365*100)))*100,1)/100</f>
        <v>379.7</v>
      </c>
      <c r="R254" s="9">
        <f t="shared" ca="1" si="26"/>
        <v>930502.35581148241</v>
      </c>
    </row>
    <row r="255" spans="1:18" x14ac:dyDescent="0.25">
      <c r="A255">
        <v>3</v>
      </c>
      <c r="B255">
        <v>0</v>
      </c>
      <c r="C255">
        <v>2</v>
      </c>
      <c r="D255">
        <v>18.899999999999999</v>
      </c>
      <c r="E255">
        <v>37</v>
      </c>
      <c r="F255">
        <v>3.4863140540540551E-2</v>
      </c>
      <c r="G255" t="str">
        <f t="shared" si="27"/>
        <v>Insert into BlueCreditTypeRainbow Values (3, 0, 2, 18.9, 37, 0.0348631405405406)</v>
      </c>
      <c r="N255" s="4">
        <v>252</v>
      </c>
      <c r="O255" s="8">
        <f>$B$7*COUNTIF(Sheet2!$B$1:$B$132,N255)</f>
        <v>0</v>
      </c>
      <c r="P255" s="8">
        <f t="shared" ca="1" si="25"/>
        <v>0</v>
      </c>
      <c r="Q255" s="8">
        <f ca="1">CEILING(R254*(IF(N255&lt;=IF($B$2=0,0,OFFSET(Sheet2!$B$1,Sheet1!$B$2-1,0)),$B$1/(365*100),$B$3/(365*100)))*100,1)/100</f>
        <v>379.85</v>
      </c>
      <c r="R255" s="9">
        <f t="shared" ca="1" si="26"/>
        <v>930882.20581148239</v>
      </c>
    </row>
    <row r="256" spans="1:18" x14ac:dyDescent="0.25">
      <c r="A256">
        <v>3</v>
      </c>
      <c r="B256">
        <v>0</v>
      </c>
      <c r="C256">
        <v>2</v>
      </c>
      <c r="D256">
        <v>18.899999999999999</v>
      </c>
      <c r="E256">
        <v>38</v>
      </c>
      <c r="F256">
        <v>3.4187674473684287E-2</v>
      </c>
      <c r="G256" t="str">
        <f t="shared" si="27"/>
        <v>Insert into BlueCreditTypeRainbow Values (3, 0, 2, 18.9, 38, 0.0341876744736843)</v>
      </c>
      <c r="N256" s="4">
        <v>253</v>
      </c>
      <c r="O256" s="8">
        <f>$B$7*COUNTIF(Sheet2!$B$1:$B$132,N256)</f>
        <v>0</v>
      </c>
      <c r="P256" s="8">
        <f t="shared" ca="1" si="25"/>
        <v>0</v>
      </c>
      <c r="Q256" s="8">
        <f ca="1">CEILING(R255*(IF(N256&lt;=IF($B$2=0,0,OFFSET(Sheet2!$B$1,Sheet1!$B$2-1,0)),$B$1/(365*100),$B$3/(365*100)))*100,1)/100</f>
        <v>380.01</v>
      </c>
      <c r="R256" s="9">
        <f t="shared" ca="1" si="26"/>
        <v>931262.2158114824</v>
      </c>
    </row>
    <row r="257" spans="1:18" x14ac:dyDescent="0.25">
      <c r="A257">
        <v>3</v>
      </c>
      <c r="B257">
        <v>0</v>
      </c>
      <c r="C257">
        <v>2</v>
      </c>
      <c r="D257">
        <v>18.899999999999999</v>
      </c>
      <c r="E257">
        <v>39</v>
      </c>
      <c r="F257">
        <v>3.3548040024831575E-2</v>
      </c>
      <c r="G257" t="str">
        <f t="shared" si="27"/>
        <v>Insert into BlueCreditTypeRainbow Values (3, 0, 2, 18.9, 39, 0.0335480400248316)</v>
      </c>
      <c r="N257" s="4">
        <v>254</v>
      </c>
      <c r="O257" s="8">
        <f>$B$7*COUNTIF(Sheet2!$B$1:$B$132,N257)</f>
        <v>0</v>
      </c>
      <c r="P257" s="8">
        <f t="shared" ca="1" si="25"/>
        <v>0</v>
      </c>
      <c r="Q257" s="8">
        <f ca="1">CEILING(R256*(IF(N257&lt;=IF($B$2=0,0,OFFSET(Sheet2!$B$1,Sheet1!$B$2-1,0)),$B$1/(365*100),$B$3/(365*100)))*100,1)/100</f>
        <v>380.16</v>
      </c>
      <c r="R257" s="9">
        <f t="shared" ca="1" si="26"/>
        <v>931642.37581148243</v>
      </c>
    </row>
    <row r="258" spans="1:18" x14ac:dyDescent="0.25">
      <c r="A258">
        <v>3</v>
      </c>
      <c r="B258">
        <v>0</v>
      </c>
      <c r="C258">
        <v>2</v>
      </c>
      <c r="D258">
        <v>18.899999999999999</v>
      </c>
      <c r="E258">
        <v>40</v>
      </c>
      <c r="F258">
        <v>3.2941529750000031E-2</v>
      </c>
      <c r="G258" t="str">
        <f t="shared" si="27"/>
        <v>Insert into BlueCreditTypeRainbow Values (3, 0, 2, 18.9, 40, 0.03294152975)</v>
      </c>
      <c r="N258" s="4">
        <v>255</v>
      </c>
      <c r="O258" s="8">
        <f>$B$7*COUNTIF(Sheet2!$B$1:$B$132,N258)</f>
        <v>0</v>
      </c>
      <c r="P258" s="8">
        <f t="shared" ca="1" si="25"/>
        <v>0</v>
      </c>
      <c r="Q258" s="8">
        <f ca="1">CEILING(R257*(IF(N258&lt;=IF($B$2=0,0,OFFSET(Sheet2!$B$1,Sheet1!$B$2-1,0)),$B$1/(365*100),$B$3/(365*100)))*100,1)/100</f>
        <v>380.32</v>
      </c>
      <c r="R258" s="9">
        <f t="shared" ca="1" si="26"/>
        <v>932022.69581148238</v>
      </c>
    </row>
    <row r="259" spans="1:18" x14ac:dyDescent="0.25">
      <c r="A259">
        <v>3</v>
      </c>
      <c r="B259">
        <v>0</v>
      </c>
      <c r="C259">
        <v>2</v>
      </c>
      <c r="D259">
        <v>18.899999999999999</v>
      </c>
      <c r="E259">
        <v>41</v>
      </c>
      <c r="F259">
        <v>3.2365413170731702E-2</v>
      </c>
      <c r="G259" t="str">
        <f t="shared" si="27"/>
        <v>Insert into BlueCreditTypeRainbow Values (3, 0, 2, 18.9, 41, 0.0323654131707317)</v>
      </c>
      <c r="N259" s="4">
        <v>256</v>
      </c>
      <c r="O259" s="8">
        <f>$B$7*COUNTIF(Sheet2!$B$1:$B$132,N259)</f>
        <v>0</v>
      </c>
      <c r="P259" s="8">
        <f t="shared" ca="1" si="25"/>
        <v>0</v>
      </c>
      <c r="Q259" s="8">
        <f ca="1">CEILING(R258*(IF(N259&lt;=IF($B$2=0,0,OFFSET(Sheet2!$B$1,Sheet1!$B$2-1,0)),$B$1/(365*100),$B$3/(365*100)))*100,1)/100</f>
        <v>380.47</v>
      </c>
      <c r="R259" s="9">
        <f t="shared" ca="1" si="26"/>
        <v>932403.16581148235</v>
      </c>
    </row>
    <row r="260" spans="1:18" x14ac:dyDescent="0.25">
      <c r="A260">
        <v>3</v>
      </c>
      <c r="B260">
        <v>0</v>
      </c>
      <c r="C260">
        <v>2</v>
      </c>
      <c r="D260">
        <v>18.899999999999999</v>
      </c>
      <c r="E260">
        <v>42</v>
      </c>
      <c r="F260">
        <v>3.181781953021591E-2</v>
      </c>
      <c r="G260" t="str">
        <f t="shared" si="27"/>
        <v>Insert into BlueCreditTypeRainbow Values (3, 0, 2, 18.9, 42, 0.0318178195302159)</v>
      </c>
      <c r="N260" s="4">
        <v>257</v>
      </c>
      <c r="O260" s="8">
        <f>$B$7*COUNTIF(Sheet2!$B$1:$B$132,N260)</f>
        <v>0</v>
      </c>
      <c r="P260" s="8">
        <f t="shared" ca="1" si="25"/>
        <v>0</v>
      </c>
      <c r="Q260" s="8">
        <f ca="1">CEILING(R259*(IF(N260&lt;=IF($B$2=0,0,OFFSET(Sheet2!$B$1,Sheet1!$B$2-1,0)),$B$1/(365*100),$B$3/(365*100)))*100,1)/100</f>
        <v>380.63</v>
      </c>
      <c r="R260" s="9">
        <f t="shared" ca="1" si="26"/>
        <v>932783.79581148236</v>
      </c>
    </row>
    <row r="261" spans="1:18" x14ac:dyDescent="0.25">
      <c r="A261">
        <v>3</v>
      </c>
      <c r="B261">
        <v>0</v>
      </c>
      <c r="C261">
        <v>1</v>
      </c>
      <c r="D261">
        <v>18.899999999999999</v>
      </c>
      <c r="E261">
        <v>30</v>
      </c>
      <c r="F261">
        <v>4.1502383333333337E-2</v>
      </c>
      <c r="G261" t="str">
        <f t="shared" si="27"/>
        <v>Insert into BlueCreditTypeRainbow Values (3, 0, 1, 18.9, 30, 0.0415023833333333)</v>
      </c>
      <c r="N261" s="4">
        <v>258</v>
      </c>
      <c r="O261" s="8">
        <f>$B$7*COUNTIF(Sheet2!$B$1:$B$132,N261)</f>
        <v>0</v>
      </c>
      <c r="P261" s="8">
        <f t="shared" ref="P261:P324" ca="1" si="28">IF(O261-Q261&gt; 0, O261-Q261, 0)</f>
        <v>0</v>
      </c>
      <c r="Q261" s="8">
        <f ca="1">CEILING(R260*(IF(N261&lt;=IF($B$2=0,0,OFFSET(Sheet2!$B$1,Sheet1!$B$2-1,0)),$B$1/(365*100),$B$3/(365*100)))*100,1)/100</f>
        <v>380.79</v>
      </c>
      <c r="R261" s="9">
        <f t="shared" ref="R261:R324" ca="1" si="29">R260+Q261-O261</f>
        <v>933164.58581148239</v>
      </c>
    </row>
    <row r="262" spans="1:18" x14ac:dyDescent="0.25">
      <c r="A262">
        <v>3</v>
      </c>
      <c r="B262">
        <v>0</v>
      </c>
      <c r="C262">
        <v>1</v>
      </c>
      <c r="D262">
        <v>18.899999999999999</v>
      </c>
      <c r="E262">
        <v>31</v>
      </c>
      <c r="F262">
        <v>4.0456297235958408E-2</v>
      </c>
      <c r="G262" t="str">
        <f t="shared" si="27"/>
        <v>Insert into BlueCreditTypeRainbow Values (3, 0, 1, 18.9, 31, 0.0404562972359584)</v>
      </c>
      <c r="N262" s="4">
        <v>259</v>
      </c>
      <c r="O262" s="8">
        <f>$B$7*COUNTIF(Sheet2!$B$1:$B$132,N262)</f>
        <v>0</v>
      </c>
      <c r="P262" s="8">
        <f t="shared" ca="1" si="28"/>
        <v>0</v>
      </c>
      <c r="Q262" s="8">
        <f ca="1">CEILING(R261*(IF(N262&lt;=IF($B$2=0,0,OFFSET(Sheet2!$B$1,Sheet1!$B$2-1,0)),$B$1/(365*100),$B$3/(365*100)))*100,1)/100</f>
        <v>380.94</v>
      </c>
      <c r="R262" s="9">
        <f t="shared" ca="1" si="29"/>
        <v>933545.52581148234</v>
      </c>
    </row>
    <row r="263" spans="1:18" x14ac:dyDescent="0.25">
      <c r="A263">
        <v>3</v>
      </c>
      <c r="B263">
        <v>0</v>
      </c>
      <c r="C263">
        <v>1</v>
      </c>
      <c r="D263">
        <v>18.899999999999999</v>
      </c>
      <c r="E263">
        <v>32</v>
      </c>
      <c r="F263">
        <v>3.9476600312500047E-2</v>
      </c>
      <c r="G263" t="str">
        <f t="shared" si="27"/>
        <v>Insert into BlueCreditTypeRainbow Values (3, 0, 1, 18.9, 32, 0.0394766003125)</v>
      </c>
      <c r="N263" s="4">
        <v>260</v>
      </c>
      <c r="O263" s="8">
        <f>$B$7*COUNTIF(Sheet2!$B$1:$B$132,N263)</f>
        <v>0</v>
      </c>
      <c r="P263" s="8">
        <f t="shared" ca="1" si="28"/>
        <v>0</v>
      </c>
      <c r="Q263" s="8">
        <f ca="1">CEILING(R262*(IF(N263&lt;=IF($B$2=0,0,OFFSET(Sheet2!$B$1,Sheet1!$B$2-1,0)),$B$1/(365*100),$B$3/(365*100)))*100,1)/100</f>
        <v>381.1</v>
      </c>
      <c r="R263" s="9">
        <f t="shared" ca="1" si="29"/>
        <v>933926.62581148231</v>
      </c>
    </row>
    <row r="264" spans="1:18" x14ac:dyDescent="0.25">
      <c r="A264">
        <v>3</v>
      </c>
      <c r="B264">
        <v>0</v>
      </c>
      <c r="C264">
        <v>1</v>
      </c>
      <c r="D264">
        <v>18.899999999999999</v>
      </c>
      <c r="E264">
        <v>33</v>
      </c>
      <c r="F264">
        <v>3.8557750332546499E-2</v>
      </c>
      <c r="G264" t="str">
        <f t="shared" si="27"/>
        <v>Insert into BlueCreditTypeRainbow Values (3, 0, 1, 18.9, 33, 0.0385577503325465)</v>
      </c>
      <c r="N264" s="4">
        <v>261</v>
      </c>
      <c r="O264" s="8">
        <f>$B$7*COUNTIF(Sheet2!$B$1:$B$132,N264)</f>
        <v>0</v>
      </c>
      <c r="P264" s="8">
        <f t="shared" ca="1" si="28"/>
        <v>0</v>
      </c>
      <c r="Q264" s="8">
        <f ca="1">CEILING(R263*(IF(N264&lt;=IF($B$2=0,0,OFFSET(Sheet2!$B$1,Sheet1!$B$2-1,0)),$B$1/(365*100),$B$3/(365*100)))*100,1)/100</f>
        <v>381.25</v>
      </c>
      <c r="R264" s="9">
        <f t="shared" ca="1" si="29"/>
        <v>934307.87581148231</v>
      </c>
    </row>
    <row r="265" spans="1:18" x14ac:dyDescent="0.25">
      <c r="A265">
        <v>3</v>
      </c>
      <c r="B265">
        <v>0</v>
      </c>
      <c r="C265">
        <v>1</v>
      </c>
      <c r="D265">
        <v>18.899999999999999</v>
      </c>
      <c r="E265">
        <v>34</v>
      </c>
      <c r="F265">
        <v>3.7693908330928241E-2</v>
      </c>
      <c r="G265" t="str">
        <f t="shared" si="27"/>
        <v>Insert into BlueCreditTypeRainbow Values (3, 0, 1, 18.9, 34, 0.0376939083309282)</v>
      </c>
      <c r="N265" s="4">
        <v>262</v>
      </c>
      <c r="O265" s="8">
        <f>$B$7*COUNTIF(Sheet2!$B$1:$B$132,N265)</f>
        <v>0</v>
      </c>
      <c r="P265" s="8">
        <f t="shared" ca="1" si="28"/>
        <v>0</v>
      </c>
      <c r="Q265" s="8">
        <f ca="1">CEILING(R264*(IF(N265&lt;=IF($B$2=0,0,OFFSET(Sheet2!$B$1,Sheet1!$B$2-1,0)),$B$1/(365*100),$B$3/(365*100)))*100,1)/100</f>
        <v>381.41</v>
      </c>
      <c r="R265" s="9">
        <f t="shared" ca="1" si="29"/>
        <v>934689.28581148235</v>
      </c>
    </row>
    <row r="266" spans="1:18" x14ac:dyDescent="0.25">
      <c r="A266">
        <v>3</v>
      </c>
      <c r="B266">
        <v>0</v>
      </c>
      <c r="C266">
        <v>1</v>
      </c>
      <c r="D266">
        <v>18.899999999999999</v>
      </c>
      <c r="E266">
        <v>35</v>
      </c>
      <c r="F266">
        <v>3.6880798292019373E-2</v>
      </c>
      <c r="G266" t="str">
        <f t="shared" si="27"/>
        <v>Insert into BlueCreditTypeRainbow Values (3, 0, 1, 18.9, 35, 0.0368807982920194)</v>
      </c>
      <c r="N266" s="4">
        <v>263</v>
      </c>
      <c r="O266" s="8">
        <f>$B$7*COUNTIF(Sheet2!$B$1:$B$132,N266)</f>
        <v>0</v>
      </c>
      <c r="P266" s="8">
        <f t="shared" ca="1" si="28"/>
        <v>0</v>
      </c>
      <c r="Q266" s="8">
        <f ca="1">CEILING(R265*(IF(N266&lt;=IF($B$2=0,0,OFFSET(Sheet2!$B$1,Sheet1!$B$2-1,0)),$B$1/(365*100),$B$3/(365*100)))*100,1)/100</f>
        <v>381.56</v>
      </c>
      <c r="R266" s="9">
        <f t="shared" ca="1" si="29"/>
        <v>935070.8458114824</v>
      </c>
    </row>
    <row r="267" spans="1:18" x14ac:dyDescent="0.25">
      <c r="A267">
        <v>3</v>
      </c>
      <c r="B267">
        <v>0</v>
      </c>
      <c r="C267">
        <v>1</v>
      </c>
      <c r="D267">
        <v>18.899999999999999</v>
      </c>
      <c r="E267">
        <v>36</v>
      </c>
      <c r="F267">
        <v>3.6113775000000084E-2</v>
      </c>
      <c r="G267" t="str">
        <f t="shared" si="27"/>
        <v>Insert into BlueCreditTypeRainbow Values (3, 0, 1, 18.9, 36, 0.0361137750000001)</v>
      </c>
      <c r="N267" s="4">
        <v>264</v>
      </c>
      <c r="O267" s="8">
        <f>$B$7*COUNTIF(Sheet2!$B$1:$B$132,N267)</f>
        <v>0</v>
      </c>
      <c r="P267" s="8">
        <f t="shared" ca="1" si="28"/>
        <v>0</v>
      </c>
      <c r="Q267" s="8">
        <f ca="1">CEILING(R266*(IF(N267&lt;=IF($B$2=0,0,OFFSET(Sheet2!$B$1,Sheet1!$B$2-1,0)),$B$1/(365*100),$B$3/(365*100)))*100,1)/100</f>
        <v>381.72</v>
      </c>
      <c r="R267" s="9">
        <f t="shared" ca="1" si="29"/>
        <v>935452.56581148237</v>
      </c>
    </row>
    <row r="268" spans="1:18" x14ac:dyDescent="0.25">
      <c r="A268">
        <v>3</v>
      </c>
      <c r="B268">
        <v>0</v>
      </c>
      <c r="C268">
        <v>1</v>
      </c>
      <c r="D268">
        <v>18.899999999999999</v>
      </c>
      <c r="E268">
        <v>37</v>
      </c>
      <c r="F268">
        <v>3.5389483268102755E-2</v>
      </c>
      <c r="G268" t="str">
        <f t="shared" si="27"/>
        <v>Insert into BlueCreditTypeRainbow Values (3, 0, 1, 18.9, 37, 0.0353894832681028)</v>
      </c>
      <c r="N268" s="4">
        <v>265</v>
      </c>
      <c r="O268" s="8">
        <f>$B$7*COUNTIF(Sheet2!$B$1:$B$132,N268)</f>
        <v>0</v>
      </c>
      <c r="P268" s="8">
        <f t="shared" ca="1" si="28"/>
        <v>0</v>
      </c>
      <c r="Q268" s="8">
        <f ca="1">CEILING(R267*(IF(N268&lt;=IF($B$2=0,0,OFFSET(Sheet2!$B$1,Sheet1!$B$2-1,0)),$B$1/(365*100),$B$3/(365*100)))*100,1)/100</f>
        <v>381.87</v>
      </c>
      <c r="R268" s="9">
        <f t="shared" ca="1" si="29"/>
        <v>935834.43581148237</v>
      </c>
    </row>
    <row r="269" spans="1:18" x14ac:dyDescent="0.25">
      <c r="A269">
        <v>3</v>
      </c>
      <c r="B269">
        <v>0</v>
      </c>
      <c r="C269">
        <v>1</v>
      </c>
      <c r="D269">
        <v>18.899999999999999</v>
      </c>
      <c r="E269">
        <v>38</v>
      </c>
      <c r="F269">
        <v>3.4704191578947344E-2</v>
      </c>
      <c r="G269" t="str">
        <f t="shared" si="27"/>
        <v>Insert into BlueCreditTypeRainbow Values (3, 0, 1, 18.9, 38, 0.0347041915789473)</v>
      </c>
      <c r="N269" s="4">
        <v>266</v>
      </c>
      <c r="O269" s="8">
        <f>$B$7*COUNTIF(Sheet2!$B$1:$B$132,N269)</f>
        <v>0</v>
      </c>
      <c r="P269" s="8">
        <f t="shared" ca="1" si="28"/>
        <v>0</v>
      </c>
      <c r="Q269" s="8">
        <f ca="1">CEILING(R268*(IF(N269&lt;=IF($B$2=0,0,OFFSET(Sheet2!$B$1,Sheet1!$B$2-1,0)),$B$1/(365*100),$B$3/(365*100)))*100,1)/100</f>
        <v>382.03</v>
      </c>
      <c r="R269" s="9">
        <f t="shared" ca="1" si="29"/>
        <v>936216.4658114824</v>
      </c>
    </row>
    <row r="270" spans="1:18" x14ac:dyDescent="0.25">
      <c r="A270">
        <v>3</v>
      </c>
      <c r="B270">
        <v>0</v>
      </c>
      <c r="C270">
        <v>1</v>
      </c>
      <c r="D270">
        <v>18.899999999999999</v>
      </c>
      <c r="E270">
        <v>39</v>
      </c>
      <c r="F270">
        <v>3.4055234639800716E-2</v>
      </c>
      <c r="G270" t="str">
        <f t="shared" si="27"/>
        <v>Insert into BlueCreditTypeRainbow Values (3, 0, 1, 18.9, 39, 0.0340552346398007)</v>
      </c>
      <c r="N270" s="4">
        <v>267</v>
      </c>
      <c r="O270" s="8">
        <f>$B$7*COUNTIF(Sheet2!$B$1:$B$132,N270)</f>
        <v>0</v>
      </c>
      <c r="P270" s="8">
        <f t="shared" ca="1" si="28"/>
        <v>0</v>
      </c>
      <c r="Q270" s="8">
        <f ca="1">CEILING(R269*(IF(N270&lt;=IF($B$2=0,0,OFFSET(Sheet2!$B$1,Sheet1!$B$2-1,0)),$B$1/(365*100),$B$3/(365*100)))*100,1)/100</f>
        <v>382.19</v>
      </c>
      <c r="R270" s="9">
        <f t="shared" ca="1" si="29"/>
        <v>936598.65581148234</v>
      </c>
    </row>
    <row r="271" spans="1:18" x14ac:dyDescent="0.25">
      <c r="A271">
        <v>3</v>
      </c>
      <c r="B271">
        <v>0</v>
      </c>
      <c r="C271">
        <v>1</v>
      </c>
      <c r="D271">
        <v>18.899999999999999</v>
      </c>
      <c r="E271">
        <v>40</v>
      </c>
      <c r="F271">
        <v>3.3439872750000051E-2</v>
      </c>
      <c r="G271" t="str">
        <f t="shared" ref="G271:G334" si="30">CONCATENATE("Insert into BlueCreditTypeRainbow Values (",A271,", ",B271,", ",C271,", ",D271,", ",E271,", ",F271,")")</f>
        <v>Insert into BlueCreditTypeRainbow Values (3, 0, 1, 18.9, 40, 0.0334398727500001)</v>
      </c>
      <c r="N271" s="4">
        <v>268</v>
      </c>
      <c r="O271" s="8">
        <f>$B$7*COUNTIF(Sheet2!$B$1:$B$132,N271)</f>
        <v>0</v>
      </c>
      <c r="P271" s="8">
        <f t="shared" ca="1" si="28"/>
        <v>0</v>
      </c>
      <c r="Q271" s="8">
        <f ca="1">CEILING(R270*(IF(N271&lt;=IF($B$2=0,0,OFFSET(Sheet2!$B$1,Sheet1!$B$2-1,0)),$B$1/(365*100),$B$3/(365*100)))*100,1)/100</f>
        <v>382.34</v>
      </c>
      <c r="R271" s="9">
        <f t="shared" ca="1" si="29"/>
        <v>936980.99581148231</v>
      </c>
    </row>
    <row r="272" spans="1:18" x14ac:dyDescent="0.25">
      <c r="A272">
        <v>3</v>
      </c>
      <c r="B272">
        <v>0</v>
      </c>
      <c r="C272">
        <v>1</v>
      </c>
      <c r="D272">
        <v>18.899999999999999</v>
      </c>
      <c r="E272">
        <v>41</v>
      </c>
      <c r="F272">
        <v>3.2855343170731757E-2</v>
      </c>
      <c r="G272" t="str">
        <f t="shared" si="30"/>
        <v>Insert into BlueCreditTypeRainbow Values (3, 0, 1, 18.9, 41, 0.0328553431707318)</v>
      </c>
      <c r="N272" s="4">
        <v>269</v>
      </c>
      <c r="O272" s="8">
        <f>$B$7*COUNTIF(Sheet2!$B$1:$B$132,N272)</f>
        <v>0</v>
      </c>
      <c r="P272" s="8">
        <f t="shared" ca="1" si="28"/>
        <v>0</v>
      </c>
      <c r="Q272" s="8">
        <f ca="1">CEILING(R271*(IF(N272&lt;=IF($B$2=0,0,OFFSET(Sheet2!$B$1,Sheet1!$B$2-1,0)),$B$1/(365*100),$B$3/(365*100)))*100,1)/100</f>
        <v>382.5</v>
      </c>
      <c r="R272" s="9">
        <f t="shared" ca="1" si="29"/>
        <v>937363.49581148231</v>
      </c>
    </row>
    <row r="273" spans="1:18" x14ac:dyDescent="0.25">
      <c r="A273">
        <v>3</v>
      </c>
      <c r="B273">
        <v>0</v>
      </c>
      <c r="C273">
        <v>1</v>
      </c>
      <c r="D273">
        <v>18.899999999999999</v>
      </c>
      <c r="E273">
        <v>42</v>
      </c>
      <c r="F273">
        <v>3.2299729761904761E-2</v>
      </c>
      <c r="G273" t="str">
        <f t="shared" si="30"/>
        <v>Insert into BlueCreditTypeRainbow Values (3, 0, 1, 18.9, 42, 0.0322997297619048)</v>
      </c>
      <c r="N273" s="4">
        <v>270</v>
      </c>
      <c r="O273" s="8">
        <f>$B$7*COUNTIF(Sheet2!$B$1:$B$132,N273)</f>
        <v>0</v>
      </c>
      <c r="P273" s="8">
        <f t="shared" ca="1" si="28"/>
        <v>0</v>
      </c>
      <c r="Q273" s="8">
        <f ca="1">CEILING(R272*(IF(N273&lt;=IF($B$2=0,0,OFFSET(Sheet2!$B$1,Sheet1!$B$2-1,0)),$B$1/(365*100),$B$3/(365*100)))*100,1)/100</f>
        <v>382.65</v>
      </c>
      <c r="R273" s="9">
        <f t="shared" ca="1" si="29"/>
        <v>937746.14581148233</v>
      </c>
    </row>
    <row r="274" spans="1:18" x14ac:dyDescent="0.25">
      <c r="A274">
        <v>3</v>
      </c>
      <c r="B274">
        <v>0</v>
      </c>
      <c r="C274">
        <v>0</v>
      </c>
      <c r="D274">
        <v>18.899999999999999</v>
      </c>
      <c r="E274">
        <v>30</v>
      </c>
      <c r="F274">
        <v>4.2173790675101401E-2</v>
      </c>
      <c r="G274" t="str">
        <f t="shared" si="30"/>
        <v>Insert into BlueCreditTypeRainbow Values (3, 0, 0, 18.9, 30, 0.0421737906751014)</v>
      </c>
      <c r="N274" s="4">
        <v>271</v>
      </c>
      <c r="O274" s="8">
        <f>$B$7*COUNTIF(Sheet2!$B$1:$B$132,N274)</f>
        <v>0</v>
      </c>
      <c r="P274" s="8">
        <f t="shared" ca="1" si="28"/>
        <v>0</v>
      </c>
      <c r="Q274" s="8">
        <f ca="1">CEILING(R273*(IF(N274&lt;=IF($B$2=0,0,OFFSET(Sheet2!$B$1,Sheet1!$B$2-1,0)),$B$1/(365*100),$B$3/(365*100)))*100,1)/100</f>
        <v>382.81</v>
      </c>
      <c r="R274" s="9">
        <f t="shared" ca="1" si="29"/>
        <v>938128.95581148239</v>
      </c>
    </row>
    <row r="275" spans="1:18" x14ac:dyDescent="0.25">
      <c r="A275">
        <v>3</v>
      </c>
      <c r="B275">
        <v>0</v>
      </c>
      <c r="C275">
        <v>0</v>
      </c>
      <c r="D275">
        <v>18.899999999999999</v>
      </c>
      <c r="E275">
        <v>31</v>
      </c>
      <c r="F275">
        <v>4.1110778096065892E-2</v>
      </c>
      <c r="G275" t="str">
        <f t="shared" si="30"/>
        <v>Insert into BlueCreditTypeRainbow Values (3, 0, 0, 18.9, 31, 0.0411107780960659)</v>
      </c>
      <c r="N275" s="4">
        <v>272</v>
      </c>
      <c r="O275" s="8">
        <f>$B$7*COUNTIF(Sheet2!$B$1:$B$132,N275)</f>
        <v>0</v>
      </c>
      <c r="P275" s="8">
        <f t="shared" ca="1" si="28"/>
        <v>0</v>
      </c>
      <c r="Q275" s="8">
        <f ca="1">CEILING(R274*(IF(N275&lt;=IF($B$2=0,0,OFFSET(Sheet2!$B$1,Sheet1!$B$2-1,0)),$B$1/(365*100),$B$3/(365*100)))*100,1)/100</f>
        <v>382.97</v>
      </c>
      <c r="R275" s="9">
        <f t="shared" ca="1" si="29"/>
        <v>938511.92581148236</v>
      </c>
    </row>
    <row r="276" spans="1:18" x14ac:dyDescent="0.25">
      <c r="A276">
        <v>3</v>
      </c>
      <c r="B276">
        <v>0</v>
      </c>
      <c r="C276">
        <v>0</v>
      </c>
      <c r="D276">
        <v>18.899999999999999</v>
      </c>
      <c r="E276">
        <v>32</v>
      </c>
      <c r="F276">
        <v>4.011523503006497E-2</v>
      </c>
      <c r="G276" t="str">
        <f t="shared" si="30"/>
        <v>Insert into BlueCreditTypeRainbow Values (3, 0, 0, 18.9, 32, 0.040115235030065)</v>
      </c>
      <c r="N276" s="4">
        <v>273</v>
      </c>
      <c r="O276" s="8">
        <f>$B$7*COUNTIF(Sheet2!$B$1:$B$132,N276)</f>
        <v>0</v>
      </c>
      <c r="P276" s="8">
        <f t="shared" ca="1" si="28"/>
        <v>0</v>
      </c>
      <c r="Q276" s="8">
        <f ca="1">CEILING(R275*(IF(N276&lt;=IF($B$2=0,0,OFFSET(Sheet2!$B$1,Sheet1!$B$2-1,0)),$B$1/(365*100),$B$3/(365*100)))*100,1)/100</f>
        <v>383.12</v>
      </c>
      <c r="R276" s="9">
        <f t="shared" ca="1" si="29"/>
        <v>938895.04581148236</v>
      </c>
    </row>
    <row r="277" spans="1:18" x14ac:dyDescent="0.25">
      <c r="A277">
        <v>3</v>
      </c>
      <c r="B277">
        <v>0</v>
      </c>
      <c r="C277">
        <v>0</v>
      </c>
      <c r="D277">
        <v>18.899999999999999</v>
      </c>
      <c r="E277">
        <v>33</v>
      </c>
      <c r="F277">
        <v>3.918151911511901E-2</v>
      </c>
      <c r="G277" t="str">
        <f t="shared" si="30"/>
        <v>Insert into BlueCreditTypeRainbow Values (3, 0, 0, 18.9, 33, 0.039181519115119)</v>
      </c>
      <c r="N277" s="4">
        <v>274</v>
      </c>
      <c r="O277" s="8">
        <f>$B$7*COUNTIF(Sheet2!$B$1:$B$132,N277)</f>
        <v>21157.10552356458</v>
      </c>
      <c r="P277" s="8">
        <f t="shared" ca="1" si="28"/>
        <v>20773.825523564581</v>
      </c>
      <c r="Q277" s="8">
        <f ca="1">CEILING(R276*(IF(N277&lt;=IF($B$2=0,0,OFFSET(Sheet2!$B$1,Sheet1!$B$2-1,0)),$B$1/(365*100),$B$3/(365*100)))*100,1)/100</f>
        <v>383.28</v>
      </c>
      <c r="R277" s="9">
        <f t="shared" ca="1" si="29"/>
        <v>918121.22028791776</v>
      </c>
    </row>
    <row r="278" spans="1:18" x14ac:dyDescent="0.25">
      <c r="A278">
        <v>3</v>
      </c>
      <c r="B278">
        <v>0</v>
      </c>
      <c r="C278">
        <v>0</v>
      </c>
      <c r="D278">
        <v>18.899999999999999</v>
      </c>
      <c r="E278">
        <v>34</v>
      </c>
      <c r="F278">
        <v>3.8303699117647111E-2</v>
      </c>
      <c r="G278" t="str">
        <f t="shared" si="30"/>
        <v>Insert into BlueCreditTypeRainbow Values (3, 0, 0, 18.9, 34, 0.0383036991176471)</v>
      </c>
      <c r="N278" s="4">
        <v>275</v>
      </c>
      <c r="O278" s="8">
        <f>$B$7*COUNTIF(Sheet2!$B$1:$B$132,N278)</f>
        <v>0</v>
      </c>
      <c r="P278" s="8">
        <f t="shared" ca="1" si="28"/>
        <v>0</v>
      </c>
      <c r="Q278" s="8">
        <f ca="1">CEILING(R277*(IF(N278&lt;=IF($B$2=0,0,OFFSET(Sheet2!$B$1,Sheet1!$B$2-1,0)),$B$1/(365*100),$B$3/(365*100)))*100,1)/100</f>
        <v>374.8</v>
      </c>
      <c r="R278" s="9">
        <f t="shared" ca="1" si="29"/>
        <v>918496.02028791781</v>
      </c>
    </row>
    <row r="279" spans="1:18" x14ac:dyDescent="0.25">
      <c r="A279">
        <v>3</v>
      </c>
      <c r="B279">
        <v>0</v>
      </c>
      <c r="C279">
        <v>0</v>
      </c>
      <c r="D279">
        <v>18.899999999999999</v>
      </c>
      <c r="E279">
        <v>35</v>
      </c>
      <c r="F279">
        <v>3.7477439142857193E-2</v>
      </c>
      <c r="G279" t="str">
        <f t="shared" si="30"/>
        <v>Insert into BlueCreditTypeRainbow Values (3, 0, 0, 18.9, 35, 0.0374774391428572)</v>
      </c>
      <c r="N279" s="4">
        <v>276</v>
      </c>
      <c r="O279" s="8">
        <f>$B$7*COUNTIF(Sheet2!$B$1:$B$132,N279)</f>
        <v>0</v>
      </c>
      <c r="P279" s="8">
        <f t="shared" ca="1" si="28"/>
        <v>0</v>
      </c>
      <c r="Q279" s="8">
        <f ca="1">CEILING(R278*(IF(N279&lt;=IF($B$2=0,0,OFFSET(Sheet2!$B$1,Sheet1!$B$2-1,0)),$B$1/(365*100),$B$3/(365*100)))*100,1)/100</f>
        <v>374.95</v>
      </c>
      <c r="R279" s="9">
        <f t="shared" ca="1" si="29"/>
        <v>918870.97028791776</v>
      </c>
    </row>
    <row r="280" spans="1:18" x14ac:dyDescent="0.25">
      <c r="A280">
        <v>3</v>
      </c>
      <c r="B280">
        <v>0</v>
      </c>
      <c r="C280">
        <v>0</v>
      </c>
      <c r="D280">
        <v>18.899999999999999</v>
      </c>
      <c r="E280">
        <v>36</v>
      </c>
      <c r="F280">
        <v>3.669800637731483E-2</v>
      </c>
      <c r="G280" t="str">
        <f t="shared" si="30"/>
        <v>Insert into BlueCreditTypeRainbow Values (3, 0, 0, 18.9, 36, 0.0366980063773148)</v>
      </c>
      <c r="N280" s="4">
        <v>277</v>
      </c>
      <c r="O280" s="8">
        <f>$B$7*COUNTIF(Sheet2!$B$1:$B$132,N280)</f>
        <v>0</v>
      </c>
      <c r="P280" s="8">
        <f t="shared" ca="1" si="28"/>
        <v>0</v>
      </c>
      <c r="Q280" s="8">
        <f ca="1">CEILING(R279*(IF(N280&lt;=IF($B$2=0,0,OFFSET(Sheet2!$B$1,Sheet1!$B$2-1,0)),$B$1/(365*100),$B$3/(365*100)))*100,1)/100</f>
        <v>375.11</v>
      </c>
      <c r="R280" s="9">
        <f t="shared" ca="1" si="29"/>
        <v>919246.08028791775</v>
      </c>
    </row>
    <row r="281" spans="1:18" x14ac:dyDescent="0.25">
      <c r="A281">
        <v>3</v>
      </c>
      <c r="B281">
        <v>0</v>
      </c>
      <c r="C281">
        <v>0</v>
      </c>
      <c r="D281">
        <v>18.899999999999999</v>
      </c>
      <c r="E281">
        <v>37</v>
      </c>
      <c r="F281">
        <v>3.59619962429997E-2</v>
      </c>
      <c r="G281" t="str">
        <f t="shared" si="30"/>
        <v>Insert into BlueCreditTypeRainbow Values (3, 0, 0, 18.9, 37, 0.0359619962429997)</v>
      </c>
      <c r="N281" s="4">
        <v>278</v>
      </c>
      <c r="O281" s="8">
        <f>$B$7*COUNTIF(Sheet2!$B$1:$B$132,N281)</f>
        <v>0</v>
      </c>
      <c r="P281" s="8">
        <f t="shared" ca="1" si="28"/>
        <v>0</v>
      </c>
      <c r="Q281" s="8">
        <f ca="1">CEILING(R280*(IF(N281&lt;=IF($B$2=0,0,OFFSET(Sheet2!$B$1,Sheet1!$B$2-1,0)),$B$1/(365*100),$B$3/(365*100)))*100,1)/100</f>
        <v>375.26</v>
      </c>
      <c r="R281" s="9">
        <f t="shared" ca="1" si="29"/>
        <v>919621.34028791776</v>
      </c>
    </row>
    <row r="282" spans="1:18" x14ac:dyDescent="0.25">
      <c r="A282">
        <v>3</v>
      </c>
      <c r="B282">
        <v>0</v>
      </c>
      <c r="C282">
        <v>0</v>
      </c>
      <c r="D282">
        <v>18.899999999999999</v>
      </c>
      <c r="E282">
        <v>38</v>
      </c>
      <c r="F282">
        <v>3.5265624747006542E-2</v>
      </c>
      <c r="G282" t="str">
        <f t="shared" si="30"/>
        <v>Insert into BlueCreditTypeRainbow Values (3, 0, 0, 18.9, 38, 0.0352656247470065)</v>
      </c>
      <c r="N282" s="4">
        <v>279</v>
      </c>
      <c r="O282" s="8">
        <f>$B$7*COUNTIF(Sheet2!$B$1:$B$132,N282)</f>
        <v>0</v>
      </c>
      <c r="P282" s="8">
        <f t="shared" ca="1" si="28"/>
        <v>0</v>
      </c>
      <c r="Q282" s="8">
        <f ca="1">CEILING(R281*(IF(N282&lt;=IF($B$2=0,0,OFFSET(Sheet2!$B$1,Sheet1!$B$2-1,0)),$B$1/(365*100),$B$3/(365*100)))*100,1)/100</f>
        <v>375.41</v>
      </c>
      <c r="R282" s="9">
        <f t="shared" ca="1" si="29"/>
        <v>919996.75028791779</v>
      </c>
    </row>
    <row r="283" spans="1:18" x14ac:dyDescent="0.25">
      <c r="A283">
        <v>3</v>
      </c>
      <c r="B283">
        <v>0</v>
      </c>
      <c r="C283">
        <v>0</v>
      </c>
      <c r="D283">
        <v>18.899999999999999</v>
      </c>
      <c r="E283">
        <v>39</v>
      </c>
      <c r="F283">
        <v>3.4606156666666721E-2</v>
      </c>
      <c r="G283" t="str">
        <f t="shared" si="30"/>
        <v>Insert into BlueCreditTypeRainbow Values (3, 0, 0, 18.9, 39, 0.0346061566666667)</v>
      </c>
      <c r="N283" s="4">
        <v>280</v>
      </c>
      <c r="O283" s="8">
        <f>$B$7*COUNTIF(Sheet2!$B$1:$B$132,N283)</f>
        <v>0</v>
      </c>
      <c r="P283" s="8">
        <f t="shared" ca="1" si="28"/>
        <v>0</v>
      </c>
      <c r="Q283" s="8">
        <f ca="1">CEILING(R282*(IF(N283&lt;=IF($B$2=0,0,OFFSET(Sheet2!$B$1,Sheet1!$B$2-1,0)),$B$1/(365*100),$B$3/(365*100)))*100,1)/100</f>
        <v>375.57</v>
      </c>
      <c r="R283" s="9">
        <f t="shared" ca="1" si="29"/>
        <v>920372.32028791774</v>
      </c>
    </row>
    <row r="284" spans="1:18" x14ac:dyDescent="0.25">
      <c r="A284">
        <v>3</v>
      </c>
      <c r="B284">
        <v>0</v>
      </c>
      <c r="C284">
        <v>0</v>
      </c>
      <c r="D284">
        <v>18.899999999999999</v>
      </c>
      <c r="E284">
        <v>40</v>
      </c>
      <c r="F284">
        <v>3.3980842730618716E-2</v>
      </c>
      <c r="G284" t="str">
        <f t="shared" si="30"/>
        <v>Insert into BlueCreditTypeRainbow Values (3, 0, 0, 18.9, 40, 0.0339808427306187)</v>
      </c>
      <c r="N284" s="4">
        <v>281</v>
      </c>
      <c r="O284" s="8">
        <f>$B$7*COUNTIF(Sheet2!$B$1:$B$132,N284)</f>
        <v>0</v>
      </c>
      <c r="P284" s="8">
        <f t="shared" ca="1" si="28"/>
        <v>0</v>
      </c>
      <c r="Q284" s="8">
        <f ca="1">CEILING(R283*(IF(N284&lt;=IF($B$2=0,0,OFFSET(Sheet2!$B$1,Sheet1!$B$2-1,0)),$B$1/(365*100),$B$3/(365*100)))*100,1)/100</f>
        <v>375.72</v>
      </c>
      <c r="R284" s="9">
        <f t="shared" ca="1" si="29"/>
        <v>920748.04028791771</v>
      </c>
    </row>
    <row r="285" spans="1:18" x14ac:dyDescent="0.25">
      <c r="A285">
        <v>3</v>
      </c>
      <c r="B285">
        <v>0</v>
      </c>
      <c r="C285">
        <v>0</v>
      </c>
      <c r="D285">
        <v>18.899999999999999</v>
      </c>
      <c r="E285">
        <v>41</v>
      </c>
      <c r="F285">
        <v>3.3386856341463482E-2</v>
      </c>
      <c r="G285" t="str">
        <f t="shared" si="30"/>
        <v>Insert into BlueCreditTypeRainbow Values (3, 0, 0, 18.9, 41, 0.0333868563414635)</v>
      </c>
      <c r="N285" s="4">
        <v>282</v>
      </c>
      <c r="O285" s="8">
        <f>$B$7*COUNTIF(Sheet2!$B$1:$B$132,N285)</f>
        <v>0</v>
      </c>
      <c r="P285" s="8">
        <f t="shared" ca="1" si="28"/>
        <v>0</v>
      </c>
      <c r="Q285" s="8">
        <f ca="1">CEILING(R284*(IF(N285&lt;=IF($B$2=0,0,OFFSET(Sheet2!$B$1,Sheet1!$B$2-1,0)),$B$1/(365*100),$B$3/(365*100)))*100,1)/100</f>
        <v>375.87</v>
      </c>
      <c r="R285" s="9">
        <f t="shared" ca="1" si="29"/>
        <v>921123.91028791771</v>
      </c>
    </row>
    <row r="286" spans="1:18" x14ac:dyDescent="0.25">
      <c r="A286">
        <v>3</v>
      </c>
      <c r="B286">
        <v>0</v>
      </c>
      <c r="C286">
        <v>0</v>
      </c>
      <c r="D286">
        <v>18.899999999999999</v>
      </c>
      <c r="E286">
        <v>42</v>
      </c>
      <c r="F286">
        <v>3.2822259047619068E-2</v>
      </c>
      <c r="G286" t="str">
        <f t="shared" si="30"/>
        <v>Insert into BlueCreditTypeRainbow Values (3, 0, 0, 18.9, 42, 0.0328222590476191)</v>
      </c>
      <c r="N286" s="4">
        <v>283</v>
      </c>
      <c r="O286" s="8">
        <f>$B$7*COUNTIF(Sheet2!$B$1:$B$132,N286)</f>
        <v>0</v>
      </c>
      <c r="P286" s="8">
        <f t="shared" ca="1" si="28"/>
        <v>0</v>
      </c>
      <c r="Q286" s="8">
        <f ca="1">CEILING(R285*(IF(N286&lt;=IF($B$2=0,0,OFFSET(Sheet2!$B$1,Sheet1!$B$2-1,0)),$B$1/(365*100),$B$3/(365*100)))*100,1)/100</f>
        <v>376.03</v>
      </c>
      <c r="R286" s="9">
        <f t="shared" ca="1" si="29"/>
        <v>921499.94028791774</v>
      </c>
    </row>
    <row r="287" spans="1:18" x14ac:dyDescent="0.25">
      <c r="A287">
        <v>4</v>
      </c>
      <c r="B287">
        <v>0</v>
      </c>
      <c r="C287">
        <v>12</v>
      </c>
      <c r="D287">
        <v>22.9</v>
      </c>
      <c r="E287">
        <v>36</v>
      </c>
      <c r="F287">
        <v>3.2200365026915249E-2</v>
      </c>
      <c r="G287" t="str">
        <f t="shared" si="30"/>
        <v>Insert into BlueCreditTypeRainbow Values (4, 0, 12, 22.9, 36, 0.0322003650269152)</v>
      </c>
      <c r="N287" s="4">
        <v>284</v>
      </c>
      <c r="O287" s="8">
        <f>$B$7*COUNTIF(Sheet2!$B$1:$B$132,N287)</f>
        <v>0</v>
      </c>
      <c r="P287" s="8">
        <f t="shared" ca="1" si="28"/>
        <v>0</v>
      </c>
      <c r="Q287" s="8">
        <f ca="1">CEILING(R286*(IF(N287&lt;=IF($B$2=0,0,OFFSET(Sheet2!$B$1,Sheet1!$B$2-1,0)),$B$1/(365*100),$B$3/(365*100)))*100,1)/100</f>
        <v>376.18</v>
      </c>
      <c r="R287" s="9">
        <f t="shared" ca="1" si="29"/>
        <v>921876.12028791779</v>
      </c>
    </row>
    <row r="288" spans="1:18" x14ac:dyDescent="0.25">
      <c r="A288">
        <v>4</v>
      </c>
      <c r="B288">
        <v>0</v>
      </c>
      <c r="C288">
        <v>12</v>
      </c>
      <c r="D288">
        <v>22.9</v>
      </c>
      <c r="E288">
        <v>37</v>
      </c>
      <c r="F288">
        <v>3.1570418378378408E-2</v>
      </c>
      <c r="G288" t="str">
        <f t="shared" si="30"/>
        <v>Insert into BlueCreditTypeRainbow Values (4, 0, 12, 22.9, 37, 0.0315704183783784)</v>
      </c>
      <c r="N288" s="4">
        <v>285</v>
      </c>
      <c r="O288" s="8">
        <f>$B$7*COUNTIF(Sheet2!$B$1:$B$132,N288)</f>
        <v>0</v>
      </c>
      <c r="P288" s="8">
        <f t="shared" ca="1" si="28"/>
        <v>0</v>
      </c>
      <c r="Q288" s="8">
        <f ca="1">CEILING(R287*(IF(N288&lt;=IF($B$2=0,0,OFFSET(Sheet2!$B$1,Sheet1!$B$2-1,0)),$B$1/(365*100),$B$3/(365*100)))*100,1)/100</f>
        <v>376.33</v>
      </c>
      <c r="R288" s="9">
        <f t="shared" ca="1" si="29"/>
        <v>922252.45028791775</v>
      </c>
    </row>
    <row r="289" spans="1:18" x14ac:dyDescent="0.25">
      <c r="A289">
        <v>4</v>
      </c>
      <c r="B289">
        <v>0</v>
      </c>
      <c r="C289">
        <v>12</v>
      </c>
      <c r="D289">
        <v>22.9</v>
      </c>
      <c r="E289">
        <v>38</v>
      </c>
      <c r="F289">
        <v>3.0975725761374865E-2</v>
      </c>
      <c r="G289" t="str">
        <f t="shared" si="30"/>
        <v>Insert into BlueCreditTypeRainbow Values (4, 0, 12, 22.9, 38, 0.0309757257613749)</v>
      </c>
      <c r="N289" s="4">
        <v>286</v>
      </c>
      <c r="O289" s="8">
        <f>$B$7*COUNTIF(Sheet2!$B$1:$B$132,N289)</f>
        <v>0</v>
      </c>
      <c r="P289" s="8">
        <f t="shared" ca="1" si="28"/>
        <v>0</v>
      </c>
      <c r="Q289" s="8">
        <f ca="1">CEILING(R288*(IF(N289&lt;=IF($B$2=0,0,OFFSET(Sheet2!$B$1,Sheet1!$B$2-1,0)),$B$1/(365*100),$B$3/(365*100)))*100,1)/100</f>
        <v>376.49</v>
      </c>
      <c r="R289" s="9">
        <f t="shared" ca="1" si="29"/>
        <v>922628.94028791774</v>
      </c>
    </row>
    <row r="290" spans="1:18" x14ac:dyDescent="0.25">
      <c r="A290">
        <v>4</v>
      </c>
      <c r="B290">
        <v>0</v>
      </c>
      <c r="C290">
        <v>12</v>
      </c>
      <c r="D290">
        <v>22.9</v>
      </c>
      <c r="E290">
        <v>39</v>
      </c>
      <c r="F290">
        <v>3.0413848206882827E-2</v>
      </c>
      <c r="G290" t="str">
        <f t="shared" si="30"/>
        <v>Insert into BlueCreditTypeRainbow Values (4, 0, 12, 22.9, 39, 0.0304138482068828)</v>
      </c>
      <c r="N290" s="4">
        <v>287</v>
      </c>
      <c r="O290" s="8">
        <f>$B$7*COUNTIF(Sheet2!$B$1:$B$132,N290)</f>
        <v>0</v>
      </c>
      <c r="P290" s="8">
        <f t="shared" ca="1" si="28"/>
        <v>0</v>
      </c>
      <c r="Q290" s="8">
        <f ca="1">CEILING(R289*(IF(N290&lt;=IF($B$2=0,0,OFFSET(Sheet2!$B$1,Sheet1!$B$2-1,0)),$B$1/(365*100),$B$3/(365*100)))*100,1)/100</f>
        <v>376.64</v>
      </c>
      <c r="R290" s="9">
        <f t="shared" ca="1" si="29"/>
        <v>923005.58028791775</v>
      </c>
    </row>
    <row r="291" spans="1:18" x14ac:dyDescent="0.25">
      <c r="A291">
        <v>4</v>
      </c>
      <c r="B291">
        <v>0</v>
      </c>
      <c r="C291">
        <v>12</v>
      </c>
      <c r="D291">
        <v>22.9</v>
      </c>
      <c r="E291">
        <v>40</v>
      </c>
      <c r="F291">
        <v>2.9882242361039379E-2</v>
      </c>
      <c r="G291" t="str">
        <f t="shared" si="30"/>
        <v>Insert into BlueCreditTypeRainbow Values (4, 0, 12, 22.9, 40, 0.0298822423610394)</v>
      </c>
      <c r="N291" s="4">
        <v>288</v>
      </c>
      <c r="O291" s="8">
        <f>$B$7*COUNTIF(Sheet2!$B$1:$B$132,N291)</f>
        <v>0</v>
      </c>
      <c r="P291" s="8">
        <f t="shared" ca="1" si="28"/>
        <v>0</v>
      </c>
      <c r="Q291" s="8">
        <f ca="1">CEILING(R290*(IF(N291&lt;=IF($B$2=0,0,OFFSET(Sheet2!$B$1,Sheet1!$B$2-1,0)),$B$1/(365*100),$B$3/(365*100)))*100,1)/100</f>
        <v>376.79</v>
      </c>
      <c r="R291" s="9">
        <f t="shared" ca="1" si="29"/>
        <v>923382.37028791779</v>
      </c>
    </row>
    <row r="292" spans="1:18" x14ac:dyDescent="0.25">
      <c r="A292">
        <v>4</v>
      </c>
      <c r="B292">
        <v>0</v>
      </c>
      <c r="C292">
        <v>12</v>
      </c>
      <c r="D292">
        <v>22.9</v>
      </c>
      <c r="E292">
        <v>41</v>
      </c>
      <c r="F292">
        <v>2.9378314892912566E-2</v>
      </c>
      <c r="G292" t="str">
        <f t="shared" si="30"/>
        <v>Insert into BlueCreditTypeRainbow Values (4, 0, 12, 22.9, 41, 0.0293783148929126)</v>
      </c>
      <c r="N292" s="4">
        <v>289</v>
      </c>
      <c r="O292" s="8">
        <f>$B$7*COUNTIF(Sheet2!$B$1:$B$132,N292)</f>
        <v>0</v>
      </c>
      <c r="P292" s="8">
        <f t="shared" ca="1" si="28"/>
        <v>0</v>
      </c>
      <c r="Q292" s="8">
        <f ca="1">CEILING(R291*(IF(N292&lt;=IF($B$2=0,0,OFFSET(Sheet2!$B$1,Sheet1!$B$2-1,0)),$B$1/(365*100),$B$3/(365*100)))*100,1)/100</f>
        <v>376.95</v>
      </c>
      <c r="R292" s="9">
        <f t="shared" ca="1" si="29"/>
        <v>923759.32028791774</v>
      </c>
    </row>
    <row r="293" spans="1:18" x14ac:dyDescent="0.25">
      <c r="A293">
        <v>4</v>
      </c>
      <c r="B293">
        <v>0</v>
      </c>
      <c r="C293">
        <v>12</v>
      </c>
      <c r="D293">
        <v>22.9</v>
      </c>
      <c r="E293">
        <v>42</v>
      </c>
      <c r="F293">
        <v>2.8900325008792881E-2</v>
      </c>
      <c r="G293" t="str">
        <f t="shared" si="30"/>
        <v>Insert into BlueCreditTypeRainbow Values (4, 0, 12, 22.9, 42, 0.0289003250087929)</v>
      </c>
      <c r="N293" s="4">
        <v>290</v>
      </c>
      <c r="O293" s="8">
        <f>$B$7*COUNTIF(Sheet2!$B$1:$B$132,N293)</f>
        <v>0</v>
      </c>
      <c r="P293" s="8">
        <f t="shared" ca="1" si="28"/>
        <v>0</v>
      </c>
      <c r="Q293" s="8">
        <f ca="1">CEILING(R292*(IF(N293&lt;=IF($B$2=0,0,OFFSET(Sheet2!$B$1,Sheet1!$B$2-1,0)),$B$1/(365*100),$B$3/(365*100)))*100,1)/100</f>
        <v>377.1</v>
      </c>
      <c r="R293" s="9">
        <f t="shared" ca="1" si="29"/>
        <v>924136.42028791772</v>
      </c>
    </row>
    <row r="294" spans="1:18" x14ac:dyDescent="0.25">
      <c r="A294">
        <v>4</v>
      </c>
      <c r="B294">
        <v>0</v>
      </c>
      <c r="C294">
        <v>12</v>
      </c>
      <c r="D294">
        <v>22.9</v>
      </c>
      <c r="E294">
        <v>43</v>
      </c>
      <c r="F294">
        <v>2.8446133534743602E-2</v>
      </c>
      <c r="G294" t="str">
        <f t="shared" si="30"/>
        <v>Insert into BlueCreditTypeRainbow Values (4, 0, 12, 22.9, 43, 0.0284461335347436)</v>
      </c>
      <c r="N294" s="4">
        <v>291</v>
      </c>
      <c r="O294" s="8">
        <f>$B$7*COUNTIF(Sheet2!$B$1:$B$132,N294)</f>
        <v>0</v>
      </c>
      <c r="P294" s="8">
        <f t="shared" ca="1" si="28"/>
        <v>0</v>
      </c>
      <c r="Q294" s="8">
        <f ca="1">CEILING(R293*(IF(N294&lt;=IF($B$2=0,0,OFFSET(Sheet2!$B$1,Sheet1!$B$2-1,0)),$B$1/(365*100),$B$3/(365*100)))*100,1)/100</f>
        <v>377.26</v>
      </c>
      <c r="R294" s="9">
        <f t="shared" ca="1" si="29"/>
        <v>924513.68028791773</v>
      </c>
    </row>
    <row r="295" spans="1:18" x14ac:dyDescent="0.25">
      <c r="A295">
        <v>4</v>
      </c>
      <c r="B295">
        <v>0</v>
      </c>
      <c r="C295">
        <v>12</v>
      </c>
      <c r="D295">
        <v>22.9</v>
      </c>
      <c r="E295">
        <v>44</v>
      </c>
      <c r="F295">
        <v>2.8014071609031858E-2</v>
      </c>
      <c r="G295" t="str">
        <f t="shared" si="30"/>
        <v>Insert into BlueCreditTypeRainbow Values (4, 0, 12, 22.9, 44, 0.0280140716090319)</v>
      </c>
      <c r="N295" s="4">
        <v>292</v>
      </c>
      <c r="O295" s="8">
        <f>$B$7*COUNTIF(Sheet2!$B$1:$B$132,N295)</f>
        <v>0</v>
      </c>
      <c r="P295" s="8">
        <f t="shared" ca="1" si="28"/>
        <v>0</v>
      </c>
      <c r="Q295" s="8">
        <f ca="1">CEILING(R294*(IF(N295&lt;=IF($B$2=0,0,OFFSET(Sheet2!$B$1,Sheet1!$B$2-1,0)),$B$1/(365*100),$B$3/(365*100)))*100,1)/100</f>
        <v>377.41</v>
      </c>
      <c r="R295" s="9">
        <f t="shared" ca="1" si="29"/>
        <v>924891.09028791776</v>
      </c>
    </row>
    <row r="296" spans="1:18" x14ac:dyDescent="0.25">
      <c r="A296">
        <v>4</v>
      </c>
      <c r="B296">
        <v>0</v>
      </c>
      <c r="C296">
        <v>12</v>
      </c>
      <c r="D296">
        <v>22.9</v>
      </c>
      <c r="E296">
        <v>45</v>
      </c>
      <c r="F296">
        <v>2.7602895333333353E-2</v>
      </c>
      <c r="G296" t="str">
        <f t="shared" si="30"/>
        <v>Insert into BlueCreditTypeRainbow Values (4, 0, 12, 22.9, 45, 0.0276028953333334)</v>
      </c>
      <c r="N296" s="4">
        <v>293</v>
      </c>
      <c r="O296" s="8">
        <f>$B$7*COUNTIF(Sheet2!$B$1:$B$132,N296)</f>
        <v>0</v>
      </c>
      <c r="P296" s="8">
        <f t="shared" ca="1" si="28"/>
        <v>0</v>
      </c>
      <c r="Q296" s="8">
        <f ca="1">CEILING(R295*(IF(N296&lt;=IF($B$2=0,0,OFFSET(Sheet2!$B$1,Sheet1!$B$2-1,0)),$B$1/(365*100),$B$3/(365*100)))*100,1)/100</f>
        <v>377.56</v>
      </c>
      <c r="R296" s="9">
        <f t="shared" ca="1" si="29"/>
        <v>925268.65028791782</v>
      </c>
    </row>
    <row r="297" spans="1:18" x14ac:dyDescent="0.25">
      <c r="A297">
        <v>4</v>
      </c>
      <c r="B297">
        <v>0</v>
      </c>
      <c r="C297">
        <v>12</v>
      </c>
      <c r="D297">
        <v>22.9</v>
      </c>
      <c r="E297">
        <v>46</v>
      </c>
      <c r="F297">
        <v>2.7210945217391327E-2</v>
      </c>
      <c r="G297" t="str">
        <f t="shared" si="30"/>
        <v>Insert into BlueCreditTypeRainbow Values (4, 0, 12, 22.9, 46, 0.0272109452173913)</v>
      </c>
      <c r="N297" s="4">
        <v>294</v>
      </c>
      <c r="O297" s="8">
        <f>$B$7*COUNTIF(Sheet2!$B$1:$B$132,N297)</f>
        <v>0</v>
      </c>
      <c r="P297" s="8">
        <f t="shared" ca="1" si="28"/>
        <v>0</v>
      </c>
      <c r="Q297" s="8">
        <f ca="1">CEILING(R296*(IF(N297&lt;=IF($B$2=0,0,OFFSET(Sheet2!$B$1,Sheet1!$B$2-1,0)),$B$1/(365*100),$B$3/(365*100)))*100,1)/100</f>
        <v>377.72</v>
      </c>
      <c r="R297" s="9">
        <f t="shared" ca="1" si="29"/>
        <v>925646.37028791779</v>
      </c>
    </row>
    <row r="298" spans="1:18" x14ac:dyDescent="0.25">
      <c r="A298">
        <v>4</v>
      </c>
      <c r="B298">
        <v>0</v>
      </c>
      <c r="C298">
        <v>12</v>
      </c>
      <c r="D298">
        <v>22.9</v>
      </c>
      <c r="E298">
        <v>47</v>
      </c>
      <c r="F298">
        <v>2.6837211296614667E-2</v>
      </c>
      <c r="G298" t="str">
        <f t="shared" si="30"/>
        <v>Insert into BlueCreditTypeRainbow Values (4, 0, 12, 22.9, 47, 0.0268372112966147)</v>
      </c>
      <c r="N298" s="4">
        <v>295</v>
      </c>
      <c r="O298" s="8">
        <f>$B$7*COUNTIF(Sheet2!$B$1:$B$132,N298)</f>
        <v>0</v>
      </c>
      <c r="P298" s="8">
        <f t="shared" ca="1" si="28"/>
        <v>0</v>
      </c>
      <c r="Q298" s="8">
        <f ca="1">CEILING(R297*(IF(N298&lt;=IF($B$2=0,0,OFFSET(Sheet2!$B$1,Sheet1!$B$2-1,0)),$B$1/(365*100),$B$3/(365*100)))*100,1)/100</f>
        <v>377.87</v>
      </c>
      <c r="R298" s="9">
        <f t="shared" ca="1" si="29"/>
        <v>926024.24028791778</v>
      </c>
    </row>
    <row r="299" spans="1:18" x14ac:dyDescent="0.25">
      <c r="A299">
        <v>4</v>
      </c>
      <c r="B299">
        <v>0</v>
      </c>
      <c r="C299">
        <v>12</v>
      </c>
      <c r="D299">
        <v>22.9</v>
      </c>
      <c r="E299">
        <v>48</v>
      </c>
      <c r="F299">
        <v>2.6480293558484462E-2</v>
      </c>
      <c r="G299" t="str">
        <f t="shared" si="30"/>
        <v>Insert into BlueCreditTypeRainbow Values (4, 0, 12, 22.9, 48, 0.0264802935584845)</v>
      </c>
      <c r="N299" s="4">
        <v>296</v>
      </c>
      <c r="O299" s="8">
        <f>$B$7*COUNTIF(Sheet2!$B$1:$B$132,N299)</f>
        <v>0</v>
      </c>
      <c r="P299" s="8">
        <f t="shared" ca="1" si="28"/>
        <v>0</v>
      </c>
      <c r="Q299" s="8">
        <f ca="1">CEILING(R298*(IF(N299&lt;=IF($B$2=0,0,OFFSET(Sheet2!$B$1,Sheet1!$B$2-1,0)),$B$1/(365*100),$B$3/(365*100)))*100,1)/100</f>
        <v>378.03</v>
      </c>
      <c r="R299" s="9">
        <f t="shared" ca="1" si="29"/>
        <v>926402.27028791781</v>
      </c>
    </row>
    <row r="300" spans="1:18" x14ac:dyDescent="0.25">
      <c r="A300">
        <v>4</v>
      </c>
      <c r="B300">
        <v>0</v>
      </c>
      <c r="C300">
        <v>11</v>
      </c>
      <c r="D300">
        <v>22.9</v>
      </c>
      <c r="E300">
        <v>36</v>
      </c>
      <c r="F300">
        <v>3.2592712170929364E-2</v>
      </c>
      <c r="G300" t="str">
        <f t="shared" si="30"/>
        <v>Insert into BlueCreditTypeRainbow Values (4, 0, 11, 22.9, 36, 0.0325927121709294)</v>
      </c>
      <c r="N300" s="4">
        <v>297</v>
      </c>
      <c r="O300" s="8">
        <f>$B$7*COUNTIF(Sheet2!$B$1:$B$132,N300)</f>
        <v>0</v>
      </c>
      <c r="P300" s="8">
        <f t="shared" ca="1" si="28"/>
        <v>0</v>
      </c>
      <c r="Q300" s="8">
        <f ca="1">CEILING(R299*(IF(N300&lt;=IF($B$2=0,0,OFFSET(Sheet2!$B$1,Sheet1!$B$2-1,0)),$B$1/(365*100),$B$3/(365*100)))*100,1)/100</f>
        <v>378.18</v>
      </c>
      <c r="R300" s="9">
        <f t="shared" ca="1" si="29"/>
        <v>926780.45028791786</v>
      </c>
    </row>
    <row r="301" spans="1:18" x14ac:dyDescent="0.25">
      <c r="A301">
        <v>4</v>
      </c>
      <c r="B301">
        <v>0</v>
      </c>
      <c r="C301">
        <v>11</v>
      </c>
      <c r="D301">
        <v>22.9</v>
      </c>
      <c r="E301">
        <v>37</v>
      </c>
      <c r="F301">
        <v>3.1959266512723856E-2</v>
      </c>
      <c r="G301" t="str">
        <f t="shared" si="30"/>
        <v>Insert into BlueCreditTypeRainbow Values (4, 0, 11, 22.9, 37, 0.0319592665127239)</v>
      </c>
      <c r="N301" s="4">
        <v>298</v>
      </c>
      <c r="O301" s="8">
        <f>$B$7*COUNTIF(Sheet2!$B$1:$B$132,N301)</f>
        <v>0</v>
      </c>
      <c r="P301" s="8">
        <f t="shared" ca="1" si="28"/>
        <v>0</v>
      </c>
      <c r="Q301" s="8">
        <f ca="1">CEILING(R300*(IF(N301&lt;=IF($B$2=0,0,OFFSET(Sheet2!$B$1,Sheet1!$B$2-1,0)),$B$1/(365*100),$B$3/(365*100)))*100,1)/100</f>
        <v>378.33</v>
      </c>
      <c r="R301" s="9">
        <f t="shared" ca="1" si="29"/>
        <v>927158.78028791782</v>
      </c>
    </row>
    <row r="302" spans="1:18" x14ac:dyDescent="0.25">
      <c r="A302">
        <v>4</v>
      </c>
      <c r="B302">
        <v>0</v>
      </c>
      <c r="C302">
        <v>11</v>
      </c>
      <c r="D302">
        <v>22.9</v>
      </c>
      <c r="E302">
        <v>38</v>
      </c>
      <c r="F302">
        <v>3.1361113684210552E-2</v>
      </c>
      <c r="G302" t="str">
        <f t="shared" si="30"/>
        <v>Insert into BlueCreditTypeRainbow Values (4, 0, 11, 22.9, 38, 0.0313611136842106)</v>
      </c>
      <c r="N302" s="4">
        <v>299</v>
      </c>
      <c r="O302" s="8">
        <f>$B$7*COUNTIF(Sheet2!$B$1:$B$132,N302)</f>
        <v>0</v>
      </c>
      <c r="P302" s="8">
        <f t="shared" ca="1" si="28"/>
        <v>0</v>
      </c>
      <c r="Q302" s="8">
        <f ca="1">CEILING(R301*(IF(N302&lt;=IF($B$2=0,0,OFFSET(Sheet2!$B$1,Sheet1!$B$2-1,0)),$B$1/(365*100),$B$3/(365*100)))*100,1)/100</f>
        <v>378.49</v>
      </c>
      <c r="R302" s="9">
        <f t="shared" ca="1" si="29"/>
        <v>927537.27028791781</v>
      </c>
    </row>
    <row r="303" spans="1:18" x14ac:dyDescent="0.25">
      <c r="A303">
        <v>4</v>
      </c>
      <c r="B303">
        <v>0</v>
      </c>
      <c r="C303">
        <v>11</v>
      </c>
      <c r="D303">
        <v>22.9</v>
      </c>
      <c r="E303">
        <v>39</v>
      </c>
      <c r="F303">
        <v>3.0795847711035662E-2</v>
      </c>
      <c r="G303" t="str">
        <f t="shared" si="30"/>
        <v>Insert into BlueCreditTypeRainbow Values (4, 0, 11, 22.9, 39, 0.0307958477110357)</v>
      </c>
      <c r="N303" s="4">
        <v>300</v>
      </c>
      <c r="O303" s="8">
        <f>$B$7*COUNTIF(Sheet2!$B$1:$B$132,N303)</f>
        <v>0</v>
      </c>
      <c r="P303" s="8">
        <f t="shared" ca="1" si="28"/>
        <v>0</v>
      </c>
      <c r="Q303" s="8">
        <f ca="1">CEILING(R302*(IF(N303&lt;=IF($B$2=0,0,OFFSET(Sheet2!$B$1,Sheet1!$B$2-1,0)),$B$1/(365*100),$B$3/(365*100)))*100,1)/100</f>
        <v>378.64</v>
      </c>
      <c r="R303" s="9">
        <f t="shared" ca="1" si="29"/>
        <v>927915.91028791782</v>
      </c>
    </row>
    <row r="304" spans="1:18" x14ac:dyDescent="0.25">
      <c r="A304">
        <v>4</v>
      </c>
      <c r="B304">
        <v>0</v>
      </c>
      <c r="C304">
        <v>11</v>
      </c>
      <c r="D304">
        <v>22.9</v>
      </c>
      <c r="E304">
        <v>40</v>
      </c>
      <c r="F304">
        <v>3.0260906052004832E-2</v>
      </c>
      <c r="G304" t="str">
        <f t="shared" si="30"/>
        <v>Insert into BlueCreditTypeRainbow Values (4, 0, 11, 22.9, 40, 0.0302609060520048)</v>
      </c>
      <c r="N304" s="4">
        <v>301</v>
      </c>
      <c r="O304" s="8">
        <f>$B$7*COUNTIF(Sheet2!$B$1:$B$132,N304)</f>
        <v>0</v>
      </c>
      <c r="P304" s="8">
        <f t="shared" ca="1" si="28"/>
        <v>0</v>
      </c>
      <c r="Q304" s="8">
        <f ca="1">CEILING(R303*(IF(N304&lt;=IF($B$2=0,0,OFFSET(Sheet2!$B$1,Sheet1!$B$2-1,0)),$B$1/(365*100),$B$3/(365*100)))*100,1)/100</f>
        <v>378.8</v>
      </c>
      <c r="R304" s="9">
        <f t="shared" ca="1" si="29"/>
        <v>928294.71028791787</v>
      </c>
    </row>
    <row r="305" spans="1:18" x14ac:dyDescent="0.25">
      <c r="A305">
        <v>4</v>
      </c>
      <c r="B305">
        <v>0</v>
      </c>
      <c r="C305">
        <v>11</v>
      </c>
      <c r="D305">
        <v>22.9</v>
      </c>
      <c r="E305">
        <v>41</v>
      </c>
      <c r="F305">
        <v>2.9753697702384844E-2</v>
      </c>
      <c r="G305" t="str">
        <f t="shared" si="30"/>
        <v>Insert into BlueCreditTypeRainbow Values (4, 0, 11, 22.9, 41, 0.0297536977023848)</v>
      </c>
      <c r="N305" s="4">
        <v>302</v>
      </c>
      <c r="O305" s="8">
        <f>$B$7*COUNTIF(Sheet2!$B$1:$B$132,N305)</f>
        <v>0</v>
      </c>
      <c r="P305" s="8">
        <f t="shared" ca="1" si="28"/>
        <v>0</v>
      </c>
      <c r="Q305" s="8">
        <f ca="1">CEILING(R304*(IF(N305&lt;=IF($B$2=0,0,OFFSET(Sheet2!$B$1,Sheet1!$B$2-1,0)),$B$1/(365*100),$B$3/(365*100)))*100,1)/100</f>
        <v>378.95</v>
      </c>
      <c r="R305" s="9">
        <f t="shared" ca="1" si="29"/>
        <v>928673.66028791782</v>
      </c>
    </row>
    <row r="306" spans="1:18" x14ac:dyDescent="0.25">
      <c r="A306">
        <v>4</v>
      </c>
      <c r="B306">
        <v>0</v>
      </c>
      <c r="C306">
        <v>11</v>
      </c>
      <c r="D306">
        <v>22.9</v>
      </c>
      <c r="E306">
        <v>42</v>
      </c>
      <c r="F306">
        <v>2.9272509171425331E-2</v>
      </c>
      <c r="G306" t="str">
        <f t="shared" si="30"/>
        <v>Insert into BlueCreditTypeRainbow Values (4, 0, 11, 22.9, 42, 0.0292725091714253)</v>
      </c>
      <c r="N306" s="4">
        <v>303</v>
      </c>
      <c r="O306" s="8">
        <f>$B$7*COUNTIF(Sheet2!$B$1:$B$132,N306)</f>
        <v>0</v>
      </c>
      <c r="P306" s="8">
        <f t="shared" ca="1" si="28"/>
        <v>0</v>
      </c>
      <c r="Q306" s="8">
        <f ca="1">CEILING(R305*(IF(N306&lt;=IF($B$2=0,0,OFFSET(Sheet2!$B$1,Sheet1!$B$2-1,0)),$B$1/(365*100),$B$3/(365*100)))*100,1)/100</f>
        <v>379.11</v>
      </c>
      <c r="R306" s="9">
        <f t="shared" ca="1" si="29"/>
        <v>929052.77028791781</v>
      </c>
    </row>
    <row r="307" spans="1:18" x14ac:dyDescent="0.25">
      <c r="A307">
        <v>4</v>
      </c>
      <c r="B307">
        <v>0</v>
      </c>
      <c r="C307">
        <v>11</v>
      </c>
      <c r="D307">
        <v>22.9</v>
      </c>
      <c r="E307">
        <v>43</v>
      </c>
      <c r="F307">
        <v>2.88151816397101E-2</v>
      </c>
      <c r="G307" t="str">
        <f t="shared" si="30"/>
        <v>Insert into BlueCreditTypeRainbow Values (4, 0, 11, 22.9, 43, 0.0288151816397101)</v>
      </c>
      <c r="N307" s="4">
        <v>304</v>
      </c>
      <c r="O307" s="8">
        <f>$B$7*COUNTIF(Sheet2!$B$1:$B$132,N307)</f>
        <v>21157.10552356458</v>
      </c>
      <c r="P307" s="8">
        <f t="shared" ca="1" si="28"/>
        <v>20777.845523564582</v>
      </c>
      <c r="Q307" s="8">
        <f ca="1">CEILING(R306*(IF(N307&lt;=IF($B$2=0,0,OFFSET(Sheet2!$B$1,Sheet1!$B$2-1,0)),$B$1/(365*100),$B$3/(365*100)))*100,1)/100</f>
        <v>379.26</v>
      </c>
      <c r="R307" s="9">
        <f t="shared" ca="1" si="29"/>
        <v>908274.9247643532</v>
      </c>
    </row>
    <row r="308" spans="1:18" x14ac:dyDescent="0.25">
      <c r="A308">
        <v>4</v>
      </c>
      <c r="B308">
        <v>0</v>
      </c>
      <c r="C308">
        <v>11</v>
      </c>
      <c r="D308">
        <v>22.9</v>
      </c>
      <c r="E308">
        <v>44</v>
      </c>
      <c r="F308">
        <v>2.8380066596029135E-2</v>
      </c>
      <c r="G308" t="str">
        <f t="shared" si="30"/>
        <v>Insert into BlueCreditTypeRainbow Values (4, 0, 11, 22.9, 44, 0.0283800665960291)</v>
      </c>
      <c r="N308" s="4">
        <v>305</v>
      </c>
      <c r="O308" s="8">
        <f>$B$7*COUNTIF(Sheet2!$B$1:$B$132,N308)</f>
        <v>0</v>
      </c>
      <c r="P308" s="8">
        <f t="shared" ca="1" si="28"/>
        <v>0</v>
      </c>
      <c r="Q308" s="8">
        <f ca="1">CEILING(R307*(IF(N308&lt;=IF($B$2=0,0,OFFSET(Sheet2!$B$1,Sheet1!$B$2-1,0)),$B$1/(365*100),$B$3/(365*100)))*100,1)/100</f>
        <v>370.78</v>
      </c>
      <c r="R308" s="9">
        <f t="shared" ca="1" si="29"/>
        <v>908645.70476435323</v>
      </c>
    </row>
    <row r="309" spans="1:18" x14ac:dyDescent="0.25">
      <c r="A309">
        <v>4</v>
      </c>
      <c r="B309">
        <v>0</v>
      </c>
      <c r="C309">
        <v>11</v>
      </c>
      <c r="D309">
        <v>22.9</v>
      </c>
      <c r="E309">
        <v>45</v>
      </c>
      <c r="F309">
        <v>2.7965905578602509E-2</v>
      </c>
      <c r="G309" t="str">
        <f t="shared" si="30"/>
        <v>Insert into BlueCreditTypeRainbow Values (4, 0, 11, 22.9, 45, 0.0279659055786025)</v>
      </c>
      <c r="N309" s="4">
        <v>306</v>
      </c>
      <c r="O309" s="8">
        <f>$B$7*COUNTIF(Sheet2!$B$1:$B$132,N309)</f>
        <v>0</v>
      </c>
      <c r="P309" s="8">
        <f t="shared" ca="1" si="28"/>
        <v>0</v>
      </c>
      <c r="Q309" s="8">
        <f ca="1">CEILING(R308*(IF(N309&lt;=IF($B$2=0,0,OFFSET(Sheet2!$B$1,Sheet1!$B$2-1,0)),$B$1/(365*100),$B$3/(365*100)))*100,1)/100</f>
        <v>370.93</v>
      </c>
      <c r="R309" s="9">
        <f t="shared" ca="1" si="29"/>
        <v>909016.63476435328</v>
      </c>
    </row>
    <row r="310" spans="1:18" x14ac:dyDescent="0.25">
      <c r="A310">
        <v>4</v>
      </c>
      <c r="B310">
        <v>0</v>
      </c>
      <c r="C310">
        <v>11</v>
      </c>
      <c r="D310">
        <v>22.9</v>
      </c>
      <c r="E310">
        <v>46</v>
      </c>
      <c r="F310">
        <v>2.7571046304347868E-2</v>
      </c>
      <c r="G310" t="str">
        <f t="shared" si="30"/>
        <v>Insert into BlueCreditTypeRainbow Values (4, 0, 11, 22.9, 46, 0.0275710463043479)</v>
      </c>
      <c r="N310" s="4">
        <v>307</v>
      </c>
      <c r="O310" s="8">
        <f>$B$7*COUNTIF(Sheet2!$B$1:$B$132,N310)</f>
        <v>0</v>
      </c>
      <c r="P310" s="8">
        <f t="shared" ca="1" si="28"/>
        <v>0</v>
      </c>
      <c r="Q310" s="8">
        <f ca="1">CEILING(R309*(IF(N310&lt;=IF($B$2=0,0,OFFSET(Sheet2!$B$1,Sheet1!$B$2-1,0)),$B$1/(365*100),$B$3/(365*100)))*100,1)/100</f>
        <v>371.08</v>
      </c>
      <c r="R310" s="9">
        <f t="shared" ca="1" si="29"/>
        <v>909387.71476435324</v>
      </c>
    </row>
    <row r="311" spans="1:18" x14ac:dyDescent="0.25">
      <c r="A311">
        <v>4</v>
      </c>
      <c r="B311">
        <v>0</v>
      </c>
      <c r="C311">
        <v>11</v>
      </c>
      <c r="D311">
        <v>22.9</v>
      </c>
      <c r="E311">
        <v>47</v>
      </c>
      <c r="F311">
        <v>2.7194479377728904E-2</v>
      </c>
      <c r="G311" t="str">
        <f t="shared" si="30"/>
        <v>Insert into BlueCreditTypeRainbow Values (4, 0, 11, 22.9, 47, 0.0271944793777289)</v>
      </c>
      <c r="N311" s="4">
        <v>308</v>
      </c>
      <c r="O311" s="8">
        <f>$B$7*COUNTIF(Sheet2!$B$1:$B$132,N311)</f>
        <v>0</v>
      </c>
      <c r="P311" s="8">
        <f t="shared" ca="1" si="28"/>
        <v>0</v>
      </c>
      <c r="Q311" s="8">
        <f ca="1">CEILING(R310*(IF(N311&lt;=IF($B$2=0,0,OFFSET(Sheet2!$B$1,Sheet1!$B$2-1,0)),$B$1/(365*100),$B$3/(365*100)))*100,1)/100</f>
        <v>371.23</v>
      </c>
      <c r="R311" s="9">
        <f t="shared" ca="1" si="29"/>
        <v>909758.94476435322</v>
      </c>
    </row>
    <row r="312" spans="1:18" x14ac:dyDescent="0.25">
      <c r="A312">
        <v>4</v>
      </c>
      <c r="B312">
        <v>0</v>
      </c>
      <c r="C312">
        <v>11</v>
      </c>
      <c r="D312">
        <v>22.9</v>
      </c>
      <c r="E312">
        <v>48</v>
      </c>
      <c r="F312">
        <v>2.6834798333333378E-2</v>
      </c>
      <c r="G312" t="str">
        <f t="shared" si="30"/>
        <v>Insert into BlueCreditTypeRainbow Values (4, 0, 11, 22.9, 48, 0.0268347983333334)</v>
      </c>
      <c r="N312" s="4">
        <v>309</v>
      </c>
      <c r="O312" s="8">
        <f>$B$7*COUNTIF(Sheet2!$B$1:$B$132,N312)</f>
        <v>0</v>
      </c>
      <c r="P312" s="8">
        <f t="shared" ca="1" si="28"/>
        <v>0</v>
      </c>
      <c r="Q312" s="8">
        <f ca="1">CEILING(R311*(IF(N312&lt;=IF($B$2=0,0,OFFSET(Sheet2!$B$1,Sheet1!$B$2-1,0)),$B$1/(365*100),$B$3/(365*100)))*100,1)/100</f>
        <v>371.39</v>
      </c>
      <c r="R312" s="9">
        <f t="shared" ca="1" si="29"/>
        <v>910130.33476435323</v>
      </c>
    </row>
    <row r="313" spans="1:18" x14ac:dyDescent="0.25">
      <c r="A313">
        <v>4</v>
      </c>
      <c r="B313">
        <v>0</v>
      </c>
      <c r="C313">
        <v>10</v>
      </c>
      <c r="D313">
        <v>22.9</v>
      </c>
      <c r="E313">
        <v>36</v>
      </c>
      <c r="F313">
        <v>3.3021317786289327E-2</v>
      </c>
      <c r="G313" t="str">
        <f t="shared" si="30"/>
        <v>Insert into BlueCreditTypeRainbow Values (4, 0, 10, 22.9, 36, 0.0330213177862893)</v>
      </c>
      <c r="N313" s="4">
        <v>310</v>
      </c>
      <c r="O313" s="8">
        <f>$B$7*COUNTIF(Sheet2!$B$1:$B$132,N313)</f>
        <v>0</v>
      </c>
      <c r="P313" s="8">
        <f t="shared" ca="1" si="28"/>
        <v>0</v>
      </c>
      <c r="Q313" s="8">
        <f ca="1">CEILING(R312*(IF(N313&lt;=IF($B$2=0,0,OFFSET(Sheet2!$B$1,Sheet1!$B$2-1,0)),$B$1/(365*100),$B$3/(365*100)))*100,1)/100</f>
        <v>371.54</v>
      </c>
      <c r="R313" s="9">
        <f t="shared" ca="1" si="29"/>
        <v>910501.87476435327</v>
      </c>
    </row>
    <row r="314" spans="1:18" x14ac:dyDescent="0.25">
      <c r="A314">
        <v>4</v>
      </c>
      <c r="B314">
        <v>0</v>
      </c>
      <c r="C314">
        <v>10</v>
      </c>
      <c r="D314">
        <v>22.9</v>
      </c>
      <c r="E314">
        <v>37</v>
      </c>
      <c r="F314">
        <v>3.2383542186607564E-2</v>
      </c>
      <c r="G314" t="str">
        <f t="shared" si="30"/>
        <v>Insert into BlueCreditTypeRainbow Values (4, 0, 10, 22.9, 37, 0.0323835421866076)</v>
      </c>
      <c r="N314" s="4">
        <v>311</v>
      </c>
      <c r="O314" s="8">
        <f>$B$7*COUNTIF(Sheet2!$B$1:$B$132,N314)</f>
        <v>0</v>
      </c>
      <c r="P314" s="8">
        <f t="shared" ca="1" si="28"/>
        <v>0</v>
      </c>
      <c r="Q314" s="8">
        <f ca="1">CEILING(R313*(IF(N314&lt;=IF($B$2=0,0,OFFSET(Sheet2!$B$1,Sheet1!$B$2-1,0)),$B$1/(365*100),$B$3/(365*100)))*100,1)/100</f>
        <v>371.69</v>
      </c>
      <c r="R314" s="9">
        <f t="shared" ca="1" si="29"/>
        <v>910873.56476435321</v>
      </c>
    </row>
    <row r="315" spans="1:18" x14ac:dyDescent="0.25">
      <c r="A315">
        <v>4</v>
      </c>
      <c r="B315">
        <v>0</v>
      </c>
      <c r="C315">
        <v>10</v>
      </c>
      <c r="D315">
        <v>22.9</v>
      </c>
      <c r="E315">
        <v>38</v>
      </c>
      <c r="F315">
        <v>3.1781161335247235E-2</v>
      </c>
      <c r="G315" t="str">
        <f t="shared" si="30"/>
        <v>Insert into BlueCreditTypeRainbow Values (4, 0, 10, 22.9, 38, 0.0317811613352472)</v>
      </c>
      <c r="N315" s="4">
        <v>312</v>
      </c>
      <c r="O315" s="8">
        <f>$B$7*COUNTIF(Sheet2!$B$1:$B$132,N315)</f>
        <v>0</v>
      </c>
      <c r="P315" s="8">
        <f t="shared" ca="1" si="28"/>
        <v>0</v>
      </c>
      <c r="Q315" s="8">
        <f ca="1">CEILING(R314*(IF(N315&lt;=IF($B$2=0,0,OFFSET(Sheet2!$B$1,Sheet1!$B$2-1,0)),$B$1/(365*100),$B$3/(365*100)))*100,1)/100</f>
        <v>371.84</v>
      </c>
      <c r="R315" s="9">
        <f t="shared" ca="1" si="29"/>
        <v>911245.40476435318</v>
      </c>
    </row>
    <row r="316" spans="1:18" x14ac:dyDescent="0.25">
      <c r="A316">
        <v>4</v>
      </c>
      <c r="B316">
        <v>0</v>
      </c>
      <c r="C316">
        <v>10</v>
      </c>
      <c r="D316">
        <v>22.9</v>
      </c>
      <c r="E316">
        <v>39</v>
      </c>
      <c r="F316">
        <v>3.1211757005000441E-2</v>
      </c>
      <c r="G316" t="str">
        <f t="shared" si="30"/>
        <v>Insert into BlueCreditTypeRainbow Values (4, 0, 10, 22.9, 39, 0.0312117570050004)</v>
      </c>
      <c r="N316" s="4">
        <v>313</v>
      </c>
      <c r="O316" s="8">
        <f>$B$7*COUNTIF(Sheet2!$B$1:$B$132,N316)</f>
        <v>0</v>
      </c>
      <c r="P316" s="8">
        <f t="shared" ca="1" si="28"/>
        <v>0</v>
      </c>
      <c r="Q316" s="8">
        <f ca="1">CEILING(R315*(IF(N316&lt;=IF($B$2=0,0,OFFSET(Sheet2!$B$1,Sheet1!$B$2-1,0)),$B$1/(365*100),$B$3/(365*100)))*100,1)/100</f>
        <v>371.99</v>
      </c>
      <c r="R316" s="9">
        <f t="shared" ca="1" si="29"/>
        <v>911617.39476435317</v>
      </c>
    </row>
    <row r="317" spans="1:18" x14ac:dyDescent="0.25">
      <c r="A317">
        <v>4</v>
      </c>
      <c r="B317">
        <v>0</v>
      </c>
      <c r="C317">
        <v>10</v>
      </c>
      <c r="D317">
        <v>22.9</v>
      </c>
      <c r="E317">
        <v>40</v>
      </c>
      <c r="F317">
        <v>3.0672795443959219E-2</v>
      </c>
      <c r="G317" t="str">
        <f t="shared" si="30"/>
        <v>Insert into BlueCreditTypeRainbow Values (4, 0, 10, 22.9, 40, 0.0306727954439592)</v>
      </c>
      <c r="N317" s="4">
        <v>314</v>
      </c>
      <c r="O317" s="8">
        <f>$B$7*COUNTIF(Sheet2!$B$1:$B$132,N317)</f>
        <v>0</v>
      </c>
      <c r="P317" s="8">
        <f t="shared" ca="1" si="28"/>
        <v>0</v>
      </c>
      <c r="Q317" s="8">
        <f ca="1">CEILING(R316*(IF(N317&lt;=IF($B$2=0,0,OFFSET(Sheet2!$B$1,Sheet1!$B$2-1,0)),$B$1/(365*100),$B$3/(365*100)))*100,1)/100</f>
        <v>372.14</v>
      </c>
      <c r="R317" s="9">
        <f t="shared" ca="1" si="29"/>
        <v>911989.53476435319</v>
      </c>
    </row>
    <row r="318" spans="1:18" x14ac:dyDescent="0.25">
      <c r="A318">
        <v>4</v>
      </c>
      <c r="B318">
        <v>0</v>
      </c>
      <c r="C318">
        <v>10</v>
      </c>
      <c r="D318">
        <v>22.9</v>
      </c>
      <c r="E318">
        <v>41</v>
      </c>
      <c r="F318">
        <v>3.0161678536585364E-2</v>
      </c>
      <c r="G318" t="str">
        <f t="shared" si="30"/>
        <v>Insert into BlueCreditTypeRainbow Values (4, 0, 10, 22.9, 41, 0.0301616785365854)</v>
      </c>
      <c r="N318" s="4">
        <v>315</v>
      </c>
      <c r="O318" s="8">
        <f>$B$7*COUNTIF(Sheet2!$B$1:$B$132,N318)</f>
        <v>0</v>
      </c>
      <c r="P318" s="8">
        <f t="shared" ca="1" si="28"/>
        <v>0</v>
      </c>
      <c r="Q318" s="8">
        <f ca="1">CEILING(R317*(IF(N318&lt;=IF($B$2=0,0,OFFSET(Sheet2!$B$1,Sheet1!$B$2-1,0)),$B$1/(365*100),$B$3/(365*100)))*100,1)/100</f>
        <v>372.3</v>
      </c>
      <c r="R318" s="9">
        <f t="shared" ca="1" si="29"/>
        <v>912361.83476435323</v>
      </c>
    </row>
    <row r="319" spans="1:18" x14ac:dyDescent="0.25">
      <c r="A319">
        <v>4</v>
      </c>
      <c r="B319">
        <v>0</v>
      </c>
      <c r="C319">
        <v>10</v>
      </c>
      <c r="D319">
        <v>22.9</v>
      </c>
      <c r="E319">
        <v>42</v>
      </c>
      <c r="F319">
        <v>2.9676673116747078E-2</v>
      </c>
      <c r="G319" t="str">
        <f t="shared" si="30"/>
        <v>Insert into BlueCreditTypeRainbow Values (4, 0, 10, 22.9, 42, 0.0296766731167471)</v>
      </c>
      <c r="N319" s="4">
        <v>316</v>
      </c>
      <c r="O319" s="8">
        <f>$B$7*COUNTIF(Sheet2!$B$1:$B$132,N319)</f>
        <v>0</v>
      </c>
      <c r="P319" s="8">
        <f t="shared" ca="1" si="28"/>
        <v>0</v>
      </c>
      <c r="Q319" s="8">
        <f ca="1">CEILING(R318*(IF(N319&lt;=IF($B$2=0,0,OFFSET(Sheet2!$B$1,Sheet1!$B$2-1,0)),$B$1/(365*100),$B$3/(365*100)))*100,1)/100</f>
        <v>372.45</v>
      </c>
      <c r="R319" s="9">
        <f t="shared" ca="1" si="29"/>
        <v>912734.28476435319</v>
      </c>
    </row>
    <row r="320" spans="1:18" x14ac:dyDescent="0.25">
      <c r="A320">
        <v>4</v>
      </c>
      <c r="B320">
        <v>0</v>
      </c>
      <c r="C320">
        <v>10</v>
      </c>
      <c r="D320">
        <v>22.9</v>
      </c>
      <c r="E320">
        <v>43</v>
      </c>
      <c r="F320">
        <v>2.921563954080536E-2</v>
      </c>
      <c r="G320" t="str">
        <f t="shared" si="30"/>
        <v>Insert into BlueCreditTypeRainbow Values (4, 0, 10, 22.9, 43, 0.0292156395408054)</v>
      </c>
      <c r="N320" s="4">
        <v>317</v>
      </c>
      <c r="O320" s="8">
        <f>$B$7*COUNTIF(Sheet2!$B$1:$B$132,N320)</f>
        <v>0</v>
      </c>
      <c r="P320" s="8">
        <f t="shared" ca="1" si="28"/>
        <v>0</v>
      </c>
      <c r="Q320" s="8">
        <f ca="1">CEILING(R319*(IF(N320&lt;=IF($B$2=0,0,OFFSET(Sheet2!$B$1,Sheet1!$B$2-1,0)),$B$1/(365*100),$B$3/(365*100)))*100,1)/100</f>
        <v>372.6</v>
      </c>
      <c r="R320" s="9">
        <f t="shared" ca="1" si="29"/>
        <v>913106.88476435316</v>
      </c>
    </row>
    <row r="321" spans="1:18" x14ac:dyDescent="0.25">
      <c r="A321">
        <v>4</v>
      </c>
      <c r="B321">
        <v>0</v>
      </c>
      <c r="C321">
        <v>10</v>
      </c>
      <c r="D321">
        <v>22.9</v>
      </c>
      <c r="E321">
        <v>44</v>
      </c>
      <c r="F321">
        <v>2.877692500000005E-2</v>
      </c>
      <c r="G321" t="str">
        <f t="shared" si="30"/>
        <v>Insert into BlueCreditTypeRainbow Values (4, 0, 10, 22.9, 44, 0.0287769250000001)</v>
      </c>
      <c r="N321" s="4">
        <v>318</v>
      </c>
      <c r="O321" s="8">
        <f>$B$7*COUNTIF(Sheet2!$B$1:$B$132,N321)</f>
        <v>0</v>
      </c>
      <c r="P321" s="8">
        <f t="shared" ca="1" si="28"/>
        <v>0</v>
      </c>
      <c r="Q321" s="8">
        <f ca="1">CEILING(R320*(IF(N321&lt;=IF($B$2=0,0,OFFSET(Sheet2!$B$1,Sheet1!$B$2-1,0)),$B$1/(365*100),$B$3/(365*100)))*100,1)/100</f>
        <v>372.75</v>
      </c>
      <c r="R321" s="9">
        <f t="shared" ca="1" si="29"/>
        <v>913479.63476435316</v>
      </c>
    </row>
    <row r="322" spans="1:18" x14ac:dyDescent="0.25">
      <c r="A322">
        <v>4</v>
      </c>
      <c r="B322">
        <v>0</v>
      </c>
      <c r="C322">
        <v>10</v>
      </c>
      <c r="D322">
        <v>22.9</v>
      </c>
      <c r="E322">
        <v>45</v>
      </c>
      <c r="F322">
        <v>2.8359266774385349E-2</v>
      </c>
      <c r="G322" t="str">
        <f t="shared" si="30"/>
        <v>Insert into BlueCreditTypeRainbow Values (4, 0, 10, 22.9, 45, 0.0283592667743853)</v>
      </c>
      <c r="N322" s="4">
        <v>319</v>
      </c>
      <c r="O322" s="8">
        <f>$B$7*COUNTIF(Sheet2!$B$1:$B$132,N322)</f>
        <v>0</v>
      </c>
      <c r="P322" s="8">
        <f t="shared" ca="1" si="28"/>
        <v>0</v>
      </c>
      <c r="Q322" s="8">
        <f ca="1">CEILING(R321*(IF(N322&lt;=IF($B$2=0,0,OFFSET(Sheet2!$B$1,Sheet1!$B$2-1,0)),$B$1/(365*100),$B$3/(365*100)))*100,1)/100</f>
        <v>372.9</v>
      </c>
      <c r="R322" s="9">
        <f t="shared" ca="1" si="29"/>
        <v>913852.53476435319</v>
      </c>
    </row>
    <row r="323" spans="1:18" x14ac:dyDescent="0.25">
      <c r="A323">
        <v>4</v>
      </c>
      <c r="B323">
        <v>0</v>
      </c>
      <c r="C323">
        <v>10</v>
      </c>
      <c r="D323">
        <v>22.9</v>
      </c>
      <c r="E323">
        <v>46</v>
      </c>
      <c r="F323">
        <v>2.7961006541623933E-2</v>
      </c>
      <c r="G323" t="str">
        <f t="shared" si="30"/>
        <v>Insert into BlueCreditTypeRainbow Values (4, 0, 10, 22.9, 46, 0.0279610065416239)</v>
      </c>
      <c r="N323" s="4">
        <v>320</v>
      </c>
      <c r="O323" s="8">
        <f>$B$7*COUNTIF(Sheet2!$B$1:$B$132,N323)</f>
        <v>0</v>
      </c>
      <c r="P323" s="8">
        <f t="shared" ca="1" si="28"/>
        <v>0</v>
      </c>
      <c r="Q323" s="8">
        <f ca="1">CEILING(R322*(IF(N323&lt;=IF($B$2=0,0,OFFSET(Sheet2!$B$1,Sheet1!$B$2-1,0)),$B$1/(365*100),$B$3/(365*100)))*100,1)/100</f>
        <v>373.06</v>
      </c>
      <c r="R323" s="9">
        <f t="shared" ca="1" si="29"/>
        <v>914225.59476435324</v>
      </c>
    </row>
    <row r="324" spans="1:18" x14ac:dyDescent="0.25">
      <c r="A324">
        <v>4</v>
      </c>
      <c r="B324">
        <v>0</v>
      </c>
      <c r="C324">
        <v>10</v>
      </c>
      <c r="D324">
        <v>22.9</v>
      </c>
      <c r="E324">
        <v>47</v>
      </c>
      <c r="F324">
        <v>2.7581142553191471E-2</v>
      </c>
      <c r="G324" t="str">
        <f t="shared" si="30"/>
        <v>Insert into BlueCreditTypeRainbow Values (4, 0, 10, 22.9, 47, 0.0275811425531915)</v>
      </c>
      <c r="N324" s="4">
        <v>321</v>
      </c>
      <c r="O324" s="8">
        <f>$B$7*COUNTIF(Sheet2!$B$1:$B$132,N324)</f>
        <v>0</v>
      </c>
      <c r="P324" s="8">
        <f t="shared" ca="1" si="28"/>
        <v>0</v>
      </c>
      <c r="Q324" s="8">
        <f ca="1">CEILING(R323*(IF(N324&lt;=IF($B$2=0,0,OFFSET(Sheet2!$B$1,Sheet1!$B$2-1,0)),$B$1/(365*100),$B$3/(365*100)))*100,1)/100</f>
        <v>373.21</v>
      </c>
      <c r="R324" s="9">
        <f t="shared" ca="1" si="29"/>
        <v>914598.8047643532</v>
      </c>
    </row>
    <row r="325" spans="1:18" x14ac:dyDescent="0.25">
      <c r="A325">
        <v>4</v>
      </c>
      <c r="B325">
        <v>0</v>
      </c>
      <c r="C325">
        <v>10</v>
      </c>
      <c r="D325">
        <v>22.9</v>
      </c>
      <c r="E325">
        <v>48</v>
      </c>
      <c r="F325">
        <v>2.721825270833338E-2</v>
      </c>
      <c r="G325" t="str">
        <f t="shared" si="30"/>
        <v>Insert into BlueCreditTypeRainbow Values (4, 0, 10, 22.9, 48, 0.0272182527083334)</v>
      </c>
      <c r="N325" s="4">
        <v>322</v>
      </c>
      <c r="O325" s="8">
        <f>$B$7*COUNTIF(Sheet2!$B$1:$B$132,N325)</f>
        <v>0</v>
      </c>
      <c r="P325" s="8">
        <f t="shared" ref="P325:P388" ca="1" si="31">IF(O325-Q325&gt; 0, O325-Q325, 0)</f>
        <v>0</v>
      </c>
      <c r="Q325" s="8">
        <f ca="1">CEILING(R324*(IF(N325&lt;=IF($B$2=0,0,OFFSET(Sheet2!$B$1,Sheet1!$B$2-1,0)),$B$1/(365*100),$B$3/(365*100)))*100,1)/100</f>
        <v>373.36</v>
      </c>
      <c r="R325" s="9">
        <f t="shared" ref="R325:R388" ca="1" si="32">R324+Q325-O325</f>
        <v>914972.16476435319</v>
      </c>
    </row>
    <row r="326" spans="1:18" x14ac:dyDescent="0.25">
      <c r="A326">
        <v>4</v>
      </c>
      <c r="B326">
        <v>0</v>
      </c>
      <c r="C326">
        <v>9</v>
      </c>
      <c r="D326">
        <v>22.9</v>
      </c>
      <c r="E326">
        <v>36</v>
      </c>
      <c r="F326">
        <v>3.3459652464550675E-2</v>
      </c>
      <c r="G326" t="str">
        <f t="shared" si="30"/>
        <v>Insert into BlueCreditTypeRainbow Values (4, 0, 9, 22.9, 36, 0.0334596524645507)</v>
      </c>
      <c r="N326" s="4">
        <v>323</v>
      </c>
      <c r="O326" s="8">
        <f>$B$7*COUNTIF(Sheet2!$B$1:$B$132,N326)</f>
        <v>0</v>
      </c>
      <c r="P326" s="8">
        <f t="shared" ca="1" si="31"/>
        <v>0</v>
      </c>
      <c r="Q326" s="8">
        <f ca="1">CEILING(R325*(IF(N326&lt;=IF($B$2=0,0,OFFSET(Sheet2!$B$1,Sheet1!$B$2-1,0)),$B$1/(365*100),$B$3/(365*100)))*100,1)/100</f>
        <v>373.51</v>
      </c>
      <c r="R326" s="9">
        <f t="shared" ca="1" si="32"/>
        <v>915345.6747643532</v>
      </c>
    </row>
    <row r="327" spans="1:18" x14ac:dyDescent="0.25">
      <c r="A327">
        <v>4</v>
      </c>
      <c r="B327">
        <v>0</v>
      </c>
      <c r="C327">
        <v>9</v>
      </c>
      <c r="D327">
        <v>22.9</v>
      </c>
      <c r="E327">
        <v>37</v>
      </c>
      <c r="F327">
        <v>3.2816973545595415E-2</v>
      </c>
      <c r="G327" t="str">
        <f t="shared" si="30"/>
        <v>Insert into BlueCreditTypeRainbow Values (4, 0, 9, 22.9, 37, 0.0328169735455954)</v>
      </c>
      <c r="N327" s="4">
        <v>324</v>
      </c>
      <c r="O327" s="8">
        <f>$B$7*COUNTIF(Sheet2!$B$1:$B$132,N327)</f>
        <v>0</v>
      </c>
      <c r="P327" s="8">
        <f t="shared" ca="1" si="31"/>
        <v>0</v>
      </c>
      <c r="Q327" s="8">
        <f ca="1">CEILING(R326*(IF(N327&lt;=IF($B$2=0,0,OFFSET(Sheet2!$B$1,Sheet1!$B$2-1,0)),$B$1/(365*100),$B$3/(365*100)))*100,1)/100</f>
        <v>373.67</v>
      </c>
      <c r="R327" s="9">
        <f t="shared" ca="1" si="32"/>
        <v>915719.34476435324</v>
      </c>
    </row>
    <row r="328" spans="1:18" x14ac:dyDescent="0.25">
      <c r="A328">
        <v>4</v>
      </c>
      <c r="B328">
        <v>0</v>
      </c>
      <c r="C328">
        <v>9</v>
      </c>
      <c r="D328">
        <v>22.9</v>
      </c>
      <c r="E328">
        <v>38</v>
      </c>
      <c r="F328">
        <v>3.2209829739097064E-2</v>
      </c>
      <c r="G328" t="str">
        <f t="shared" si="30"/>
        <v>Insert into BlueCreditTypeRainbow Values (4, 0, 9, 22.9, 38, 0.0322098297390971)</v>
      </c>
      <c r="N328" s="4">
        <v>325</v>
      </c>
      <c r="O328" s="8">
        <f>$B$7*COUNTIF(Sheet2!$B$1:$B$132,N328)</f>
        <v>0</v>
      </c>
      <c r="P328" s="8">
        <f t="shared" ca="1" si="31"/>
        <v>0</v>
      </c>
      <c r="Q328" s="8">
        <f ca="1">CEILING(R327*(IF(N328&lt;=IF($B$2=0,0,OFFSET(Sheet2!$B$1,Sheet1!$B$2-1,0)),$B$1/(365*100),$B$3/(365*100)))*100,1)/100</f>
        <v>373.82</v>
      </c>
      <c r="R328" s="9">
        <f t="shared" ca="1" si="32"/>
        <v>916093.16476435319</v>
      </c>
    </row>
    <row r="329" spans="1:18" x14ac:dyDescent="0.25">
      <c r="A329">
        <v>4</v>
      </c>
      <c r="B329">
        <v>0</v>
      </c>
      <c r="C329">
        <v>9</v>
      </c>
      <c r="D329">
        <v>22.9</v>
      </c>
      <c r="E329">
        <v>39</v>
      </c>
      <c r="F329">
        <v>3.1635808717948716E-2</v>
      </c>
      <c r="G329" t="str">
        <f t="shared" si="30"/>
        <v>Insert into BlueCreditTypeRainbow Values (4, 0, 9, 22.9, 39, 0.0316358087179487)</v>
      </c>
      <c r="N329" s="4">
        <v>326</v>
      </c>
      <c r="O329" s="8">
        <f>$B$7*COUNTIF(Sheet2!$B$1:$B$132,N329)</f>
        <v>0</v>
      </c>
      <c r="P329" s="8">
        <f t="shared" ca="1" si="31"/>
        <v>0</v>
      </c>
      <c r="Q329" s="8">
        <f ca="1">CEILING(R328*(IF(N329&lt;=IF($B$2=0,0,OFFSET(Sheet2!$B$1,Sheet1!$B$2-1,0)),$B$1/(365*100),$B$3/(365*100)))*100,1)/100</f>
        <v>373.97</v>
      </c>
      <c r="R329" s="9">
        <f t="shared" ca="1" si="32"/>
        <v>916467.13476435316</v>
      </c>
    </row>
    <row r="330" spans="1:18" x14ac:dyDescent="0.25">
      <c r="A330">
        <v>4</v>
      </c>
      <c r="B330">
        <v>0</v>
      </c>
      <c r="C330">
        <v>9</v>
      </c>
      <c r="D330">
        <v>22.9</v>
      </c>
      <c r="E330">
        <v>40</v>
      </c>
      <c r="F330">
        <v>3.1092374500084421E-2</v>
      </c>
      <c r="G330" t="str">
        <f t="shared" si="30"/>
        <v>Insert into BlueCreditTypeRainbow Values (4, 0, 9, 22.9, 40, 0.0310923745000844)</v>
      </c>
      <c r="N330" s="4">
        <v>327</v>
      </c>
      <c r="O330" s="8">
        <f>$B$7*COUNTIF(Sheet2!$B$1:$B$132,N330)</f>
        <v>0</v>
      </c>
      <c r="P330" s="8">
        <f t="shared" ca="1" si="31"/>
        <v>0</v>
      </c>
      <c r="Q330" s="8">
        <f ca="1">CEILING(R329*(IF(N330&lt;=IF($B$2=0,0,OFFSET(Sheet2!$B$1,Sheet1!$B$2-1,0)),$B$1/(365*100),$B$3/(365*100)))*100,1)/100</f>
        <v>374.12</v>
      </c>
      <c r="R330" s="9">
        <f t="shared" ca="1" si="32"/>
        <v>916841.25476435316</v>
      </c>
    </row>
    <row r="331" spans="1:18" x14ac:dyDescent="0.25">
      <c r="A331">
        <v>4</v>
      </c>
      <c r="B331">
        <v>0</v>
      </c>
      <c r="C331">
        <v>9</v>
      </c>
      <c r="D331">
        <v>22.9</v>
      </c>
      <c r="E331">
        <v>41</v>
      </c>
      <c r="F331">
        <v>3.0576917490694074E-2</v>
      </c>
      <c r="G331" t="str">
        <f t="shared" si="30"/>
        <v>Insert into BlueCreditTypeRainbow Values (4, 0, 9, 22.9, 41, 0.0305769174906941)</v>
      </c>
      <c r="N331" s="4">
        <v>328</v>
      </c>
      <c r="O331" s="8">
        <f>$B$7*COUNTIF(Sheet2!$B$1:$B$132,N331)</f>
        <v>0</v>
      </c>
      <c r="P331" s="8">
        <f t="shared" ca="1" si="31"/>
        <v>0</v>
      </c>
      <c r="Q331" s="8">
        <f ca="1">CEILING(R330*(IF(N331&lt;=IF($B$2=0,0,OFFSET(Sheet2!$B$1,Sheet1!$B$2-1,0)),$B$1/(365*100),$B$3/(365*100)))*100,1)/100</f>
        <v>374.28</v>
      </c>
      <c r="R331" s="9">
        <f t="shared" ca="1" si="32"/>
        <v>917215.53476435319</v>
      </c>
    </row>
    <row r="332" spans="1:18" x14ac:dyDescent="0.25">
      <c r="A332">
        <v>4</v>
      </c>
      <c r="B332">
        <v>0</v>
      </c>
      <c r="C332">
        <v>9</v>
      </c>
      <c r="D332">
        <v>22.9</v>
      </c>
      <c r="E332">
        <v>42</v>
      </c>
      <c r="F332">
        <v>3.0087720238095219E-2</v>
      </c>
      <c r="G332" t="str">
        <f t="shared" si="30"/>
        <v>Insert into BlueCreditTypeRainbow Values (4, 0, 9, 22.9, 42, 0.0300877202380952)</v>
      </c>
      <c r="N332" s="4">
        <v>329</v>
      </c>
      <c r="O332" s="8">
        <f>$B$7*COUNTIF(Sheet2!$B$1:$B$132,N332)</f>
        <v>0</v>
      </c>
      <c r="P332" s="8">
        <f t="shared" ca="1" si="31"/>
        <v>0</v>
      </c>
      <c r="Q332" s="8">
        <f ca="1">CEILING(R331*(IF(N332&lt;=IF($B$2=0,0,OFFSET(Sheet2!$B$1,Sheet1!$B$2-1,0)),$B$1/(365*100),$B$3/(365*100)))*100,1)/100</f>
        <v>374.43</v>
      </c>
      <c r="R332" s="9">
        <f t="shared" ca="1" si="32"/>
        <v>917589.96476435324</v>
      </c>
    </row>
    <row r="333" spans="1:18" x14ac:dyDescent="0.25">
      <c r="A333">
        <v>4</v>
      </c>
      <c r="B333">
        <v>0</v>
      </c>
      <c r="C333">
        <v>9</v>
      </c>
      <c r="D333">
        <v>22.9</v>
      </c>
      <c r="E333">
        <v>43</v>
      </c>
      <c r="F333">
        <v>2.9622628604995191E-2</v>
      </c>
      <c r="G333" t="str">
        <f t="shared" si="30"/>
        <v>Insert into BlueCreditTypeRainbow Values (4, 0, 9, 22.9, 43, 0.0296226286049952)</v>
      </c>
      <c r="N333" s="4">
        <v>330</v>
      </c>
      <c r="O333" s="8">
        <f>$B$7*COUNTIF(Sheet2!$B$1:$B$132,N333)</f>
        <v>0</v>
      </c>
      <c r="P333" s="8">
        <f t="shared" ca="1" si="31"/>
        <v>0</v>
      </c>
      <c r="Q333" s="8">
        <f ca="1">CEILING(R332*(IF(N333&lt;=IF($B$2=0,0,OFFSET(Sheet2!$B$1,Sheet1!$B$2-1,0)),$B$1/(365*100),$B$3/(365*100)))*100,1)/100</f>
        <v>374.58</v>
      </c>
      <c r="R333" s="9">
        <f t="shared" ca="1" si="32"/>
        <v>917964.5447643532</v>
      </c>
    </row>
    <row r="334" spans="1:18" x14ac:dyDescent="0.25">
      <c r="A334">
        <v>4</v>
      </c>
      <c r="B334">
        <v>0</v>
      </c>
      <c r="C334">
        <v>9</v>
      </c>
      <c r="D334">
        <v>22.9</v>
      </c>
      <c r="E334">
        <v>44</v>
      </c>
      <c r="F334">
        <v>2.9179973656865536E-2</v>
      </c>
      <c r="G334" t="str">
        <f t="shared" si="30"/>
        <v>Insert into BlueCreditTypeRainbow Values (4, 0, 9, 22.9, 44, 0.0291799736568655)</v>
      </c>
      <c r="N334" s="4">
        <v>331</v>
      </c>
      <c r="O334" s="8">
        <f>$B$7*COUNTIF(Sheet2!$B$1:$B$132,N334)</f>
        <v>0</v>
      </c>
      <c r="P334" s="8">
        <f t="shared" ca="1" si="31"/>
        <v>0</v>
      </c>
      <c r="Q334" s="8">
        <f ca="1">CEILING(R333*(IF(N334&lt;=IF($B$2=0,0,OFFSET(Sheet2!$B$1,Sheet1!$B$2-1,0)),$B$1/(365*100),$B$3/(365*100)))*100,1)/100</f>
        <v>374.74</v>
      </c>
      <c r="R334" s="9">
        <f t="shared" ca="1" si="32"/>
        <v>918339.28476435319</v>
      </c>
    </row>
    <row r="335" spans="1:18" x14ac:dyDescent="0.25">
      <c r="A335">
        <v>4</v>
      </c>
      <c r="B335">
        <v>0</v>
      </c>
      <c r="C335">
        <v>9</v>
      </c>
      <c r="D335">
        <v>22.9</v>
      </c>
      <c r="E335">
        <v>45</v>
      </c>
      <c r="F335">
        <v>2.8758508465200883E-2</v>
      </c>
      <c r="G335" t="str">
        <f t="shared" ref="G335:G398" si="33">CONCATENATE("Insert into BlueCreditTypeRainbow Values (",A335,", ",B335,", ",C335,", ",D335,", ",E335,", ",F335,")")</f>
        <v>Insert into BlueCreditTypeRainbow Values (4, 0, 9, 22.9, 45, 0.0287585084652009)</v>
      </c>
      <c r="N335" s="4">
        <v>332</v>
      </c>
      <c r="O335" s="8">
        <f>$B$7*COUNTIF(Sheet2!$B$1:$B$132,N335)</f>
        <v>0</v>
      </c>
      <c r="P335" s="8">
        <f t="shared" ca="1" si="31"/>
        <v>0</v>
      </c>
      <c r="Q335" s="8">
        <f ca="1">CEILING(R334*(IF(N335&lt;=IF($B$2=0,0,OFFSET(Sheet2!$B$1,Sheet1!$B$2-1,0)),$B$1/(365*100),$B$3/(365*100)))*100,1)/100</f>
        <v>374.89</v>
      </c>
      <c r="R335" s="9">
        <f t="shared" ca="1" si="32"/>
        <v>918714.1747643532</v>
      </c>
    </row>
    <row r="336" spans="1:18" x14ac:dyDescent="0.25">
      <c r="A336">
        <v>4</v>
      </c>
      <c r="B336">
        <v>0</v>
      </c>
      <c r="C336">
        <v>9</v>
      </c>
      <c r="D336">
        <v>22.9</v>
      </c>
      <c r="E336">
        <v>46</v>
      </c>
      <c r="F336">
        <v>2.8356566959349034E-2</v>
      </c>
      <c r="G336" t="str">
        <f t="shared" si="33"/>
        <v>Insert into BlueCreditTypeRainbow Values (4, 0, 9, 22.9, 46, 0.028356566959349)</v>
      </c>
      <c r="N336" s="4">
        <v>333</v>
      </c>
      <c r="O336" s="8">
        <f>$B$7*COUNTIF(Sheet2!$B$1:$B$132,N336)</f>
        <v>0</v>
      </c>
      <c r="P336" s="8">
        <f t="shared" ca="1" si="31"/>
        <v>0</v>
      </c>
      <c r="Q336" s="8">
        <f ca="1">CEILING(R335*(IF(N336&lt;=IF($B$2=0,0,OFFSET(Sheet2!$B$1,Sheet1!$B$2-1,0)),$B$1/(365*100),$B$3/(365*100)))*100,1)/100</f>
        <v>375.04</v>
      </c>
      <c r="R336" s="9">
        <f t="shared" ca="1" si="32"/>
        <v>919089.21476435324</v>
      </c>
    </row>
    <row r="337" spans="1:18" x14ac:dyDescent="0.25">
      <c r="A337">
        <v>4</v>
      </c>
      <c r="B337">
        <v>0</v>
      </c>
      <c r="C337">
        <v>9</v>
      </c>
      <c r="D337">
        <v>22.9</v>
      </c>
      <c r="E337">
        <v>47</v>
      </c>
      <c r="F337">
        <v>2.7973131934511966E-2</v>
      </c>
      <c r="G337" t="str">
        <f t="shared" si="33"/>
        <v>Insert into BlueCreditTypeRainbow Values (4, 0, 9, 22.9, 47, 0.027973131934512)</v>
      </c>
      <c r="N337" s="4">
        <v>334</v>
      </c>
      <c r="O337" s="8">
        <f>$B$7*COUNTIF(Sheet2!$B$1:$B$132,N337)</f>
        <v>0</v>
      </c>
      <c r="P337" s="8">
        <f t="shared" ca="1" si="31"/>
        <v>0</v>
      </c>
      <c r="Q337" s="8">
        <f ca="1">CEILING(R336*(IF(N337&lt;=IF($B$2=0,0,OFFSET(Sheet2!$B$1,Sheet1!$B$2-1,0)),$B$1/(365*100),$B$3/(365*100)))*100,1)/100</f>
        <v>375.19</v>
      </c>
      <c r="R337" s="9">
        <f t="shared" ca="1" si="32"/>
        <v>919464.40476435318</v>
      </c>
    </row>
    <row r="338" spans="1:18" x14ac:dyDescent="0.25">
      <c r="A338">
        <v>4</v>
      </c>
      <c r="B338">
        <v>0</v>
      </c>
      <c r="C338">
        <v>9</v>
      </c>
      <c r="D338">
        <v>22.9</v>
      </c>
      <c r="E338">
        <v>48</v>
      </c>
      <c r="F338">
        <v>2.7606798310175942E-2</v>
      </c>
      <c r="G338" t="str">
        <f t="shared" si="33"/>
        <v>Insert into BlueCreditTypeRainbow Values (4, 0, 9, 22.9, 48, 0.0276067983101759)</v>
      </c>
      <c r="N338" s="4">
        <v>335</v>
      </c>
      <c r="O338" s="8">
        <f>$B$7*COUNTIF(Sheet2!$B$1:$B$132,N338)</f>
        <v>21157.10552356458</v>
      </c>
      <c r="P338" s="8">
        <f t="shared" ca="1" si="31"/>
        <v>20781.755523564581</v>
      </c>
      <c r="Q338" s="8">
        <f ca="1">CEILING(R337*(IF(N338&lt;=IF($B$2=0,0,OFFSET(Sheet2!$B$1,Sheet1!$B$2-1,0)),$B$1/(365*100),$B$3/(365*100)))*100,1)/100</f>
        <v>375.35</v>
      </c>
      <c r="R338" s="9">
        <f t="shared" ca="1" si="32"/>
        <v>898682.64924078854</v>
      </c>
    </row>
    <row r="339" spans="1:18" x14ac:dyDescent="0.25">
      <c r="A339">
        <v>4</v>
      </c>
      <c r="B339">
        <v>0</v>
      </c>
      <c r="C339">
        <v>8</v>
      </c>
      <c r="D339">
        <v>22.9</v>
      </c>
      <c r="E339">
        <v>36</v>
      </c>
      <c r="F339">
        <v>3.3922721944444428E-2</v>
      </c>
      <c r="G339" t="str">
        <f t="shared" si="33"/>
        <v>Insert into BlueCreditTypeRainbow Values (4, 0, 8, 22.9, 36, 0.0339227219444444)</v>
      </c>
      <c r="N339" s="4">
        <v>336</v>
      </c>
      <c r="O339" s="8">
        <f>$B$7*COUNTIF(Sheet2!$B$1:$B$132,N339)</f>
        <v>0</v>
      </c>
      <c r="P339" s="8">
        <f t="shared" ca="1" si="31"/>
        <v>0</v>
      </c>
      <c r="Q339" s="8">
        <f ca="1">CEILING(R338*(IF(N339&lt;=IF($B$2=0,0,OFFSET(Sheet2!$B$1,Sheet1!$B$2-1,0)),$B$1/(365*100),$B$3/(365*100)))*100,1)/100</f>
        <v>366.86</v>
      </c>
      <c r="R339" s="9">
        <f t="shared" ca="1" si="32"/>
        <v>899049.50924078852</v>
      </c>
    </row>
    <row r="340" spans="1:18" x14ac:dyDescent="0.25">
      <c r="A340">
        <v>4</v>
      </c>
      <c r="B340">
        <v>0</v>
      </c>
      <c r="C340">
        <v>8</v>
      </c>
      <c r="D340">
        <v>22.9</v>
      </c>
      <c r="E340">
        <v>37</v>
      </c>
      <c r="F340">
        <v>3.3274379751553403E-2</v>
      </c>
      <c r="G340" t="str">
        <f t="shared" si="33"/>
        <v>Insert into BlueCreditTypeRainbow Values (4, 0, 8, 22.9, 37, 0.0332743797515534)</v>
      </c>
      <c r="N340" s="4">
        <v>337</v>
      </c>
      <c r="O340" s="8">
        <f>$B$7*COUNTIF(Sheet2!$B$1:$B$132,N340)</f>
        <v>0</v>
      </c>
      <c r="P340" s="8">
        <f t="shared" ca="1" si="31"/>
        <v>0</v>
      </c>
      <c r="Q340" s="8">
        <f ca="1">CEILING(R339*(IF(N340&lt;=IF($B$2=0,0,OFFSET(Sheet2!$B$1,Sheet1!$B$2-1,0)),$B$1/(365*100),$B$3/(365*100)))*100,1)/100</f>
        <v>367.01</v>
      </c>
      <c r="R340" s="9">
        <f t="shared" ca="1" si="32"/>
        <v>899416.51924078853</v>
      </c>
    </row>
    <row r="341" spans="1:18" x14ac:dyDescent="0.25">
      <c r="A341">
        <v>4</v>
      </c>
      <c r="B341">
        <v>0</v>
      </c>
      <c r="C341">
        <v>8</v>
      </c>
      <c r="D341">
        <v>22.9</v>
      </c>
      <c r="E341">
        <v>38</v>
      </c>
      <c r="F341">
        <v>3.2661771856279664E-2</v>
      </c>
      <c r="G341" t="str">
        <f t="shared" si="33"/>
        <v>Insert into BlueCreditTypeRainbow Values (4, 0, 8, 22.9, 38, 0.0326617718562797)</v>
      </c>
      <c r="N341" s="4">
        <v>338</v>
      </c>
      <c r="O341" s="8">
        <f>$B$7*COUNTIF(Sheet2!$B$1:$B$132,N341)</f>
        <v>0</v>
      </c>
      <c r="P341" s="8">
        <f t="shared" ca="1" si="31"/>
        <v>0</v>
      </c>
      <c r="Q341" s="8">
        <f ca="1">CEILING(R340*(IF(N341&lt;=IF($B$2=0,0,OFFSET(Sheet2!$B$1,Sheet1!$B$2-1,0)),$B$1/(365*100),$B$3/(365*100)))*100,1)/100</f>
        <v>367.16</v>
      </c>
      <c r="R341" s="9">
        <f t="shared" ca="1" si="32"/>
        <v>899783.67924078857</v>
      </c>
    </row>
    <row r="342" spans="1:18" x14ac:dyDescent="0.25">
      <c r="A342">
        <v>4</v>
      </c>
      <c r="B342">
        <v>0</v>
      </c>
      <c r="C342">
        <v>8</v>
      </c>
      <c r="D342">
        <v>22.9</v>
      </c>
      <c r="E342">
        <v>39</v>
      </c>
      <c r="F342">
        <v>3.2082482937673712E-2</v>
      </c>
      <c r="G342" t="str">
        <f t="shared" si="33"/>
        <v>Insert into BlueCreditTypeRainbow Values (4, 0, 8, 22.9, 39, 0.0320824829376737)</v>
      </c>
      <c r="N342" s="4">
        <v>339</v>
      </c>
      <c r="O342" s="8">
        <f>$B$7*COUNTIF(Sheet2!$B$1:$B$132,N342)</f>
        <v>0</v>
      </c>
      <c r="P342" s="8">
        <f t="shared" ca="1" si="31"/>
        <v>0</v>
      </c>
      <c r="Q342" s="8">
        <f ca="1">CEILING(R341*(IF(N342&lt;=IF($B$2=0,0,OFFSET(Sheet2!$B$1,Sheet1!$B$2-1,0)),$B$1/(365*100),$B$3/(365*100)))*100,1)/100</f>
        <v>367.31</v>
      </c>
      <c r="R342" s="9">
        <f t="shared" ca="1" si="32"/>
        <v>900150.98924078862</v>
      </c>
    </row>
    <row r="343" spans="1:18" x14ac:dyDescent="0.25">
      <c r="A343">
        <v>4</v>
      </c>
      <c r="B343">
        <v>0</v>
      </c>
      <c r="C343">
        <v>8</v>
      </c>
      <c r="D343">
        <v>22.9</v>
      </c>
      <c r="E343">
        <v>40</v>
      </c>
      <c r="F343">
        <v>3.1533964021150961E-2</v>
      </c>
      <c r="G343" t="str">
        <f t="shared" si="33"/>
        <v>Insert into BlueCreditTypeRainbow Values (4, 0, 8, 22.9, 40, 0.031533964021151)</v>
      </c>
      <c r="N343" s="4">
        <v>340</v>
      </c>
      <c r="O343" s="8">
        <f>$B$7*COUNTIF(Sheet2!$B$1:$B$132,N343)</f>
        <v>0</v>
      </c>
      <c r="P343" s="8">
        <f t="shared" ca="1" si="31"/>
        <v>0</v>
      </c>
      <c r="Q343" s="8">
        <f ca="1">CEILING(R342*(IF(N343&lt;=IF($B$2=0,0,OFFSET(Sheet2!$B$1,Sheet1!$B$2-1,0)),$B$1/(365*100),$B$3/(365*100)))*100,1)/100</f>
        <v>367.46</v>
      </c>
      <c r="R343" s="9">
        <f t="shared" ca="1" si="32"/>
        <v>900518.44924078858</v>
      </c>
    </row>
    <row r="344" spans="1:18" x14ac:dyDescent="0.25">
      <c r="A344">
        <v>4</v>
      </c>
      <c r="B344">
        <v>0</v>
      </c>
      <c r="C344">
        <v>8</v>
      </c>
      <c r="D344">
        <v>22.9</v>
      </c>
      <c r="E344">
        <v>41</v>
      </c>
      <c r="F344">
        <v>3.1013609769963091E-2</v>
      </c>
      <c r="G344" t="str">
        <f t="shared" si="33"/>
        <v>Insert into BlueCreditTypeRainbow Values (4, 0, 8, 22.9, 41, 0.0310136097699631)</v>
      </c>
      <c r="N344" s="4">
        <v>341</v>
      </c>
      <c r="O344" s="8">
        <f>$B$7*COUNTIF(Sheet2!$B$1:$B$132,N344)</f>
        <v>0</v>
      </c>
      <c r="P344" s="8">
        <f t="shared" ca="1" si="31"/>
        <v>0</v>
      </c>
      <c r="Q344" s="8">
        <f ca="1">CEILING(R343*(IF(N344&lt;=IF($B$2=0,0,OFFSET(Sheet2!$B$1,Sheet1!$B$2-1,0)),$B$1/(365*100),$B$3/(365*100)))*100,1)/100</f>
        <v>367.61</v>
      </c>
      <c r="R344" s="9">
        <f t="shared" ca="1" si="32"/>
        <v>900886.05924078857</v>
      </c>
    </row>
    <row r="345" spans="1:18" x14ac:dyDescent="0.25">
      <c r="A345">
        <v>4</v>
      </c>
      <c r="B345">
        <v>0</v>
      </c>
      <c r="C345">
        <v>8</v>
      </c>
      <c r="D345">
        <v>22.9</v>
      </c>
      <c r="E345">
        <v>42</v>
      </c>
      <c r="F345">
        <v>3.0519680952380952E-2</v>
      </c>
      <c r="G345" t="str">
        <f t="shared" si="33"/>
        <v>Insert into BlueCreditTypeRainbow Values (4, 0, 8, 22.9, 42, 0.030519680952381)</v>
      </c>
      <c r="N345" s="4">
        <v>342</v>
      </c>
      <c r="O345" s="8">
        <f>$B$7*COUNTIF(Sheet2!$B$1:$B$132,N345)</f>
        <v>0</v>
      </c>
      <c r="P345" s="8">
        <f t="shared" ca="1" si="31"/>
        <v>0</v>
      </c>
      <c r="Q345" s="8">
        <f ca="1">CEILING(R344*(IF(N345&lt;=IF($B$2=0,0,OFFSET(Sheet2!$B$1,Sheet1!$B$2-1,0)),$B$1/(365*100),$B$3/(365*100)))*100,1)/100</f>
        <v>367.76</v>
      </c>
      <c r="R345" s="9">
        <f t="shared" ca="1" si="32"/>
        <v>901253.81924078858</v>
      </c>
    </row>
    <row r="346" spans="1:18" x14ac:dyDescent="0.25">
      <c r="A346">
        <v>4</v>
      </c>
      <c r="B346">
        <v>0</v>
      </c>
      <c r="C346">
        <v>8</v>
      </c>
      <c r="D346">
        <v>22.9</v>
      </c>
      <c r="E346">
        <v>43</v>
      </c>
      <c r="F346">
        <v>3.0050021647663273E-2</v>
      </c>
      <c r="G346" t="str">
        <f t="shared" si="33"/>
        <v>Insert into BlueCreditTypeRainbow Values (4, 0, 8, 22.9, 43, 0.0300500216476633)</v>
      </c>
      <c r="N346" s="4">
        <v>343</v>
      </c>
      <c r="O346" s="8">
        <f>$B$7*COUNTIF(Sheet2!$B$1:$B$132,N346)</f>
        <v>0</v>
      </c>
      <c r="P346" s="8">
        <f t="shared" ca="1" si="31"/>
        <v>0</v>
      </c>
      <c r="Q346" s="8">
        <f ca="1">CEILING(R345*(IF(N346&lt;=IF($B$2=0,0,OFFSET(Sheet2!$B$1,Sheet1!$B$2-1,0)),$B$1/(365*100),$B$3/(365*100)))*100,1)/100</f>
        <v>367.91</v>
      </c>
      <c r="R346" s="9">
        <f t="shared" ca="1" si="32"/>
        <v>901621.72924078861</v>
      </c>
    </row>
    <row r="347" spans="1:18" x14ac:dyDescent="0.25">
      <c r="A347">
        <v>4</v>
      </c>
      <c r="B347">
        <v>0</v>
      </c>
      <c r="C347">
        <v>8</v>
      </c>
      <c r="D347">
        <v>22.9</v>
      </c>
      <c r="E347">
        <v>44</v>
      </c>
      <c r="F347">
        <v>2.9602966777292586E-2</v>
      </c>
      <c r="G347" t="str">
        <f t="shared" si="33"/>
        <v>Insert into BlueCreditTypeRainbow Values (4, 0, 8, 22.9, 44, 0.0296029667772926)</v>
      </c>
      <c r="N347" s="4">
        <v>344</v>
      </c>
      <c r="O347" s="8">
        <f>$B$7*COUNTIF(Sheet2!$B$1:$B$132,N347)</f>
        <v>0</v>
      </c>
      <c r="P347" s="8">
        <f t="shared" ca="1" si="31"/>
        <v>0</v>
      </c>
      <c r="Q347" s="8">
        <f ca="1">CEILING(R346*(IF(N347&lt;=IF($B$2=0,0,OFFSET(Sheet2!$B$1,Sheet1!$B$2-1,0)),$B$1/(365*100),$B$3/(365*100)))*100,1)/100</f>
        <v>368.06</v>
      </c>
      <c r="R347" s="9">
        <f t="shared" ca="1" si="32"/>
        <v>901989.78924078867</v>
      </c>
    </row>
    <row r="348" spans="1:18" x14ac:dyDescent="0.25">
      <c r="A348">
        <v>4</v>
      </c>
      <c r="B348">
        <v>0</v>
      </c>
      <c r="C348">
        <v>8</v>
      </c>
      <c r="D348">
        <v>22.9</v>
      </c>
      <c r="E348">
        <v>45</v>
      </c>
      <c r="F348">
        <v>2.917724955555558E-2</v>
      </c>
      <c r="G348" t="str">
        <f t="shared" si="33"/>
        <v>Insert into BlueCreditTypeRainbow Values (4, 0, 8, 22.9, 45, 0.0291772495555556)</v>
      </c>
      <c r="N348" s="4">
        <v>345</v>
      </c>
      <c r="O348" s="8">
        <f>$B$7*COUNTIF(Sheet2!$B$1:$B$132,N348)</f>
        <v>0</v>
      </c>
      <c r="P348" s="8">
        <f t="shared" ca="1" si="31"/>
        <v>0</v>
      </c>
      <c r="Q348" s="8">
        <f ca="1">CEILING(R347*(IF(N348&lt;=IF($B$2=0,0,OFFSET(Sheet2!$B$1,Sheet1!$B$2-1,0)),$B$1/(365*100),$B$3/(365*100)))*100,1)/100</f>
        <v>368.21</v>
      </c>
      <c r="R348" s="9">
        <f t="shared" ca="1" si="32"/>
        <v>902357.99924078863</v>
      </c>
    </row>
    <row r="349" spans="1:18" x14ac:dyDescent="0.25">
      <c r="A349">
        <v>4</v>
      </c>
      <c r="B349">
        <v>0</v>
      </c>
      <c r="C349">
        <v>8</v>
      </c>
      <c r="D349">
        <v>22.9</v>
      </c>
      <c r="E349">
        <v>46</v>
      </c>
      <c r="F349">
        <v>2.8771204793584037E-2</v>
      </c>
      <c r="G349" t="str">
        <f t="shared" si="33"/>
        <v>Insert into BlueCreditTypeRainbow Values (4, 0, 8, 22.9, 46, 0.028771204793584)</v>
      </c>
      <c r="N349" s="4">
        <v>346</v>
      </c>
      <c r="O349" s="8">
        <f>$B$7*COUNTIF(Sheet2!$B$1:$B$132,N349)</f>
        <v>0</v>
      </c>
      <c r="P349" s="8">
        <f t="shared" ca="1" si="31"/>
        <v>0</v>
      </c>
      <c r="Q349" s="8">
        <f ca="1">CEILING(R348*(IF(N349&lt;=IF($B$2=0,0,OFFSET(Sheet2!$B$1,Sheet1!$B$2-1,0)),$B$1/(365*100),$B$3/(365*100)))*100,1)/100</f>
        <v>368.36</v>
      </c>
      <c r="R349" s="9">
        <f t="shared" ca="1" si="32"/>
        <v>902726.35924078862</v>
      </c>
    </row>
    <row r="350" spans="1:18" x14ac:dyDescent="0.25">
      <c r="A350">
        <v>4</v>
      </c>
      <c r="B350">
        <v>0</v>
      </c>
      <c r="C350">
        <v>8</v>
      </c>
      <c r="D350">
        <v>22.9</v>
      </c>
      <c r="E350">
        <v>47</v>
      </c>
      <c r="F350">
        <v>2.8383812765957448E-2</v>
      </c>
      <c r="G350" t="str">
        <f t="shared" si="33"/>
        <v>Insert into BlueCreditTypeRainbow Values (4, 0, 8, 22.9, 47, 0.0283838127659574)</v>
      </c>
      <c r="N350" s="4">
        <v>347</v>
      </c>
      <c r="O350" s="8">
        <f>$B$7*COUNTIF(Sheet2!$B$1:$B$132,N350)</f>
        <v>0</v>
      </c>
      <c r="P350" s="8">
        <f t="shared" ca="1" si="31"/>
        <v>0</v>
      </c>
      <c r="Q350" s="8">
        <f ca="1">CEILING(R349*(IF(N350&lt;=IF($B$2=0,0,OFFSET(Sheet2!$B$1,Sheet1!$B$2-1,0)),$B$1/(365*100),$B$3/(365*100)))*100,1)/100</f>
        <v>368.52</v>
      </c>
      <c r="R350" s="9">
        <f t="shared" ca="1" si="32"/>
        <v>903094.87924078864</v>
      </c>
    </row>
    <row r="351" spans="1:18" x14ac:dyDescent="0.25">
      <c r="A351">
        <v>4</v>
      </c>
      <c r="B351">
        <v>0</v>
      </c>
      <c r="C351">
        <v>8</v>
      </c>
      <c r="D351">
        <v>22.9</v>
      </c>
      <c r="E351">
        <v>48</v>
      </c>
      <c r="F351">
        <v>2.8013646668903876E-2</v>
      </c>
      <c r="G351" t="str">
        <f t="shared" si="33"/>
        <v>Insert into BlueCreditTypeRainbow Values (4, 0, 8, 22.9, 48, 0.0280136466689039)</v>
      </c>
      <c r="N351" s="4">
        <v>348</v>
      </c>
      <c r="O351" s="8">
        <f>$B$7*COUNTIF(Sheet2!$B$1:$B$132,N351)</f>
        <v>0</v>
      </c>
      <c r="P351" s="8">
        <f t="shared" ca="1" si="31"/>
        <v>0</v>
      </c>
      <c r="Q351" s="8">
        <f ca="1">CEILING(R350*(IF(N351&lt;=IF($B$2=0,0,OFFSET(Sheet2!$B$1,Sheet1!$B$2-1,0)),$B$1/(365*100),$B$3/(365*100)))*100,1)/100</f>
        <v>368.67</v>
      </c>
      <c r="R351" s="9">
        <f t="shared" ca="1" si="32"/>
        <v>903463.54924078868</v>
      </c>
    </row>
    <row r="352" spans="1:18" x14ac:dyDescent="0.25">
      <c r="A352">
        <v>4</v>
      </c>
      <c r="B352">
        <v>0</v>
      </c>
      <c r="C352">
        <v>7</v>
      </c>
      <c r="D352">
        <v>22.9</v>
      </c>
      <c r="E352">
        <v>36</v>
      </c>
      <c r="F352">
        <v>3.4411849444444483E-2</v>
      </c>
      <c r="G352" t="str">
        <f t="shared" si="33"/>
        <v>Insert into BlueCreditTypeRainbow Values (4, 0, 7, 22.9, 36, 0.0344118494444445)</v>
      </c>
      <c r="N352" s="4">
        <v>349</v>
      </c>
      <c r="O352" s="8">
        <f>$B$7*COUNTIF(Sheet2!$B$1:$B$132,N352)</f>
        <v>0</v>
      </c>
      <c r="P352" s="8">
        <f t="shared" ca="1" si="31"/>
        <v>0</v>
      </c>
      <c r="Q352" s="8">
        <f ca="1">CEILING(R351*(IF(N352&lt;=IF($B$2=0,0,OFFSET(Sheet2!$B$1,Sheet1!$B$2-1,0)),$B$1/(365*100),$B$3/(365*100)))*100,1)/100</f>
        <v>368.82</v>
      </c>
      <c r="R352" s="9">
        <f t="shared" ca="1" si="32"/>
        <v>903832.36924078863</v>
      </c>
    </row>
    <row r="353" spans="1:18" x14ac:dyDescent="0.25">
      <c r="A353">
        <v>4</v>
      </c>
      <c r="B353">
        <v>0</v>
      </c>
      <c r="C353">
        <v>7</v>
      </c>
      <c r="D353">
        <v>22.9</v>
      </c>
      <c r="E353">
        <v>37</v>
      </c>
      <c r="F353">
        <v>3.3757055548668785E-2</v>
      </c>
      <c r="G353" t="str">
        <f t="shared" si="33"/>
        <v>Insert into BlueCreditTypeRainbow Values (4, 0, 7, 22.9, 37, 0.0337570555486688)</v>
      </c>
      <c r="N353" s="4">
        <v>350</v>
      </c>
      <c r="O353" s="8">
        <f>$B$7*COUNTIF(Sheet2!$B$1:$B$132,N353)</f>
        <v>0</v>
      </c>
      <c r="P353" s="8">
        <f t="shared" ca="1" si="31"/>
        <v>0</v>
      </c>
      <c r="Q353" s="8">
        <f ca="1">CEILING(R352*(IF(N353&lt;=IF($B$2=0,0,OFFSET(Sheet2!$B$1,Sheet1!$B$2-1,0)),$B$1/(365*100),$B$3/(365*100)))*100,1)/100</f>
        <v>368.97</v>
      </c>
      <c r="R353" s="9">
        <f t="shared" ca="1" si="32"/>
        <v>904201.3392407886</v>
      </c>
    </row>
    <row r="354" spans="1:18" x14ac:dyDescent="0.25">
      <c r="A354">
        <v>4</v>
      </c>
      <c r="B354">
        <v>0</v>
      </c>
      <c r="C354">
        <v>7</v>
      </c>
      <c r="D354">
        <v>22.9</v>
      </c>
      <c r="E354">
        <v>38</v>
      </c>
      <c r="F354">
        <v>3.3138250815131151E-2</v>
      </c>
      <c r="G354" t="str">
        <f t="shared" si="33"/>
        <v>Insert into BlueCreditTypeRainbow Values (4, 0, 7, 22.9, 38, 0.0331382508151312)</v>
      </c>
      <c r="N354" s="4">
        <v>351</v>
      </c>
      <c r="O354" s="8">
        <f>$B$7*COUNTIF(Sheet2!$B$1:$B$132,N354)</f>
        <v>0</v>
      </c>
      <c r="P354" s="8">
        <f t="shared" ca="1" si="31"/>
        <v>0</v>
      </c>
      <c r="Q354" s="8">
        <f ca="1">CEILING(R353*(IF(N354&lt;=IF($B$2=0,0,OFFSET(Sheet2!$B$1,Sheet1!$B$2-1,0)),$B$1/(365*100),$B$3/(365*100)))*100,1)/100</f>
        <v>369.12</v>
      </c>
      <c r="R354" s="9">
        <f t="shared" ca="1" si="32"/>
        <v>904570.45924078859</v>
      </c>
    </row>
    <row r="355" spans="1:18" x14ac:dyDescent="0.25">
      <c r="A355">
        <v>4</v>
      </c>
      <c r="B355">
        <v>0</v>
      </c>
      <c r="C355">
        <v>7</v>
      </c>
      <c r="D355">
        <v>22.9</v>
      </c>
      <c r="E355">
        <v>39</v>
      </c>
      <c r="F355">
        <v>3.2553006923076916E-2</v>
      </c>
      <c r="G355" t="str">
        <f t="shared" si="33"/>
        <v>Insert into BlueCreditTypeRainbow Values (4, 0, 7, 22.9, 39, 0.0325530069230769)</v>
      </c>
      <c r="N355" s="4">
        <v>352</v>
      </c>
      <c r="O355" s="8">
        <f>$B$7*COUNTIF(Sheet2!$B$1:$B$132,N355)</f>
        <v>0</v>
      </c>
      <c r="P355" s="8">
        <f t="shared" ca="1" si="31"/>
        <v>0</v>
      </c>
      <c r="Q355" s="8">
        <f ca="1">CEILING(R354*(IF(N355&lt;=IF($B$2=0,0,OFFSET(Sheet2!$B$1,Sheet1!$B$2-1,0)),$B$1/(365*100),$B$3/(365*100)))*100,1)/100</f>
        <v>369.27</v>
      </c>
      <c r="R355" s="9">
        <f t="shared" ca="1" si="32"/>
        <v>904939.72924078861</v>
      </c>
    </row>
    <row r="356" spans="1:18" x14ac:dyDescent="0.25">
      <c r="A356">
        <v>4</v>
      </c>
      <c r="B356">
        <v>0</v>
      </c>
      <c r="C356">
        <v>7</v>
      </c>
      <c r="D356">
        <v>22.9</v>
      </c>
      <c r="E356">
        <v>40</v>
      </c>
      <c r="F356">
        <v>3.1998768190892007E-2</v>
      </c>
      <c r="G356" t="str">
        <f t="shared" si="33"/>
        <v>Insert into BlueCreditTypeRainbow Values (4, 0, 7, 22.9, 40, 0.031998768190892)</v>
      </c>
      <c r="N356" s="4">
        <v>353</v>
      </c>
      <c r="O356" s="8">
        <f>$B$7*COUNTIF(Sheet2!$B$1:$B$132,N356)</f>
        <v>0</v>
      </c>
      <c r="P356" s="8">
        <f t="shared" ca="1" si="31"/>
        <v>0</v>
      </c>
      <c r="Q356" s="8">
        <f ca="1">CEILING(R355*(IF(N356&lt;=IF($B$2=0,0,OFFSET(Sheet2!$B$1,Sheet1!$B$2-1,0)),$B$1/(365*100),$B$3/(365*100)))*100,1)/100</f>
        <v>369.42</v>
      </c>
      <c r="R356" s="9">
        <f t="shared" ca="1" si="32"/>
        <v>905309.14924078865</v>
      </c>
    </row>
    <row r="357" spans="1:18" x14ac:dyDescent="0.25">
      <c r="A357">
        <v>4</v>
      </c>
      <c r="B357">
        <v>0</v>
      </c>
      <c r="C357">
        <v>7</v>
      </c>
      <c r="D357">
        <v>22.9</v>
      </c>
      <c r="E357">
        <v>41</v>
      </c>
      <c r="F357">
        <v>3.1472906845518192E-2</v>
      </c>
      <c r="G357" t="str">
        <f t="shared" si="33"/>
        <v>Insert into BlueCreditTypeRainbow Values (4, 0, 7, 22.9, 41, 0.0314729068455182)</v>
      </c>
      <c r="N357" s="4">
        <v>354</v>
      </c>
      <c r="O357" s="8">
        <f>$B$7*COUNTIF(Sheet2!$B$1:$B$132,N357)</f>
        <v>0</v>
      </c>
      <c r="P357" s="8">
        <f t="shared" ca="1" si="31"/>
        <v>0</v>
      </c>
      <c r="Q357" s="8">
        <f ca="1">CEILING(R356*(IF(N357&lt;=IF($B$2=0,0,OFFSET(Sheet2!$B$1,Sheet1!$B$2-1,0)),$B$1/(365*100),$B$3/(365*100)))*100,1)/100</f>
        <v>369.57</v>
      </c>
      <c r="R357" s="9">
        <f t="shared" ca="1" si="32"/>
        <v>905678.7192407886</v>
      </c>
    </row>
    <row r="358" spans="1:18" x14ac:dyDescent="0.25">
      <c r="A358">
        <v>4</v>
      </c>
      <c r="B358">
        <v>0</v>
      </c>
      <c r="C358">
        <v>7</v>
      </c>
      <c r="D358">
        <v>22.9</v>
      </c>
      <c r="E358">
        <v>42</v>
      </c>
      <c r="F358">
        <v>3.0973696675956671E-2</v>
      </c>
      <c r="G358" t="str">
        <f t="shared" si="33"/>
        <v>Insert into BlueCreditTypeRainbow Values (4, 0, 7, 22.9, 42, 0.0309736966759567)</v>
      </c>
      <c r="N358" s="4">
        <v>355</v>
      </c>
      <c r="O358" s="8">
        <f>$B$7*COUNTIF(Sheet2!$B$1:$B$132,N358)</f>
        <v>0</v>
      </c>
      <c r="P358" s="8">
        <f t="shared" ca="1" si="31"/>
        <v>0</v>
      </c>
      <c r="Q358" s="8">
        <f ca="1">CEILING(R357*(IF(N358&lt;=IF($B$2=0,0,OFFSET(Sheet2!$B$1,Sheet1!$B$2-1,0)),$B$1/(365*100),$B$3/(365*100)))*100,1)/100</f>
        <v>369.72</v>
      </c>
      <c r="R358" s="9">
        <f t="shared" ca="1" si="32"/>
        <v>906048.43924078858</v>
      </c>
    </row>
    <row r="359" spans="1:18" x14ac:dyDescent="0.25">
      <c r="A359">
        <v>4</v>
      </c>
      <c r="B359">
        <v>0</v>
      </c>
      <c r="C359">
        <v>7</v>
      </c>
      <c r="D359">
        <v>22.9</v>
      </c>
      <c r="E359">
        <v>43</v>
      </c>
      <c r="F359">
        <v>3.0498953051022751E-2</v>
      </c>
      <c r="G359" t="str">
        <f t="shared" si="33"/>
        <v>Insert into BlueCreditTypeRainbow Values (4, 0, 7, 22.9, 43, 0.0304989530510228)</v>
      </c>
      <c r="N359" s="4">
        <v>356</v>
      </c>
      <c r="O359" s="8">
        <f>$B$7*COUNTIF(Sheet2!$B$1:$B$132,N359)</f>
        <v>0</v>
      </c>
      <c r="P359" s="8">
        <f t="shared" ca="1" si="31"/>
        <v>0</v>
      </c>
      <c r="Q359" s="8">
        <f ca="1">CEILING(R358*(IF(N359&lt;=IF($B$2=0,0,OFFSET(Sheet2!$B$1,Sheet1!$B$2-1,0)),$B$1/(365*100),$B$3/(365*100)))*100,1)/100</f>
        <v>369.87</v>
      </c>
      <c r="R359" s="9">
        <f t="shared" ca="1" si="32"/>
        <v>906418.30924078857</v>
      </c>
    </row>
    <row r="360" spans="1:18" x14ac:dyDescent="0.25">
      <c r="A360">
        <v>4</v>
      </c>
      <c r="B360">
        <v>0</v>
      </c>
      <c r="C360">
        <v>7</v>
      </c>
      <c r="D360">
        <v>22.9</v>
      </c>
      <c r="E360">
        <v>44</v>
      </c>
      <c r="F360">
        <v>3.0046987267103222E-2</v>
      </c>
      <c r="G360" t="str">
        <f t="shared" si="33"/>
        <v>Insert into BlueCreditTypeRainbow Values (4, 0, 7, 22.9, 44, 0.0300469872671032)</v>
      </c>
      <c r="N360" s="4">
        <v>357</v>
      </c>
      <c r="O360" s="8">
        <f>$B$7*COUNTIF(Sheet2!$B$1:$B$132,N360)</f>
        <v>0</v>
      </c>
      <c r="P360" s="8">
        <f t="shared" ca="1" si="31"/>
        <v>0</v>
      </c>
      <c r="Q360" s="8">
        <f ca="1">CEILING(R359*(IF(N360&lt;=IF($B$2=0,0,OFFSET(Sheet2!$B$1,Sheet1!$B$2-1,0)),$B$1/(365*100),$B$3/(365*100)))*100,1)/100</f>
        <v>370.02</v>
      </c>
      <c r="R360" s="9">
        <f t="shared" ca="1" si="32"/>
        <v>906788.32924078859</v>
      </c>
    </row>
    <row r="361" spans="1:18" x14ac:dyDescent="0.25">
      <c r="A361">
        <v>4</v>
      </c>
      <c r="B361">
        <v>0</v>
      </c>
      <c r="C361">
        <v>7</v>
      </c>
      <c r="D361">
        <v>22.9</v>
      </c>
      <c r="E361">
        <v>45</v>
      </c>
      <c r="F361">
        <v>2.9616554021843176E-2</v>
      </c>
      <c r="G361" t="str">
        <f t="shared" si="33"/>
        <v>Insert into BlueCreditTypeRainbow Values (4, 0, 7, 22.9, 45, 0.0296165540218432)</v>
      </c>
      <c r="N361" s="4">
        <v>358</v>
      </c>
      <c r="O361" s="8">
        <f>$B$7*COUNTIF(Sheet2!$B$1:$B$132,N361)</f>
        <v>0</v>
      </c>
      <c r="P361" s="8">
        <f t="shared" ca="1" si="31"/>
        <v>0</v>
      </c>
      <c r="Q361" s="8">
        <f ca="1">CEILING(R360*(IF(N361&lt;=IF($B$2=0,0,OFFSET(Sheet2!$B$1,Sheet1!$B$2-1,0)),$B$1/(365*100),$B$3/(365*100)))*100,1)/100</f>
        <v>370.17</v>
      </c>
      <c r="R361" s="9">
        <f t="shared" ca="1" si="32"/>
        <v>907158.49924078863</v>
      </c>
    </row>
    <row r="362" spans="1:18" x14ac:dyDescent="0.25">
      <c r="A362">
        <v>4</v>
      </c>
      <c r="B362">
        <v>0</v>
      </c>
      <c r="C362">
        <v>7</v>
      </c>
      <c r="D362">
        <v>22.9</v>
      </c>
      <c r="E362">
        <v>46</v>
      </c>
      <c r="F362">
        <v>2.920597086956524E-2</v>
      </c>
      <c r="G362" t="str">
        <f t="shared" si="33"/>
        <v>Insert into BlueCreditTypeRainbow Values (4, 0, 7, 22.9, 46, 0.0292059708695652)</v>
      </c>
      <c r="N362" s="4">
        <v>359</v>
      </c>
      <c r="O362" s="8">
        <f>$B$7*COUNTIF(Sheet2!$B$1:$B$132,N362)</f>
        <v>0</v>
      </c>
      <c r="P362" s="8">
        <f t="shared" ca="1" si="31"/>
        <v>0</v>
      </c>
      <c r="Q362" s="8">
        <f ca="1">CEILING(R361*(IF(N362&lt;=IF($B$2=0,0,OFFSET(Sheet2!$B$1,Sheet1!$B$2-1,0)),$B$1/(365*100),$B$3/(365*100)))*100,1)/100</f>
        <v>370.32</v>
      </c>
      <c r="R362" s="9">
        <f t="shared" ca="1" si="32"/>
        <v>907528.81924078858</v>
      </c>
    </row>
    <row r="363" spans="1:18" x14ac:dyDescent="0.25">
      <c r="A363">
        <v>4</v>
      </c>
      <c r="B363">
        <v>0</v>
      </c>
      <c r="C363">
        <v>7</v>
      </c>
      <c r="D363">
        <v>22.9</v>
      </c>
      <c r="E363">
        <v>47</v>
      </c>
      <c r="F363">
        <v>2.8814200012592207E-2</v>
      </c>
      <c r="G363" t="str">
        <f t="shared" si="33"/>
        <v>Insert into BlueCreditTypeRainbow Values (4, 0, 7, 22.9, 47, 0.0288142000125922)</v>
      </c>
      <c r="N363" s="4">
        <v>360</v>
      </c>
      <c r="O363" s="8">
        <f>$B$7*COUNTIF(Sheet2!$B$1:$B$132,N363)</f>
        <v>0</v>
      </c>
      <c r="P363" s="8">
        <f t="shared" ca="1" si="31"/>
        <v>0</v>
      </c>
      <c r="Q363" s="8">
        <f ca="1">CEILING(R362*(IF(N363&lt;=IF($B$2=0,0,OFFSET(Sheet2!$B$1,Sheet1!$B$2-1,0)),$B$1/(365*100),$B$3/(365*100)))*100,1)/100</f>
        <v>370.48</v>
      </c>
      <c r="R363" s="9">
        <f t="shared" ca="1" si="32"/>
        <v>907899.29924078856</v>
      </c>
    </row>
    <row r="364" spans="1:18" x14ac:dyDescent="0.25">
      <c r="A364">
        <v>4</v>
      </c>
      <c r="B364">
        <v>0</v>
      </c>
      <c r="C364">
        <v>7</v>
      </c>
      <c r="D364">
        <v>22.9</v>
      </c>
      <c r="E364">
        <v>48</v>
      </c>
      <c r="F364">
        <v>2.8439820176595309E-2</v>
      </c>
      <c r="G364" t="str">
        <f t="shared" si="33"/>
        <v>Insert into BlueCreditTypeRainbow Values (4, 0, 7, 22.9, 48, 0.0284398201765953)</v>
      </c>
      <c r="N364" s="4">
        <v>361</v>
      </c>
      <c r="O364" s="8">
        <f>$B$7*COUNTIF(Sheet2!$B$1:$B$132,N364)</f>
        <v>0</v>
      </c>
      <c r="P364" s="8">
        <f t="shared" ca="1" si="31"/>
        <v>0</v>
      </c>
      <c r="Q364" s="8">
        <f ca="1">CEILING(R363*(IF(N364&lt;=IF($B$2=0,0,OFFSET(Sheet2!$B$1,Sheet1!$B$2-1,0)),$B$1/(365*100),$B$3/(365*100)))*100,1)/100</f>
        <v>370.63</v>
      </c>
      <c r="R364" s="9">
        <f t="shared" ca="1" si="32"/>
        <v>908269.92924078857</v>
      </c>
    </row>
    <row r="365" spans="1:18" x14ac:dyDescent="0.25">
      <c r="A365">
        <v>4</v>
      </c>
      <c r="B365">
        <v>0</v>
      </c>
      <c r="C365">
        <v>6</v>
      </c>
      <c r="D365">
        <v>22.9</v>
      </c>
      <c r="E365">
        <v>36</v>
      </c>
      <c r="F365">
        <v>3.4945814118273355E-2</v>
      </c>
      <c r="G365" t="str">
        <f t="shared" si="33"/>
        <v>Insert into BlueCreditTypeRainbow Values (4, 0, 6, 22.9, 36, 0.0349458141182734)</v>
      </c>
      <c r="N365" s="4">
        <v>362</v>
      </c>
      <c r="O365" s="8">
        <f>$B$7*COUNTIF(Sheet2!$B$1:$B$132,N365)</f>
        <v>0</v>
      </c>
      <c r="P365" s="8">
        <f t="shared" ca="1" si="31"/>
        <v>0</v>
      </c>
      <c r="Q365" s="8">
        <f ca="1">CEILING(R364*(IF(N365&lt;=IF($B$2=0,0,OFFSET(Sheet2!$B$1,Sheet1!$B$2-1,0)),$B$1/(365*100),$B$3/(365*100)))*100,1)/100</f>
        <v>370.78</v>
      </c>
      <c r="R365" s="9">
        <f t="shared" ca="1" si="32"/>
        <v>908640.70924078859</v>
      </c>
    </row>
    <row r="366" spans="1:18" x14ac:dyDescent="0.25">
      <c r="A366">
        <v>4</v>
      </c>
      <c r="B366">
        <v>0</v>
      </c>
      <c r="C366">
        <v>6</v>
      </c>
      <c r="D366">
        <v>22.9</v>
      </c>
      <c r="E366">
        <v>37</v>
      </c>
      <c r="F366">
        <v>3.4283495135135178E-2</v>
      </c>
      <c r="G366" t="str">
        <f t="shared" si="33"/>
        <v>Insert into BlueCreditTypeRainbow Values (4, 0, 6, 22.9, 37, 0.0342834951351352)</v>
      </c>
      <c r="N366" s="4">
        <v>363</v>
      </c>
      <c r="O366" s="8">
        <f>$B$7*COUNTIF(Sheet2!$B$1:$B$132,N366)</f>
        <v>0</v>
      </c>
      <c r="P366" s="8">
        <f t="shared" ca="1" si="31"/>
        <v>0</v>
      </c>
      <c r="Q366" s="8">
        <f ca="1">CEILING(R365*(IF(N366&lt;=IF($B$2=0,0,OFFSET(Sheet2!$B$1,Sheet1!$B$2-1,0)),$B$1/(365*100),$B$3/(365*100)))*100,1)/100</f>
        <v>370.93</v>
      </c>
      <c r="R366" s="9">
        <f t="shared" ca="1" si="32"/>
        <v>909011.63924078865</v>
      </c>
    </row>
    <row r="367" spans="1:18" x14ac:dyDescent="0.25">
      <c r="A367">
        <v>4</v>
      </c>
      <c r="B367">
        <v>0</v>
      </c>
      <c r="C367">
        <v>6</v>
      </c>
      <c r="D367">
        <v>22.9</v>
      </c>
      <c r="E367">
        <v>38</v>
      </c>
      <c r="F367">
        <v>3.3657485277266412E-2</v>
      </c>
      <c r="G367" t="str">
        <f t="shared" si="33"/>
        <v>Insert into BlueCreditTypeRainbow Values (4, 0, 6, 22.9, 38, 0.0336574852772664)</v>
      </c>
      <c r="N367" s="4">
        <v>364</v>
      </c>
      <c r="O367" s="8">
        <f>$B$7*COUNTIF(Sheet2!$B$1:$B$132,N367)</f>
        <v>0</v>
      </c>
      <c r="P367" s="8">
        <f t="shared" ca="1" si="31"/>
        <v>0</v>
      </c>
      <c r="Q367" s="8">
        <f ca="1">CEILING(R366*(IF(N367&lt;=IF($B$2=0,0,OFFSET(Sheet2!$B$1,Sheet1!$B$2-1,0)),$B$1/(365*100),$B$3/(365*100)))*100,1)/100</f>
        <v>371.08</v>
      </c>
      <c r="R367" s="9">
        <f t="shared" ca="1" si="32"/>
        <v>909382.7192407886</v>
      </c>
    </row>
    <row r="368" spans="1:18" x14ac:dyDescent="0.25">
      <c r="A368">
        <v>4</v>
      </c>
      <c r="B368">
        <v>0</v>
      </c>
      <c r="C368">
        <v>6</v>
      </c>
      <c r="D368">
        <v>22.9</v>
      </c>
      <c r="E368">
        <v>39</v>
      </c>
      <c r="F368">
        <v>3.3065341038514891E-2</v>
      </c>
      <c r="G368" t="str">
        <f t="shared" si="33"/>
        <v>Insert into BlueCreditTypeRainbow Values (4, 0, 6, 22.9, 39, 0.0330653410385149)</v>
      </c>
      <c r="N368" s="4">
        <v>365</v>
      </c>
      <c r="O368" s="8">
        <f>$B$7*COUNTIF(Sheet2!$B$1:$B$132,N368)</f>
        <v>21157.10552356458</v>
      </c>
      <c r="P368" s="8">
        <f t="shared" ca="1" si="31"/>
        <v>20785.87552356458</v>
      </c>
      <c r="Q368" s="8">
        <f ca="1">CEILING(R367*(IF(N368&lt;=IF($B$2=0,0,OFFSET(Sheet2!$B$1,Sheet1!$B$2-1,0)),$B$1/(365*100),$B$3/(365*100)))*100,1)/100</f>
        <v>371.23</v>
      </c>
      <c r="R368" s="9">
        <f t="shared" ca="1" si="32"/>
        <v>888596.84371722396</v>
      </c>
    </row>
    <row r="369" spans="1:18" x14ac:dyDescent="0.25">
      <c r="A369">
        <v>4</v>
      </c>
      <c r="B369">
        <v>0</v>
      </c>
      <c r="C369">
        <v>6</v>
      </c>
      <c r="D369">
        <v>22.9</v>
      </c>
      <c r="E369">
        <v>40</v>
      </c>
      <c r="F369">
        <v>3.2504493271856304E-2</v>
      </c>
      <c r="G369" t="str">
        <f t="shared" si="33"/>
        <v>Insert into BlueCreditTypeRainbow Values (4, 0, 6, 22.9, 40, 0.0325044932718563)</v>
      </c>
      <c r="N369" s="4">
        <v>366</v>
      </c>
      <c r="O369" s="8">
        <f>$B$7*COUNTIF(Sheet2!$B$1:$B$132,N369)</f>
        <v>0</v>
      </c>
      <c r="P369" s="8">
        <f t="shared" ca="1" si="31"/>
        <v>0</v>
      </c>
      <c r="Q369" s="8">
        <f ca="1">CEILING(R368*(IF(N369&lt;=IF($B$2=0,0,OFFSET(Sheet2!$B$1,Sheet1!$B$2-1,0)),$B$1/(365*100),$B$3/(365*100)))*100,1)/100</f>
        <v>362.75</v>
      </c>
      <c r="R369" s="9">
        <f t="shared" ca="1" si="32"/>
        <v>888959.59371722396</v>
      </c>
    </row>
    <row r="370" spans="1:18" x14ac:dyDescent="0.25">
      <c r="A370">
        <v>4</v>
      </c>
      <c r="B370">
        <v>0</v>
      </c>
      <c r="C370">
        <v>6</v>
      </c>
      <c r="D370">
        <v>22.9</v>
      </c>
      <c r="E370">
        <v>41</v>
      </c>
      <c r="F370">
        <v>3.1972294634146359E-2</v>
      </c>
      <c r="G370" t="str">
        <f t="shared" si="33"/>
        <v>Insert into BlueCreditTypeRainbow Values (4, 0, 6, 22.9, 41, 0.0319722946341464)</v>
      </c>
      <c r="N370" s="4">
        <v>367</v>
      </c>
      <c r="O370" s="8">
        <f>$B$7*COUNTIF(Sheet2!$B$1:$B$132,N370)</f>
        <v>0</v>
      </c>
      <c r="P370" s="8">
        <f t="shared" ca="1" si="31"/>
        <v>0</v>
      </c>
      <c r="Q370" s="8">
        <f ca="1">CEILING(R369*(IF(N370&lt;=IF($B$2=0,0,OFFSET(Sheet2!$B$1,Sheet1!$B$2-1,0)),$B$1/(365*100),$B$3/(365*100)))*100,1)/100</f>
        <v>362.9</v>
      </c>
      <c r="R370" s="9">
        <f t="shared" ca="1" si="32"/>
        <v>889322.49371722399</v>
      </c>
    </row>
    <row r="371" spans="1:18" x14ac:dyDescent="0.25">
      <c r="A371">
        <v>4</v>
      </c>
      <c r="B371">
        <v>0</v>
      </c>
      <c r="C371">
        <v>6</v>
      </c>
      <c r="D371">
        <v>22.9</v>
      </c>
      <c r="E371">
        <v>42</v>
      </c>
      <c r="F371">
        <v>3.1467002142916915E-2</v>
      </c>
      <c r="G371" t="str">
        <f t="shared" si="33"/>
        <v>Insert into BlueCreditTypeRainbow Values (4, 0, 6, 22.9, 42, 0.0314670021429169)</v>
      </c>
      <c r="N371" s="4">
        <v>368</v>
      </c>
      <c r="O371" s="8">
        <f>$B$7*COUNTIF(Sheet2!$B$1:$B$132,N371)</f>
        <v>0</v>
      </c>
      <c r="P371" s="8">
        <f t="shared" ca="1" si="31"/>
        <v>0</v>
      </c>
      <c r="Q371" s="8">
        <f ca="1">CEILING(R370*(IF(N371&lt;=IF($B$2=0,0,OFFSET(Sheet2!$B$1,Sheet1!$B$2-1,0)),$B$1/(365*100),$B$3/(365*100)))*100,1)/100</f>
        <v>363.04</v>
      </c>
      <c r="R371" s="9">
        <f t="shared" ca="1" si="32"/>
        <v>889685.53371722403</v>
      </c>
    </row>
    <row r="372" spans="1:18" x14ac:dyDescent="0.25">
      <c r="A372">
        <v>4</v>
      </c>
      <c r="B372">
        <v>0</v>
      </c>
      <c r="C372">
        <v>6</v>
      </c>
      <c r="D372">
        <v>22.9</v>
      </c>
      <c r="E372">
        <v>43</v>
      </c>
      <c r="F372">
        <v>3.0986424674238077E-2</v>
      </c>
      <c r="G372" t="str">
        <f t="shared" si="33"/>
        <v>Insert into BlueCreditTypeRainbow Values (4, 0, 6, 22.9, 43, 0.0309864246742381)</v>
      </c>
      <c r="N372" s="4">
        <v>369</v>
      </c>
      <c r="O372" s="8">
        <f>$B$7*COUNTIF(Sheet2!$B$1:$B$132,N372)</f>
        <v>0</v>
      </c>
      <c r="P372" s="8">
        <f t="shared" ca="1" si="31"/>
        <v>0</v>
      </c>
      <c r="Q372" s="8">
        <f ca="1">CEILING(R371*(IF(N372&lt;=IF($B$2=0,0,OFFSET(Sheet2!$B$1,Sheet1!$B$2-1,0)),$B$1/(365*100),$B$3/(365*100)))*100,1)/100</f>
        <v>363.19</v>
      </c>
      <c r="R372" s="9">
        <f t="shared" ca="1" si="32"/>
        <v>890048.72371722397</v>
      </c>
    </row>
    <row r="373" spans="1:18" x14ac:dyDescent="0.25">
      <c r="A373">
        <v>4</v>
      </c>
      <c r="B373">
        <v>0</v>
      </c>
      <c r="C373">
        <v>6</v>
      </c>
      <c r="D373">
        <v>22.9</v>
      </c>
      <c r="E373">
        <v>44</v>
      </c>
      <c r="F373">
        <v>3.0528858440410998E-2</v>
      </c>
      <c r="G373" t="str">
        <f t="shared" si="33"/>
        <v>Insert into BlueCreditTypeRainbow Values (4, 0, 6, 22.9, 44, 0.030528858440411)</v>
      </c>
      <c r="N373" s="4">
        <v>370</v>
      </c>
      <c r="O373" s="8">
        <f>$B$7*COUNTIF(Sheet2!$B$1:$B$132,N373)</f>
        <v>0</v>
      </c>
      <c r="P373" s="8">
        <f t="shared" ca="1" si="31"/>
        <v>0</v>
      </c>
      <c r="Q373" s="8">
        <f ca="1">CEILING(R372*(IF(N373&lt;=IF($B$2=0,0,OFFSET(Sheet2!$B$1,Sheet1!$B$2-1,0)),$B$1/(365*100),$B$3/(365*100)))*100,1)/100</f>
        <v>363.34</v>
      </c>
      <c r="R373" s="9">
        <f t="shared" ca="1" si="32"/>
        <v>890412.06371722394</v>
      </c>
    </row>
    <row r="374" spans="1:18" x14ac:dyDescent="0.25">
      <c r="A374">
        <v>4</v>
      </c>
      <c r="B374">
        <v>0</v>
      </c>
      <c r="C374">
        <v>6</v>
      </c>
      <c r="D374">
        <v>22.9</v>
      </c>
      <c r="E374">
        <v>45</v>
      </c>
      <c r="F374">
        <v>3.0093040571844375E-2</v>
      </c>
      <c r="G374" t="str">
        <f t="shared" si="33"/>
        <v>Insert into BlueCreditTypeRainbow Values (4, 0, 6, 22.9, 45, 0.0300930405718444)</v>
      </c>
      <c r="N374" s="4">
        <v>371</v>
      </c>
      <c r="O374" s="8">
        <f>$B$7*COUNTIF(Sheet2!$B$1:$B$132,N374)</f>
        <v>0</v>
      </c>
      <c r="P374" s="8">
        <f t="shared" ca="1" si="31"/>
        <v>0</v>
      </c>
      <c r="Q374" s="8">
        <f ca="1">CEILING(R373*(IF(N374&lt;=IF($B$2=0,0,OFFSET(Sheet2!$B$1,Sheet1!$B$2-1,0)),$B$1/(365*100),$B$3/(365*100)))*100,1)/100</f>
        <v>363.49</v>
      </c>
      <c r="R374" s="9">
        <f t="shared" ca="1" si="32"/>
        <v>890775.55371722393</v>
      </c>
    </row>
    <row r="375" spans="1:18" x14ac:dyDescent="0.25">
      <c r="A375">
        <v>4</v>
      </c>
      <c r="B375">
        <v>0</v>
      </c>
      <c r="C375">
        <v>6</v>
      </c>
      <c r="D375">
        <v>22.9</v>
      </c>
      <c r="E375">
        <v>46</v>
      </c>
      <c r="F375">
        <v>2.9677281246602974E-2</v>
      </c>
      <c r="G375" t="str">
        <f t="shared" si="33"/>
        <v>Insert into BlueCreditTypeRainbow Values (4, 0, 6, 22.9, 46, 0.029677281246603)</v>
      </c>
      <c r="N375" s="4">
        <v>372</v>
      </c>
      <c r="O375" s="8">
        <f>$B$7*COUNTIF(Sheet2!$B$1:$B$132,N375)</f>
        <v>0</v>
      </c>
      <c r="P375" s="8">
        <f t="shared" ca="1" si="31"/>
        <v>0</v>
      </c>
      <c r="Q375" s="8">
        <f ca="1">CEILING(R374*(IF(N375&lt;=IF($B$2=0,0,OFFSET(Sheet2!$B$1,Sheet1!$B$2-1,0)),$B$1/(365*100),$B$3/(365*100)))*100,1)/100</f>
        <v>363.64</v>
      </c>
      <c r="R375" s="9">
        <f t="shared" ca="1" si="32"/>
        <v>891139.19371722394</v>
      </c>
    </row>
    <row r="376" spans="1:18" x14ac:dyDescent="0.25">
      <c r="A376">
        <v>4</v>
      </c>
      <c r="B376">
        <v>0</v>
      </c>
      <c r="C376">
        <v>6</v>
      </c>
      <c r="D376">
        <v>22.9</v>
      </c>
      <c r="E376">
        <v>47</v>
      </c>
      <c r="F376">
        <v>2.9280537679895999E-2</v>
      </c>
      <c r="G376" t="str">
        <f t="shared" si="33"/>
        <v>Insert into BlueCreditTypeRainbow Values (4, 0, 6, 22.9, 47, 0.029280537679896)</v>
      </c>
      <c r="N376" s="4">
        <v>373</v>
      </c>
      <c r="O376" s="8">
        <f>$B$7*COUNTIF(Sheet2!$B$1:$B$132,N376)</f>
        <v>0</v>
      </c>
      <c r="P376" s="8">
        <f t="shared" ca="1" si="31"/>
        <v>0</v>
      </c>
      <c r="Q376" s="8">
        <f ca="1">CEILING(R375*(IF(N376&lt;=IF($B$2=0,0,OFFSET(Sheet2!$B$1,Sheet1!$B$2-1,0)),$B$1/(365*100),$B$3/(365*100)))*100,1)/100</f>
        <v>363.79</v>
      </c>
      <c r="R376" s="9">
        <f t="shared" ca="1" si="32"/>
        <v>891502.98371722398</v>
      </c>
    </row>
    <row r="377" spans="1:18" x14ac:dyDescent="0.25">
      <c r="A377">
        <v>4</v>
      </c>
      <c r="B377">
        <v>0</v>
      </c>
      <c r="C377">
        <v>6</v>
      </c>
      <c r="D377">
        <v>22.9</v>
      </c>
      <c r="E377">
        <v>48</v>
      </c>
      <c r="F377">
        <v>2.8901366892130579E-2</v>
      </c>
      <c r="G377" t="str">
        <f t="shared" si="33"/>
        <v>Insert into BlueCreditTypeRainbow Values (4, 0, 6, 22.9, 48, 0.0289013668921306)</v>
      </c>
      <c r="N377" s="4">
        <v>374</v>
      </c>
      <c r="O377" s="8">
        <f>$B$7*COUNTIF(Sheet2!$B$1:$B$132,N377)</f>
        <v>0</v>
      </c>
      <c r="P377" s="8">
        <f t="shared" ca="1" si="31"/>
        <v>0</v>
      </c>
      <c r="Q377" s="8">
        <f ca="1">CEILING(R376*(IF(N377&lt;=IF($B$2=0,0,OFFSET(Sheet2!$B$1,Sheet1!$B$2-1,0)),$B$1/(365*100),$B$3/(365*100)))*100,1)/100</f>
        <v>363.93</v>
      </c>
      <c r="R377" s="9">
        <f t="shared" ca="1" si="32"/>
        <v>891866.91371722403</v>
      </c>
    </row>
    <row r="378" spans="1:18" x14ac:dyDescent="0.25">
      <c r="A378">
        <v>4</v>
      </c>
      <c r="B378">
        <v>0</v>
      </c>
      <c r="C378">
        <v>5</v>
      </c>
      <c r="D378">
        <v>22.9</v>
      </c>
      <c r="E378">
        <v>36</v>
      </c>
      <c r="F378">
        <v>3.5510111666666705E-2</v>
      </c>
      <c r="G378" t="str">
        <f t="shared" si="33"/>
        <v>Insert into BlueCreditTypeRainbow Values (4, 0, 5, 22.9, 36, 0.0355101116666667)</v>
      </c>
      <c r="N378" s="4">
        <v>375</v>
      </c>
      <c r="O378" s="8">
        <f>$B$7*COUNTIF(Sheet2!$B$1:$B$132,N378)</f>
        <v>0</v>
      </c>
      <c r="P378" s="8">
        <f t="shared" ca="1" si="31"/>
        <v>0</v>
      </c>
      <c r="Q378" s="8">
        <f ca="1">CEILING(R377*(IF(N378&lt;=IF($B$2=0,0,OFFSET(Sheet2!$B$1,Sheet1!$B$2-1,0)),$B$1/(365*100),$B$3/(365*100)))*100,1)/100</f>
        <v>364.08</v>
      </c>
      <c r="R378" s="9">
        <f t="shared" ca="1" si="32"/>
        <v>892230.99371722399</v>
      </c>
    </row>
    <row r="379" spans="1:18" x14ac:dyDescent="0.25">
      <c r="A379">
        <v>4</v>
      </c>
      <c r="B379">
        <v>0</v>
      </c>
      <c r="C379">
        <v>5</v>
      </c>
      <c r="D379">
        <v>22.9</v>
      </c>
      <c r="E379">
        <v>37</v>
      </c>
      <c r="F379">
        <v>3.4839349213683632E-2</v>
      </c>
      <c r="G379" t="str">
        <f t="shared" si="33"/>
        <v>Insert into BlueCreditTypeRainbow Values (4, 0, 5, 22.9, 37, 0.0348393492136836)</v>
      </c>
      <c r="N379" s="4">
        <v>376</v>
      </c>
      <c r="O379" s="8">
        <f>$B$7*COUNTIF(Sheet2!$B$1:$B$132,N379)</f>
        <v>0</v>
      </c>
      <c r="P379" s="8">
        <f t="shared" ca="1" si="31"/>
        <v>0</v>
      </c>
      <c r="Q379" s="8">
        <f ca="1">CEILING(R378*(IF(N379&lt;=IF($B$2=0,0,OFFSET(Sheet2!$B$1,Sheet1!$B$2-1,0)),$B$1/(365*100),$B$3/(365*100)))*100,1)/100</f>
        <v>364.23</v>
      </c>
      <c r="R379" s="9">
        <f t="shared" ca="1" si="32"/>
        <v>892595.22371722397</v>
      </c>
    </row>
    <row r="380" spans="1:18" x14ac:dyDescent="0.25">
      <c r="A380">
        <v>4</v>
      </c>
      <c r="B380">
        <v>0</v>
      </c>
      <c r="C380">
        <v>5</v>
      </c>
      <c r="D380">
        <v>22.9</v>
      </c>
      <c r="E380">
        <v>38</v>
      </c>
      <c r="F380">
        <v>3.4205279223071351E-2</v>
      </c>
      <c r="G380" t="str">
        <f t="shared" si="33"/>
        <v>Insert into BlueCreditTypeRainbow Values (4, 0, 5, 22.9, 38, 0.0342052792230714)</v>
      </c>
      <c r="N380" s="4">
        <v>377</v>
      </c>
      <c r="O380" s="8">
        <f>$B$7*COUNTIF(Sheet2!$B$1:$B$132,N380)</f>
        <v>0</v>
      </c>
      <c r="P380" s="8">
        <f t="shared" ca="1" si="31"/>
        <v>0</v>
      </c>
      <c r="Q380" s="8">
        <f ca="1">CEILING(R379*(IF(N380&lt;=IF($B$2=0,0,OFFSET(Sheet2!$B$1,Sheet1!$B$2-1,0)),$B$1/(365*100),$B$3/(365*100)))*100,1)/100</f>
        <v>364.38</v>
      </c>
      <c r="R380" s="9">
        <f t="shared" ca="1" si="32"/>
        <v>892959.60371722397</v>
      </c>
    </row>
    <row r="381" spans="1:18" x14ac:dyDescent="0.25">
      <c r="A381">
        <v>4</v>
      </c>
      <c r="B381">
        <v>0</v>
      </c>
      <c r="C381">
        <v>5</v>
      </c>
      <c r="D381">
        <v>22.9</v>
      </c>
      <c r="E381">
        <v>39</v>
      </c>
      <c r="F381">
        <v>3.3605448996179392E-2</v>
      </c>
      <c r="G381" t="str">
        <f t="shared" si="33"/>
        <v>Insert into BlueCreditTypeRainbow Values (4, 0, 5, 22.9, 39, 0.0336054489961794)</v>
      </c>
      <c r="N381" s="4">
        <v>378</v>
      </c>
      <c r="O381" s="8">
        <f>$B$7*COUNTIF(Sheet2!$B$1:$B$132,N381)</f>
        <v>0</v>
      </c>
      <c r="P381" s="8">
        <f t="shared" ca="1" si="31"/>
        <v>0</v>
      </c>
      <c r="Q381" s="8">
        <f ca="1">CEILING(R380*(IF(N381&lt;=IF($B$2=0,0,OFFSET(Sheet2!$B$1,Sheet1!$B$2-1,0)),$B$1/(365*100),$B$3/(365*100)))*100,1)/100</f>
        <v>364.53</v>
      </c>
      <c r="R381" s="9">
        <f t="shared" ca="1" si="32"/>
        <v>893324.133717224</v>
      </c>
    </row>
    <row r="382" spans="1:18" x14ac:dyDescent="0.25">
      <c r="A382">
        <v>4</v>
      </c>
      <c r="B382">
        <v>0</v>
      </c>
      <c r="C382">
        <v>5</v>
      </c>
      <c r="D382">
        <v>22.9</v>
      </c>
      <c r="E382">
        <v>40</v>
      </c>
      <c r="F382">
        <v>3.3037253015707535E-2</v>
      </c>
      <c r="G382" t="str">
        <f t="shared" si="33"/>
        <v>Insert into BlueCreditTypeRainbow Values (4, 0, 5, 22.9, 40, 0.0330372530157075)</v>
      </c>
      <c r="N382" s="4">
        <v>379</v>
      </c>
      <c r="O382" s="8">
        <f>$B$7*COUNTIF(Sheet2!$B$1:$B$132,N382)</f>
        <v>0</v>
      </c>
      <c r="P382" s="8">
        <f t="shared" ca="1" si="31"/>
        <v>0</v>
      </c>
      <c r="Q382" s="8">
        <f ca="1">CEILING(R381*(IF(N382&lt;=IF($B$2=0,0,OFFSET(Sheet2!$B$1,Sheet1!$B$2-1,0)),$B$1/(365*100),$B$3/(365*100)))*100,1)/100</f>
        <v>364.68</v>
      </c>
      <c r="R382" s="9">
        <f t="shared" ca="1" si="32"/>
        <v>893688.81371722405</v>
      </c>
    </row>
    <row r="383" spans="1:18" x14ac:dyDescent="0.25">
      <c r="A383">
        <v>4</v>
      </c>
      <c r="B383">
        <v>0</v>
      </c>
      <c r="C383">
        <v>5</v>
      </c>
      <c r="D383">
        <v>22.9</v>
      </c>
      <c r="E383">
        <v>41</v>
      </c>
      <c r="F383">
        <v>3.2498027339057746E-2</v>
      </c>
      <c r="G383" t="str">
        <f t="shared" si="33"/>
        <v>Insert into BlueCreditTypeRainbow Values (4, 0, 5, 22.9, 41, 0.0324980273390577)</v>
      </c>
      <c r="N383" s="4">
        <v>380</v>
      </c>
      <c r="O383" s="8">
        <f>$B$7*COUNTIF(Sheet2!$B$1:$B$132,N383)</f>
        <v>0</v>
      </c>
      <c r="P383" s="8">
        <f t="shared" ca="1" si="31"/>
        <v>0</v>
      </c>
      <c r="Q383" s="8">
        <f ca="1">CEILING(R382*(IF(N383&lt;=IF($B$2=0,0,OFFSET(Sheet2!$B$1,Sheet1!$B$2-1,0)),$B$1/(365*100),$B$3/(365*100)))*100,1)/100</f>
        <v>364.83</v>
      </c>
      <c r="R383" s="9">
        <f t="shared" ca="1" si="32"/>
        <v>894053.64371722401</v>
      </c>
    </row>
    <row r="384" spans="1:18" x14ac:dyDescent="0.25">
      <c r="A384">
        <v>4</v>
      </c>
      <c r="B384">
        <v>0</v>
      </c>
      <c r="C384">
        <v>5</v>
      </c>
      <c r="D384">
        <v>22.9</v>
      </c>
      <c r="E384">
        <v>42</v>
      </c>
      <c r="F384">
        <v>3.1986004065773822E-2</v>
      </c>
      <c r="G384" t="str">
        <f t="shared" si="33"/>
        <v>Insert into BlueCreditTypeRainbow Values (4, 0, 5, 22.9, 42, 0.0319860040657738)</v>
      </c>
      <c r="N384" s="4">
        <v>381</v>
      </c>
      <c r="O384" s="8">
        <f>$B$7*COUNTIF(Sheet2!$B$1:$B$132,N384)</f>
        <v>0</v>
      </c>
      <c r="P384" s="8">
        <f t="shared" ca="1" si="31"/>
        <v>0</v>
      </c>
      <c r="Q384" s="8">
        <f ca="1">CEILING(R383*(IF(N384&lt;=IF($B$2=0,0,OFFSET(Sheet2!$B$1,Sheet1!$B$2-1,0)),$B$1/(365*100),$B$3/(365*100)))*100,1)/100</f>
        <v>364.97</v>
      </c>
      <c r="R384" s="9">
        <f t="shared" ca="1" si="32"/>
        <v>894418.61371722398</v>
      </c>
    </row>
    <row r="385" spans="1:18" x14ac:dyDescent="0.25">
      <c r="A385">
        <v>4</v>
      </c>
      <c r="B385">
        <v>0</v>
      </c>
      <c r="C385">
        <v>5</v>
      </c>
      <c r="D385">
        <v>22.9</v>
      </c>
      <c r="E385">
        <v>43</v>
      </c>
      <c r="F385">
        <v>3.1498977914948545E-2</v>
      </c>
      <c r="G385" t="str">
        <f t="shared" si="33"/>
        <v>Insert into BlueCreditTypeRainbow Values (4, 0, 5, 22.9, 43, 0.0314989779149485)</v>
      </c>
      <c r="N385" s="4">
        <v>382</v>
      </c>
      <c r="O385" s="8">
        <f>$B$7*COUNTIF(Sheet2!$B$1:$B$132,N385)</f>
        <v>0</v>
      </c>
      <c r="P385" s="8">
        <f t="shared" ca="1" si="31"/>
        <v>0</v>
      </c>
      <c r="Q385" s="8">
        <f ca="1">CEILING(R384*(IF(N385&lt;=IF($B$2=0,0,OFFSET(Sheet2!$B$1,Sheet1!$B$2-1,0)),$B$1/(365*100),$B$3/(365*100)))*100,1)/100</f>
        <v>365.12</v>
      </c>
      <c r="R385" s="9">
        <f t="shared" ca="1" si="32"/>
        <v>894783.73371722398</v>
      </c>
    </row>
    <row r="386" spans="1:18" x14ac:dyDescent="0.25">
      <c r="A386">
        <v>4</v>
      </c>
      <c r="B386">
        <v>0</v>
      </c>
      <c r="C386">
        <v>5</v>
      </c>
      <c r="D386">
        <v>22.9</v>
      </c>
      <c r="E386">
        <v>44</v>
      </c>
      <c r="F386">
        <v>3.1035237098495854E-2</v>
      </c>
      <c r="G386" t="str">
        <f t="shared" si="33"/>
        <v>Insert into BlueCreditTypeRainbow Values (4, 0, 5, 22.9, 44, 0.0310352370984959)</v>
      </c>
      <c r="N386" s="4">
        <v>383</v>
      </c>
      <c r="O386" s="8">
        <f>$B$7*COUNTIF(Sheet2!$B$1:$B$132,N386)</f>
        <v>0</v>
      </c>
      <c r="P386" s="8">
        <f t="shared" ca="1" si="31"/>
        <v>0</v>
      </c>
      <c r="Q386" s="8">
        <f ca="1">CEILING(R385*(IF(N386&lt;=IF($B$2=0,0,OFFSET(Sheet2!$B$1,Sheet1!$B$2-1,0)),$B$1/(365*100),$B$3/(365*100)))*100,1)/100</f>
        <v>365.27</v>
      </c>
      <c r="R386" s="9">
        <f t="shared" ca="1" si="32"/>
        <v>895149.003717224</v>
      </c>
    </row>
    <row r="387" spans="1:18" x14ac:dyDescent="0.25">
      <c r="A387">
        <v>4</v>
      </c>
      <c r="B387">
        <v>0</v>
      </c>
      <c r="C387">
        <v>5</v>
      </c>
      <c r="D387">
        <v>22.9</v>
      </c>
      <c r="E387">
        <v>45</v>
      </c>
      <c r="F387">
        <v>3.0593499582894174E-2</v>
      </c>
      <c r="G387" t="str">
        <f t="shared" si="33"/>
        <v>Insert into BlueCreditTypeRainbow Values (4, 0, 5, 22.9, 45, 0.0305934995828942)</v>
      </c>
      <c r="N387" s="4">
        <v>384</v>
      </c>
      <c r="O387" s="8">
        <f>$B$7*COUNTIF(Sheet2!$B$1:$B$132,N387)</f>
        <v>0</v>
      </c>
      <c r="P387" s="8">
        <f t="shared" ca="1" si="31"/>
        <v>0</v>
      </c>
      <c r="Q387" s="8">
        <f ca="1">CEILING(R386*(IF(N387&lt;=IF($B$2=0,0,OFFSET(Sheet2!$B$1,Sheet1!$B$2-1,0)),$B$1/(365*100),$B$3/(365*100)))*100,1)/100</f>
        <v>365.42</v>
      </c>
      <c r="R387" s="9">
        <f t="shared" ca="1" si="32"/>
        <v>895514.42371722404</v>
      </c>
    </row>
    <row r="388" spans="1:18" x14ac:dyDescent="0.25">
      <c r="A388">
        <v>4</v>
      </c>
      <c r="B388">
        <v>0</v>
      </c>
      <c r="C388">
        <v>5</v>
      </c>
      <c r="D388">
        <v>22.9</v>
      </c>
      <c r="E388">
        <v>46</v>
      </c>
      <c r="F388">
        <v>3.0172050673239203E-2</v>
      </c>
      <c r="G388" t="str">
        <f t="shared" si="33"/>
        <v>Insert into BlueCreditTypeRainbow Values (4, 0, 5, 22.9, 46, 0.0301720506732392)</v>
      </c>
      <c r="N388" s="4">
        <v>385</v>
      </c>
      <c r="O388" s="8">
        <f>$B$7*COUNTIF(Sheet2!$B$1:$B$132,N388)</f>
        <v>0</v>
      </c>
      <c r="P388" s="8">
        <f t="shared" ca="1" si="31"/>
        <v>0</v>
      </c>
      <c r="Q388" s="8">
        <f ca="1">CEILING(R387*(IF(N388&lt;=IF($B$2=0,0,OFFSET(Sheet2!$B$1,Sheet1!$B$2-1,0)),$B$1/(365*100),$B$3/(365*100)))*100,1)/100</f>
        <v>365.57</v>
      </c>
      <c r="R388" s="9">
        <f t="shared" ca="1" si="32"/>
        <v>895879.99371722399</v>
      </c>
    </row>
    <row r="389" spans="1:18" x14ac:dyDescent="0.25">
      <c r="A389">
        <v>4</v>
      </c>
      <c r="B389">
        <v>0</v>
      </c>
      <c r="C389">
        <v>5</v>
      </c>
      <c r="D389">
        <v>22.9</v>
      </c>
      <c r="E389">
        <v>47</v>
      </c>
      <c r="F389">
        <v>2.9769847028983089E-2</v>
      </c>
      <c r="G389" t="str">
        <f t="shared" si="33"/>
        <v>Insert into BlueCreditTypeRainbow Values (4, 0, 5, 22.9, 47, 0.0297698470289831)</v>
      </c>
      <c r="N389" s="4">
        <v>386</v>
      </c>
      <c r="O389" s="8">
        <f>$B$7*COUNTIF(Sheet2!$B$1:$B$132,N389)</f>
        <v>0</v>
      </c>
      <c r="P389" s="8">
        <f t="shared" ref="P389:P452" ca="1" si="34">IF(O389-Q389&gt; 0, O389-Q389, 0)</f>
        <v>0</v>
      </c>
      <c r="Q389" s="8">
        <f ca="1">CEILING(R388*(IF(N389&lt;=IF($B$2=0,0,OFFSET(Sheet2!$B$1,Sheet1!$B$2-1,0)),$B$1/(365*100),$B$3/(365*100)))*100,1)/100</f>
        <v>365.72</v>
      </c>
      <c r="R389" s="9">
        <f t="shared" ref="R389:R452" ca="1" si="35">R388+Q389-O389</f>
        <v>896245.71371722396</v>
      </c>
    </row>
    <row r="390" spans="1:18" x14ac:dyDescent="0.25">
      <c r="A390">
        <v>4</v>
      </c>
      <c r="B390">
        <v>0</v>
      </c>
      <c r="C390">
        <v>5</v>
      </c>
      <c r="D390">
        <v>22.9</v>
      </c>
      <c r="E390">
        <v>48</v>
      </c>
      <c r="F390">
        <v>2.9385431666666729E-2</v>
      </c>
      <c r="G390" t="str">
        <f t="shared" si="33"/>
        <v>Insert into BlueCreditTypeRainbow Values (4, 0, 5, 22.9, 48, 0.0293854316666667)</v>
      </c>
      <c r="N390" s="4">
        <v>387</v>
      </c>
      <c r="O390" s="8">
        <f>$B$7*COUNTIF(Sheet2!$B$1:$B$132,N390)</f>
        <v>0</v>
      </c>
      <c r="P390" s="8">
        <f t="shared" ca="1" si="34"/>
        <v>0</v>
      </c>
      <c r="Q390" s="8">
        <f ca="1">CEILING(R389*(IF(N390&lt;=IF($B$2=0,0,OFFSET(Sheet2!$B$1,Sheet1!$B$2-1,0)),$B$1/(365*100),$B$3/(365*100)))*100,1)/100</f>
        <v>365.87</v>
      </c>
      <c r="R390" s="9">
        <f t="shared" ca="1" si="35"/>
        <v>896611.58371722396</v>
      </c>
    </row>
    <row r="391" spans="1:18" x14ac:dyDescent="0.25">
      <c r="A391">
        <v>4</v>
      </c>
      <c r="B391">
        <v>0</v>
      </c>
      <c r="C391">
        <v>4</v>
      </c>
      <c r="D391">
        <v>22.9</v>
      </c>
      <c r="E391">
        <v>36</v>
      </c>
      <c r="F391">
        <v>3.6087229748560601E-2</v>
      </c>
      <c r="G391" t="str">
        <f t="shared" si="33"/>
        <v>Insert into BlueCreditTypeRainbow Values (4, 0, 4, 22.9, 36, 0.0360872297485606)</v>
      </c>
      <c r="N391" s="4">
        <v>388</v>
      </c>
      <c r="O391" s="8">
        <f>$B$7*COUNTIF(Sheet2!$B$1:$B$132,N391)</f>
        <v>0</v>
      </c>
      <c r="P391" s="8">
        <f t="shared" ca="1" si="34"/>
        <v>0</v>
      </c>
      <c r="Q391" s="8">
        <f ca="1">CEILING(R390*(IF(N391&lt;=IF($B$2=0,0,OFFSET(Sheet2!$B$1,Sheet1!$B$2-1,0)),$B$1/(365*100),$B$3/(365*100)))*100,1)/100</f>
        <v>366.02</v>
      </c>
      <c r="R391" s="9">
        <f t="shared" ca="1" si="35"/>
        <v>896977.60371722397</v>
      </c>
    </row>
    <row r="392" spans="1:18" x14ac:dyDescent="0.25">
      <c r="A392">
        <v>4</v>
      </c>
      <c r="B392">
        <v>0</v>
      </c>
      <c r="C392">
        <v>4</v>
      </c>
      <c r="D392">
        <v>22.9</v>
      </c>
      <c r="E392">
        <v>37</v>
      </c>
      <c r="F392">
        <v>3.5407377550747139E-2</v>
      </c>
      <c r="G392" t="str">
        <f t="shared" si="33"/>
        <v>Insert into BlueCreditTypeRainbow Values (4, 0, 4, 22.9, 37, 0.0354073775507471)</v>
      </c>
      <c r="N392" s="4">
        <v>389</v>
      </c>
      <c r="O392" s="8">
        <f>$B$7*COUNTIF(Sheet2!$B$1:$B$132,N392)</f>
        <v>0</v>
      </c>
      <c r="P392" s="8">
        <f t="shared" ca="1" si="34"/>
        <v>0</v>
      </c>
      <c r="Q392" s="8">
        <f ca="1">CEILING(R391*(IF(N392&lt;=IF($B$2=0,0,OFFSET(Sheet2!$B$1,Sheet1!$B$2-1,0)),$B$1/(365*100),$B$3/(365*100)))*100,1)/100</f>
        <v>366.17</v>
      </c>
      <c r="R392" s="9">
        <f t="shared" ca="1" si="35"/>
        <v>897343.77371722402</v>
      </c>
    </row>
    <row r="393" spans="1:18" x14ac:dyDescent="0.25">
      <c r="A393">
        <v>4</v>
      </c>
      <c r="B393">
        <v>0</v>
      </c>
      <c r="C393">
        <v>4</v>
      </c>
      <c r="D393">
        <v>22.9</v>
      </c>
      <c r="E393">
        <v>38</v>
      </c>
      <c r="F393">
        <v>3.4764638157894774E-2</v>
      </c>
      <c r="G393" t="str">
        <f t="shared" si="33"/>
        <v>Insert into BlueCreditTypeRainbow Values (4, 0, 4, 22.9, 38, 0.0347646381578948)</v>
      </c>
      <c r="N393" s="4">
        <v>390</v>
      </c>
      <c r="O393" s="8">
        <f>$B$7*COUNTIF(Sheet2!$B$1:$B$132,N393)</f>
        <v>0</v>
      </c>
      <c r="P393" s="8">
        <f t="shared" ca="1" si="34"/>
        <v>0</v>
      </c>
      <c r="Q393" s="8">
        <f ca="1">CEILING(R392*(IF(N393&lt;=IF($B$2=0,0,OFFSET(Sheet2!$B$1,Sheet1!$B$2-1,0)),$B$1/(365*100),$B$3/(365*100)))*100,1)/100</f>
        <v>366.32</v>
      </c>
      <c r="R393" s="9">
        <f t="shared" ca="1" si="35"/>
        <v>897710.09371722396</v>
      </c>
    </row>
    <row r="394" spans="1:18" x14ac:dyDescent="0.25">
      <c r="A394">
        <v>4</v>
      </c>
      <c r="B394">
        <v>0</v>
      </c>
      <c r="C394">
        <v>4</v>
      </c>
      <c r="D394">
        <v>22.9</v>
      </c>
      <c r="E394">
        <v>39</v>
      </c>
      <c r="F394">
        <v>3.4156551912203952E-2</v>
      </c>
      <c r="G394" t="str">
        <f t="shared" si="33"/>
        <v>Insert into BlueCreditTypeRainbow Values (4, 0, 4, 22.9, 39, 0.034156551912204)</v>
      </c>
      <c r="N394" s="4">
        <v>391</v>
      </c>
      <c r="O394" s="8">
        <f>$B$7*COUNTIF(Sheet2!$B$1:$B$132,N394)</f>
        <v>0</v>
      </c>
      <c r="P394" s="8">
        <f t="shared" ca="1" si="34"/>
        <v>0</v>
      </c>
      <c r="Q394" s="8">
        <f ca="1">CEILING(R393*(IF(N394&lt;=IF($B$2=0,0,OFFSET(Sheet2!$B$1,Sheet1!$B$2-1,0)),$B$1/(365*100),$B$3/(365*100)))*100,1)/100</f>
        <v>366.47</v>
      </c>
      <c r="R394" s="9">
        <f t="shared" ca="1" si="35"/>
        <v>898076.56371722394</v>
      </c>
    </row>
    <row r="395" spans="1:18" x14ac:dyDescent="0.25">
      <c r="A395">
        <v>4</v>
      </c>
      <c r="B395">
        <v>0</v>
      </c>
      <c r="C395">
        <v>4</v>
      </c>
      <c r="D395">
        <v>22.9</v>
      </c>
      <c r="E395">
        <v>40</v>
      </c>
      <c r="F395">
        <v>3.358047957211592E-2</v>
      </c>
      <c r="G395" t="str">
        <f t="shared" si="33"/>
        <v>Insert into BlueCreditTypeRainbow Values (4, 0, 4, 22.9, 40, 0.0335804795721159)</v>
      </c>
      <c r="N395" s="4">
        <v>392</v>
      </c>
      <c r="O395" s="8">
        <f>$B$7*COUNTIF(Sheet2!$B$1:$B$132,N395)</f>
        <v>0</v>
      </c>
      <c r="P395" s="8">
        <f t="shared" ca="1" si="34"/>
        <v>0</v>
      </c>
      <c r="Q395" s="8">
        <f ca="1">CEILING(R394*(IF(N395&lt;=IF($B$2=0,0,OFFSET(Sheet2!$B$1,Sheet1!$B$2-1,0)),$B$1/(365*100),$B$3/(365*100)))*100,1)/100</f>
        <v>366.62</v>
      </c>
      <c r="R395" s="9">
        <f t="shared" ca="1" si="35"/>
        <v>898443.18371722393</v>
      </c>
    </row>
    <row r="396" spans="1:18" x14ac:dyDescent="0.25">
      <c r="A396">
        <v>4</v>
      </c>
      <c r="B396">
        <v>0</v>
      </c>
      <c r="C396">
        <v>4</v>
      </c>
      <c r="D396">
        <v>22.9</v>
      </c>
      <c r="E396">
        <v>41</v>
      </c>
      <c r="F396">
        <v>3.3033734529354673E-2</v>
      </c>
      <c r="G396" t="str">
        <f t="shared" si="33"/>
        <v>Insert into BlueCreditTypeRainbow Values (4, 0, 4, 22.9, 41, 0.0330337345293547)</v>
      </c>
      <c r="N396" s="4">
        <v>393</v>
      </c>
      <c r="O396" s="8">
        <f>$B$7*COUNTIF(Sheet2!$B$1:$B$132,N396)</f>
        <v>0</v>
      </c>
      <c r="P396" s="8">
        <f t="shared" ca="1" si="34"/>
        <v>0</v>
      </c>
      <c r="Q396" s="8">
        <f ca="1">CEILING(R395*(IF(N396&lt;=IF($B$2=0,0,OFFSET(Sheet2!$B$1,Sheet1!$B$2-1,0)),$B$1/(365*100),$B$3/(365*100)))*100,1)/100</f>
        <v>366.77</v>
      </c>
      <c r="R396" s="9">
        <f t="shared" ca="1" si="35"/>
        <v>898809.95371722395</v>
      </c>
    </row>
    <row r="397" spans="1:18" x14ac:dyDescent="0.25">
      <c r="A397">
        <v>4</v>
      </c>
      <c r="B397">
        <v>0</v>
      </c>
      <c r="C397">
        <v>4</v>
      </c>
      <c r="D397">
        <v>22.9</v>
      </c>
      <c r="E397">
        <v>42</v>
      </c>
      <c r="F397">
        <v>3.2514537144700685E-2</v>
      </c>
      <c r="G397" t="str">
        <f t="shared" si="33"/>
        <v>Insert into BlueCreditTypeRainbow Values (4, 0, 4, 22.9, 42, 0.0325145371447007)</v>
      </c>
      <c r="N397" s="4">
        <v>394</v>
      </c>
      <c r="O397" s="8">
        <f>$B$7*COUNTIF(Sheet2!$B$1:$B$132,N397)</f>
        <v>0</v>
      </c>
      <c r="P397" s="8">
        <f t="shared" ca="1" si="34"/>
        <v>0</v>
      </c>
      <c r="Q397" s="8">
        <f ca="1">CEILING(R396*(IF(N397&lt;=IF($B$2=0,0,OFFSET(Sheet2!$B$1,Sheet1!$B$2-1,0)),$B$1/(365*100),$B$3/(365*100)))*100,1)/100</f>
        <v>366.92</v>
      </c>
      <c r="R397" s="9">
        <f t="shared" ca="1" si="35"/>
        <v>899176.87371722399</v>
      </c>
    </row>
    <row r="398" spans="1:18" x14ac:dyDescent="0.25">
      <c r="A398">
        <v>4</v>
      </c>
      <c r="B398">
        <v>0</v>
      </c>
      <c r="C398">
        <v>4</v>
      </c>
      <c r="D398">
        <v>22.9</v>
      </c>
      <c r="E398">
        <v>43</v>
      </c>
      <c r="F398">
        <v>3.2020646766798687E-2</v>
      </c>
      <c r="G398" t="str">
        <f t="shared" si="33"/>
        <v>Insert into BlueCreditTypeRainbow Values (4, 0, 4, 22.9, 43, 0.0320206467667987)</v>
      </c>
      <c r="N398" s="4">
        <v>395</v>
      </c>
      <c r="O398" s="8">
        <f>$B$7*COUNTIF(Sheet2!$B$1:$B$132,N398)</f>
        <v>0</v>
      </c>
      <c r="P398" s="8">
        <f t="shared" ca="1" si="34"/>
        <v>0</v>
      </c>
      <c r="Q398" s="8">
        <f ca="1">CEILING(R397*(IF(N398&lt;=IF($B$2=0,0,OFFSET(Sheet2!$B$1,Sheet1!$B$2-1,0)),$B$1/(365*100),$B$3/(365*100)))*100,1)/100</f>
        <v>367.07</v>
      </c>
      <c r="R398" s="9">
        <f t="shared" ca="1" si="35"/>
        <v>899543.94371722394</v>
      </c>
    </row>
    <row r="399" spans="1:18" x14ac:dyDescent="0.25">
      <c r="A399">
        <v>4</v>
      </c>
      <c r="B399">
        <v>0</v>
      </c>
      <c r="C399">
        <v>4</v>
      </c>
      <c r="D399">
        <v>22.9</v>
      </c>
      <c r="E399">
        <v>44</v>
      </c>
      <c r="F399">
        <v>3.1550333255225556E-2</v>
      </c>
      <c r="G399" t="str">
        <f t="shared" ref="G399:G462" si="36">CONCATENATE("Insert into BlueCreditTypeRainbow Values (",A399,", ",B399,", ",C399,", ",D399,", ",E399,", ",F399,")")</f>
        <v>Insert into BlueCreditTypeRainbow Values (4, 0, 4, 22.9, 44, 0.0315503332552256)</v>
      </c>
      <c r="N399" s="4">
        <v>396</v>
      </c>
      <c r="O399" s="8">
        <f>$B$7*COUNTIF(Sheet2!$B$1:$B$132,N399)</f>
        <v>21157.10552356458</v>
      </c>
      <c r="P399" s="8">
        <f t="shared" ca="1" si="34"/>
        <v>20789.885523564579</v>
      </c>
      <c r="Q399" s="8">
        <f ca="1">CEILING(R398*(IF(N399&lt;=IF($B$2=0,0,OFFSET(Sheet2!$B$1,Sheet1!$B$2-1,0)),$B$1/(365*100),$B$3/(365*100)))*100,1)/100</f>
        <v>367.22</v>
      </c>
      <c r="R399" s="9">
        <f t="shared" ca="1" si="35"/>
        <v>878754.05819365929</v>
      </c>
    </row>
    <row r="400" spans="1:18" x14ac:dyDescent="0.25">
      <c r="A400">
        <v>4</v>
      </c>
      <c r="B400">
        <v>0</v>
      </c>
      <c r="C400">
        <v>4</v>
      </c>
      <c r="D400">
        <v>22.9</v>
      </c>
      <c r="E400">
        <v>45</v>
      </c>
      <c r="F400">
        <v>3.1102306242477586E-2</v>
      </c>
      <c r="G400" t="str">
        <f t="shared" si="36"/>
        <v>Insert into BlueCreditTypeRainbow Values (4, 0, 4, 22.9, 45, 0.0311023062424776)</v>
      </c>
      <c r="N400" s="4">
        <v>397</v>
      </c>
      <c r="O400" s="8">
        <f>$B$7*COUNTIF(Sheet2!$B$1:$B$132,N400)</f>
        <v>0</v>
      </c>
      <c r="P400" s="8">
        <f t="shared" ca="1" si="34"/>
        <v>0</v>
      </c>
      <c r="Q400" s="8">
        <f ca="1">CEILING(R399*(IF(N400&lt;=IF($B$2=0,0,OFFSET(Sheet2!$B$1,Sheet1!$B$2-1,0)),$B$1/(365*100),$B$3/(365*100)))*100,1)/100</f>
        <v>358.73</v>
      </c>
      <c r="R400" s="9">
        <f t="shared" ca="1" si="35"/>
        <v>879112.78819365927</v>
      </c>
    </row>
    <row r="401" spans="1:18" x14ac:dyDescent="0.25">
      <c r="A401">
        <v>4</v>
      </c>
      <c r="B401">
        <v>0</v>
      </c>
      <c r="C401">
        <v>4</v>
      </c>
      <c r="D401">
        <v>22.9</v>
      </c>
      <c r="E401">
        <v>46</v>
      </c>
      <c r="F401">
        <v>3.067483023732159E-2</v>
      </c>
      <c r="G401" t="str">
        <f t="shared" si="36"/>
        <v>Insert into BlueCreditTypeRainbow Values (4, 0, 4, 22.9, 46, 0.0306748302373216)</v>
      </c>
      <c r="N401" s="4">
        <v>398</v>
      </c>
      <c r="O401" s="8">
        <f>$B$7*COUNTIF(Sheet2!$B$1:$B$132,N401)</f>
        <v>0</v>
      </c>
      <c r="P401" s="8">
        <f t="shared" ca="1" si="34"/>
        <v>0</v>
      </c>
      <c r="Q401" s="8">
        <f ca="1">CEILING(R400*(IF(N401&lt;=IF($B$2=0,0,OFFSET(Sheet2!$B$1,Sheet1!$B$2-1,0)),$B$1/(365*100),$B$3/(365*100)))*100,1)/100</f>
        <v>358.88</v>
      </c>
      <c r="R401" s="9">
        <f t="shared" ca="1" si="35"/>
        <v>879471.66819365928</v>
      </c>
    </row>
    <row r="402" spans="1:18" x14ac:dyDescent="0.25">
      <c r="A402">
        <v>4</v>
      </c>
      <c r="B402">
        <v>0</v>
      </c>
      <c r="C402">
        <v>4</v>
      </c>
      <c r="D402">
        <v>22.9</v>
      </c>
      <c r="E402">
        <v>47</v>
      </c>
      <c r="F402">
        <v>3.026684574468088E-2</v>
      </c>
      <c r="G402" t="str">
        <f t="shared" si="36"/>
        <v>Insert into BlueCreditTypeRainbow Values (4, 0, 4, 22.9, 47, 0.0302668457446809)</v>
      </c>
      <c r="N402" s="4">
        <v>399</v>
      </c>
      <c r="O402" s="8">
        <f>$B$7*COUNTIF(Sheet2!$B$1:$B$132,N402)</f>
        <v>0</v>
      </c>
      <c r="P402" s="8">
        <f t="shared" ca="1" si="34"/>
        <v>0</v>
      </c>
      <c r="Q402" s="8">
        <f ca="1">CEILING(R401*(IF(N402&lt;=IF($B$2=0,0,OFFSET(Sheet2!$B$1,Sheet1!$B$2-1,0)),$B$1/(365*100),$B$3/(365*100)))*100,1)/100</f>
        <v>359.02</v>
      </c>
      <c r="R402" s="9">
        <f t="shared" ca="1" si="35"/>
        <v>879830.6881936593</v>
      </c>
    </row>
    <row r="403" spans="1:18" x14ac:dyDescent="0.25">
      <c r="A403">
        <v>4</v>
      </c>
      <c r="B403">
        <v>0</v>
      </c>
      <c r="C403">
        <v>4</v>
      </c>
      <c r="D403">
        <v>22.9</v>
      </c>
      <c r="E403">
        <v>48</v>
      </c>
      <c r="F403">
        <v>2.9876885018396016E-2</v>
      </c>
      <c r="G403" t="str">
        <f t="shared" si="36"/>
        <v>Insert into BlueCreditTypeRainbow Values (4, 0, 4, 22.9, 48, 0.029876885018396)</v>
      </c>
      <c r="N403" s="4">
        <v>400</v>
      </c>
      <c r="O403" s="8">
        <f>$B$7*COUNTIF(Sheet2!$B$1:$B$132,N403)</f>
        <v>0</v>
      </c>
      <c r="P403" s="8">
        <f t="shared" ca="1" si="34"/>
        <v>0</v>
      </c>
      <c r="Q403" s="8">
        <f ca="1">CEILING(R402*(IF(N403&lt;=IF($B$2=0,0,OFFSET(Sheet2!$B$1,Sheet1!$B$2-1,0)),$B$1/(365*100),$B$3/(365*100)))*100,1)/100</f>
        <v>359.17</v>
      </c>
      <c r="R403" s="9">
        <f t="shared" ca="1" si="35"/>
        <v>880189.85819365934</v>
      </c>
    </row>
    <row r="404" spans="1:18" x14ac:dyDescent="0.25">
      <c r="A404">
        <v>4</v>
      </c>
      <c r="B404">
        <v>0</v>
      </c>
      <c r="C404">
        <v>3</v>
      </c>
      <c r="D404">
        <v>22.9</v>
      </c>
      <c r="E404">
        <v>36</v>
      </c>
      <c r="F404">
        <v>3.6717711722884579E-2</v>
      </c>
      <c r="G404" t="str">
        <f t="shared" si="36"/>
        <v>Insert into BlueCreditTypeRainbow Values (4, 0, 3, 22.9, 36, 0.0367177117228846)</v>
      </c>
      <c r="N404" s="4">
        <v>401</v>
      </c>
      <c r="O404" s="8">
        <f>$B$7*COUNTIF(Sheet2!$B$1:$B$132,N404)</f>
        <v>0</v>
      </c>
      <c r="P404" s="8">
        <f t="shared" ca="1" si="34"/>
        <v>0</v>
      </c>
      <c r="Q404" s="8">
        <f ca="1">CEILING(R403*(IF(N404&lt;=IF($B$2=0,0,OFFSET(Sheet2!$B$1,Sheet1!$B$2-1,0)),$B$1/(365*100),$B$3/(365*100)))*100,1)/100</f>
        <v>359.32</v>
      </c>
      <c r="R404" s="9">
        <f t="shared" ca="1" si="35"/>
        <v>880549.17819365929</v>
      </c>
    </row>
    <row r="405" spans="1:18" x14ac:dyDescent="0.25">
      <c r="A405">
        <v>4</v>
      </c>
      <c r="B405">
        <v>0</v>
      </c>
      <c r="C405">
        <v>3</v>
      </c>
      <c r="D405">
        <v>22.9</v>
      </c>
      <c r="E405">
        <v>37</v>
      </c>
      <c r="F405">
        <v>3.6027409459459502E-2</v>
      </c>
      <c r="G405" t="str">
        <f t="shared" si="36"/>
        <v>Insert into BlueCreditTypeRainbow Values (4, 0, 3, 22.9, 37, 0.0360274094594595)</v>
      </c>
      <c r="N405" s="4">
        <v>402</v>
      </c>
      <c r="O405" s="8">
        <f>$B$7*COUNTIF(Sheet2!$B$1:$B$132,N405)</f>
        <v>0</v>
      </c>
      <c r="P405" s="8">
        <f t="shared" ca="1" si="34"/>
        <v>0</v>
      </c>
      <c r="Q405" s="8">
        <f ca="1">CEILING(R404*(IF(N405&lt;=IF($B$2=0,0,OFFSET(Sheet2!$B$1,Sheet1!$B$2-1,0)),$B$1/(365*100),$B$3/(365*100)))*100,1)/100</f>
        <v>359.46</v>
      </c>
      <c r="R405" s="9">
        <f t="shared" ca="1" si="35"/>
        <v>880908.63819365925</v>
      </c>
    </row>
    <row r="406" spans="1:18" x14ac:dyDescent="0.25">
      <c r="A406">
        <v>4</v>
      </c>
      <c r="B406">
        <v>0</v>
      </c>
      <c r="C406">
        <v>3</v>
      </c>
      <c r="D406">
        <v>22.9</v>
      </c>
      <c r="E406">
        <v>38</v>
      </c>
      <c r="F406">
        <v>3.5374760263157959E-2</v>
      </c>
      <c r="G406" t="str">
        <f t="shared" si="36"/>
        <v>Insert into BlueCreditTypeRainbow Values (4, 0, 3, 22.9, 38, 0.035374760263158)</v>
      </c>
      <c r="N406" s="4">
        <v>403</v>
      </c>
      <c r="O406" s="8">
        <f>$B$7*COUNTIF(Sheet2!$B$1:$B$132,N406)</f>
        <v>0</v>
      </c>
      <c r="P406" s="8">
        <f t="shared" ca="1" si="34"/>
        <v>0</v>
      </c>
      <c r="Q406" s="8">
        <f ca="1">CEILING(R405*(IF(N406&lt;=IF($B$2=0,0,OFFSET(Sheet2!$B$1,Sheet1!$B$2-1,0)),$B$1/(365*100),$B$3/(365*100)))*100,1)/100</f>
        <v>359.61</v>
      </c>
      <c r="R406" s="9">
        <f t="shared" ca="1" si="35"/>
        <v>881268.24819365924</v>
      </c>
    </row>
    <row r="407" spans="1:18" x14ac:dyDescent="0.25">
      <c r="A407">
        <v>4</v>
      </c>
      <c r="B407">
        <v>0</v>
      </c>
      <c r="C407">
        <v>3</v>
      </c>
      <c r="D407">
        <v>22.9</v>
      </c>
      <c r="E407">
        <v>39</v>
      </c>
      <c r="F407">
        <v>3.4757238995947397E-2</v>
      </c>
      <c r="G407" t="str">
        <f t="shared" si="36"/>
        <v>Insert into BlueCreditTypeRainbow Values (4, 0, 3, 22.9, 39, 0.0347572389959474)</v>
      </c>
      <c r="N407" s="4">
        <v>404</v>
      </c>
      <c r="O407" s="8">
        <f>$B$7*COUNTIF(Sheet2!$B$1:$B$132,N407)</f>
        <v>0</v>
      </c>
      <c r="P407" s="8">
        <f t="shared" ca="1" si="34"/>
        <v>0</v>
      </c>
      <c r="Q407" s="8">
        <f ca="1">CEILING(R406*(IF(N407&lt;=IF($B$2=0,0,OFFSET(Sheet2!$B$1,Sheet1!$B$2-1,0)),$B$1/(365*100),$B$3/(365*100)))*100,1)/100</f>
        <v>359.76</v>
      </c>
      <c r="R407" s="9">
        <f t="shared" ca="1" si="35"/>
        <v>881628.00819365925</v>
      </c>
    </row>
    <row r="408" spans="1:18" x14ac:dyDescent="0.25">
      <c r="A408">
        <v>4</v>
      </c>
      <c r="B408">
        <v>0</v>
      </c>
      <c r="C408">
        <v>3</v>
      </c>
      <c r="D408">
        <v>22.9</v>
      </c>
      <c r="E408">
        <v>40</v>
      </c>
      <c r="F408">
        <v>3.4172197000000029E-2</v>
      </c>
      <c r="G408" t="str">
        <f t="shared" si="36"/>
        <v>Insert into BlueCreditTypeRainbow Values (4, 0, 3, 22.9, 40, 0.034172197)</v>
      </c>
      <c r="N408" s="4">
        <v>405</v>
      </c>
      <c r="O408" s="8">
        <f>$B$7*COUNTIF(Sheet2!$B$1:$B$132,N408)</f>
        <v>0</v>
      </c>
      <c r="P408" s="8">
        <f t="shared" ca="1" si="34"/>
        <v>0</v>
      </c>
      <c r="Q408" s="8">
        <f ca="1">CEILING(R407*(IF(N408&lt;=IF($B$2=0,0,OFFSET(Sheet2!$B$1,Sheet1!$B$2-1,0)),$B$1/(365*100),$B$3/(365*100)))*100,1)/100</f>
        <v>359.9</v>
      </c>
      <c r="R408" s="9">
        <f t="shared" ca="1" si="35"/>
        <v>881987.90819365927</v>
      </c>
    </row>
    <row r="409" spans="1:18" x14ac:dyDescent="0.25">
      <c r="A409">
        <v>4</v>
      </c>
      <c r="B409">
        <v>0</v>
      </c>
      <c r="C409">
        <v>3</v>
      </c>
      <c r="D409">
        <v>22.9</v>
      </c>
      <c r="E409">
        <v>41</v>
      </c>
      <c r="F409">
        <v>3.3616894637018398E-2</v>
      </c>
      <c r="G409" t="str">
        <f t="shared" si="36"/>
        <v>Insert into BlueCreditTypeRainbow Values (4, 0, 3, 22.9, 41, 0.0336168946370184)</v>
      </c>
      <c r="N409" s="4">
        <v>406</v>
      </c>
      <c r="O409" s="8">
        <f>$B$7*COUNTIF(Sheet2!$B$1:$B$132,N409)</f>
        <v>0</v>
      </c>
      <c r="P409" s="8">
        <f t="shared" ca="1" si="34"/>
        <v>0</v>
      </c>
      <c r="Q409" s="8">
        <f ca="1">CEILING(R408*(IF(N409&lt;=IF($B$2=0,0,OFFSET(Sheet2!$B$1,Sheet1!$B$2-1,0)),$B$1/(365*100),$B$3/(365*100)))*100,1)/100</f>
        <v>360.05</v>
      </c>
      <c r="R409" s="9">
        <f t="shared" ca="1" si="35"/>
        <v>882347.95819365932</v>
      </c>
    </row>
    <row r="410" spans="1:18" x14ac:dyDescent="0.25">
      <c r="A410">
        <v>4</v>
      </c>
      <c r="B410">
        <v>0</v>
      </c>
      <c r="C410">
        <v>3</v>
      </c>
      <c r="D410">
        <v>22.9</v>
      </c>
      <c r="E410">
        <v>42</v>
      </c>
      <c r="F410">
        <v>3.3089550241604475E-2</v>
      </c>
      <c r="G410" t="str">
        <f t="shared" si="36"/>
        <v>Insert into BlueCreditTypeRainbow Values (4, 0, 3, 22.9, 42, 0.0330895502416045)</v>
      </c>
      <c r="N410" s="4">
        <v>407</v>
      </c>
      <c r="O410" s="8">
        <f>$B$7*COUNTIF(Sheet2!$B$1:$B$132,N410)</f>
        <v>0</v>
      </c>
      <c r="P410" s="8">
        <f t="shared" ca="1" si="34"/>
        <v>0</v>
      </c>
      <c r="Q410" s="8">
        <f ca="1">CEILING(R409*(IF(N410&lt;=IF($B$2=0,0,OFFSET(Sheet2!$B$1,Sheet1!$B$2-1,0)),$B$1/(365*100),$B$3/(365*100)))*100,1)/100</f>
        <v>360.2</v>
      </c>
      <c r="R410" s="9">
        <f t="shared" ca="1" si="35"/>
        <v>882708.15819365927</v>
      </c>
    </row>
    <row r="411" spans="1:18" x14ac:dyDescent="0.25">
      <c r="A411">
        <v>4</v>
      </c>
      <c r="B411">
        <v>0</v>
      </c>
      <c r="C411">
        <v>3</v>
      </c>
      <c r="D411">
        <v>22.9</v>
      </c>
      <c r="E411">
        <v>43</v>
      </c>
      <c r="F411">
        <v>3.2587859513936293E-2</v>
      </c>
      <c r="G411" t="str">
        <f t="shared" si="36"/>
        <v>Insert into BlueCreditTypeRainbow Values (4, 0, 3, 22.9, 43, 0.0325878595139363)</v>
      </c>
      <c r="N411" s="4">
        <v>408</v>
      </c>
      <c r="O411" s="8">
        <f>$B$7*COUNTIF(Sheet2!$B$1:$B$132,N411)</f>
        <v>0</v>
      </c>
      <c r="P411" s="8">
        <f t="shared" ca="1" si="34"/>
        <v>0</v>
      </c>
      <c r="Q411" s="8">
        <f ca="1">CEILING(R410*(IF(N411&lt;=IF($B$2=0,0,OFFSET(Sheet2!$B$1,Sheet1!$B$2-1,0)),$B$1/(365*100),$B$3/(365*100)))*100,1)/100</f>
        <v>360.34</v>
      </c>
      <c r="R411" s="9">
        <f t="shared" ca="1" si="35"/>
        <v>883068.49819365924</v>
      </c>
    </row>
    <row r="412" spans="1:18" x14ac:dyDescent="0.25">
      <c r="A412">
        <v>4</v>
      </c>
      <c r="B412">
        <v>0</v>
      </c>
      <c r="C412">
        <v>3</v>
      </c>
      <c r="D412">
        <v>22.9</v>
      </c>
      <c r="E412">
        <v>44</v>
      </c>
      <c r="F412">
        <v>3.2110107282390388E-2</v>
      </c>
      <c r="G412" t="str">
        <f t="shared" si="36"/>
        <v>Insert into BlueCreditTypeRainbow Values (4, 0, 3, 22.9, 44, 0.0321101072823904)</v>
      </c>
      <c r="N412" s="4">
        <v>409</v>
      </c>
      <c r="O412" s="8">
        <f>$B$7*COUNTIF(Sheet2!$B$1:$B$132,N412)</f>
        <v>0</v>
      </c>
      <c r="P412" s="8">
        <f t="shared" ca="1" si="34"/>
        <v>0</v>
      </c>
      <c r="Q412" s="8">
        <f ca="1">CEILING(R411*(IF(N412&lt;=IF($B$2=0,0,OFFSET(Sheet2!$B$1,Sheet1!$B$2-1,0)),$B$1/(365*100),$B$3/(365*100)))*100,1)/100</f>
        <v>360.49</v>
      </c>
      <c r="R412" s="9">
        <f t="shared" ca="1" si="35"/>
        <v>883428.98819365923</v>
      </c>
    </row>
    <row r="413" spans="1:18" x14ac:dyDescent="0.25">
      <c r="A413">
        <v>4</v>
      </c>
      <c r="B413">
        <v>0</v>
      </c>
      <c r="C413">
        <v>3</v>
      </c>
      <c r="D413">
        <v>22.9</v>
      </c>
      <c r="E413">
        <v>45</v>
      </c>
      <c r="F413">
        <v>3.1654967342391732E-2</v>
      </c>
      <c r="G413" t="str">
        <f t="shared" si="36"/>
        <v>Insert into BlueCreditTypeRainbow Values (4, 0, 3, 22.9, 45, 0.0316549673423917)</v>
      </c>
      <c r="N413" s="4">
        <v>410</v>
      </c>
      <c r="O413" s="8">
        <f>$B$7*COUNTIF(Sheet2!$B$1:$B$132,N413)</f>
        <v>0</v>
      </c>
      <c r="P413" s="8">
        <f t="shared" ca="1" si="34"/>
        <v>0</v>
      </c>
      <c r="Q413" s="8">
        <f ca="1">CEILING(R412*(IF(N413&lt;=IF($B$2=0,0,OFFSET(Sheet2!$B$1,Sheet1!$B$2-1,0)),$B$1/(365*100),$B$3/(365*100)))*100,1)/100</f>
        <v>360.64</v>
      </c>
      <c r="R413" s="9">
        <f t="shared" ca="1" si="35"/>
        <v>883789.62819365924</v>
      </c>
    </row>
    <row r="414" spans="1:18" x14ac:dyDescent="0.25">
      <c r="A414">
        <v>4</v>
      </c>
      <c r="B414">
        <v>0</v>
      </c>
      <c r="C414">
        <v>3</v>
      </c>
      <c r="D414">
        <v>22.9</v>
      </c>
      <c r="E414">
        <v>46</v>
      </c>
      <c r="F414">
        <v>3.1220680674235748E-2</v>
      </c>
      <c r="G414" t="str">
        <f t="shared" si="36"/>
        <v>Insert into BlueCreditTypeRainbow Values (4, 0, 3, 22.9, 46, 0.0312206806742357)</v>
      </c>
      <c r="N414" s="4">
        <v>411</v>
      </c>
      <c r="O414" s="8">
        <f>$B$7*COUNTIF(Sheet2!$B$1:$B$132,N414)</f>
        <v>0</v>
      </c>
      <c r="P414" s="8">
        <f t="shared" ca="1" si="34"/>
        <v>0</v>
      </c>
      <c r="Q414" s="8">
        <f ca="1">CEILING(R413*(IF(N414&lt;=IF($B$2=0,0,OFFSET(Sheet2!$B$1,Sheet1!$B$2-1,0)),$B$1/(365*100),$B$3/(365*100)))*100,1)/100</f>
        <v>360.78</v>
      </c>
      <c r="R414" s="9">
        <f t="shared" ca="1" si="35"/>
        <v>884150.40819365927</v>
      </c>
    </row>
    <row r="415" spans="1:18" x14ac:dyDescent="0.25">
      <c r="A415">
        <v>4</v>
      </c>
      <c r="B415">
        <v>0</v>
      </c>
      <c r="C415">
        <v>3</v>
      </c>
      <c r="D415">
        <v>22.9</v>
      </c>
      <c r="E415">
        <v>47</v>
      </c>
      <c r="F415">
        <v>3.0806170465793169E-2</v>
      </c>
      <c r="G415" t="str">
        <f t="shared" si="36"/>
        <v>Insert into BlueCreditTypeRainbow Values (4, 0, 3, 22.9, 47, 0.0308061704657932)</v>
      </c>
      <c r="N415" s="4">
        <v>412</v>
      </c>
      <c r="O415" s="8">
        <f>$B$7*COUNTIF(Sheet2!$B$1:$B$132,N415)</f>
        <v>0</v>
      </c>
      <c r="P415" s="8">
        <f t="shared" ca="1" si="34"/>
        <v>0</v>
      </c>
      <c r="Q415" s="8">
        <f ca="1">CEILING(R414*(IF(N415&lt;=IF($B$2=0,0,OFFSET(Sheet2!$B$1,Sheet1!$B$2-1,0)),$B$1/(365*100),$B$3/(365*100)))*100,1)/100</f>
        <v>360.93</v>
      </c>
      <c r="R415" s="9">
        <f t="shared" ca="1" si="35"/>
        <v>884511.33819365932</v>
      </c>
    </row>
    <row r="416" spans="1:18" x14ac:dyDescent="0.25">
      <c r="A416">
        <v>4</v>
      </c>
      <c r="B416">
        <v>0</v>
      </c>
      <c r="C416">
        <v>3</v>
      </c>
      <c r="D416">
        <v>22.9</v>
      </c>
      <c r="E416">
        <v>48</v>
      </c>
      <c r="F416">
        <v>3.0409953141075169E-2</v>
      </c>
      <c r="G416" t="str">
        <f t="shared" si="36"/>
        <v>Insert into BlueCreditTypeRainbow Values (4, 0, 3, 22.9, 48, 0.0304099531410752)</v>
      </c>
      <c r="N416" s="4">
        <v>413</v>
      </c>
      <c r="O416" s="8">
        <f>$B$7*COUNTIF(Sheet2!$B$1:$B$132,N416)</f>
        <v>0</v>
      </c>
      <c r="P416" s="8">
        <f t="shared" ca="1" si="34"/>
        <v>0</v>
      </c>
      <c r="Q416" s="8">
        <f ca="1">CEILING(R415*(IF(N416&lt;=IF($B$2=0,0,OFFSET(Sheet2!$B$1,Sheet1!$B$2-1,0)),$B$1/(365*100),$B$3/(365*100)))*100,1)/100</f>
        <v>361.08</v>
      </c>
      <c r="R416" s="9">
        <f t="shared" ca="1" si="35"/>
        <v>884872.41819365928</v>
      </c>
    </row>
    <row r="417" spans="1:18" x14ac:dyDescent="0.25">
      <c r="A417">
        <v>4</v>
      </c>
      <c r="B417">
        <v>0</v>
      </c>
      <c r="C417">
        <v>2</v>
      </c>
      <c r="D417">
        <v>22.9</v>
      </c>
      <c r="E417">
        <v>36</v>
      </c>
      <c r="F417">
        <v>3.736301436284286E-2</v>
      </c>
      <c r="G417" t="str">
        <f t="shared" si="36"/>
        <v>Insert into BlueCreditTypeRainbow Values (4, 0, 2, 22.9, 36, 0.0373630143628429)</v>
      </c>
      <c r="N417" s="4">
        <v>414</v>
      </c>
      <c r="O417" s="8">
        <f>$B$7*COUNTIF(Sheet2!$B$1:$B$132,N417)</f>
        <v>0</v>
      </c>
      <c r="P417" s="8">
        <f t="shared" ca="1" si="34"/>
        <v>0</v>
      </c>
      <c r="Q417" s="8">
        <f ca="1">CEILING(R416*(IF(N417&lt;=IF($B$2=0,0,OFFSET(Sheet2!$B$1,Sheet1!$B$2-1,0)),$B$1/(365*100),$B$3/(365*100)))*100,1)/100</f>
        <v>361.23</v>
      </c>
      <c r="R417" s="9">
        <f t="shared" ca="1" si="35"/>
        <v>885233.64819365926</v>
      </c>
    </row>
    <row r="418" spans="1:18" x14ac:dyDescent="0.25">
      <c r="A418">
        <v>4</v>
      </c>
      <c r="B418">
        <v>0</v>
      </c>
      <c r="C418">
        <v>2</v>
      </c>
      <c r="D418">
        <v>22.9</v>
      </c>
      <c r="E418">
        <v>37</v>
      </c>
      <c r="F418">
        <v>3.6661545967078067E-2</v>
      </c>
      <c r="G418" t="str">
        <f t="shared" si="36"/>
        <v>Insert into BlueCreditTypeRainbow Values (4, 0, 2, 22.9, 37, 0.0366615459670781)</v>
      </c>
      <c r="N418" s="4">
        <v>415</v>
      </c>
      <c r="O418" s="8">
        <f>$B$7*COUNTIF(Sheet2!$B$1:$B$132,N418)</f>
        <v>0</v>
      </c>
      <c r="P418" s="8">
        <f t="shared" ca="1" si="34"/>
        <v>0</v>
      </c>
      <c r="Q418" s="8">
        <f ca="1">CEILING(R417*(IF(N418&lt;=IF($B$2=0,0,OFFSET(Sheet2!$B$1,Sheet1!$B$2-1,0)),$B$1/(365*100),$B$3/(365*100)))*100,1)/100</f>
        <v>361.37</v>
      </c>
      <c r="R418" s="9">
        <f t="shared" ca="1" si="35"/>
        <v>885595.01819365926</v>
      </c>
    </row>
    <row r="419" spans="1:18" x14ac:dyDescent="0.25">
      <c r="A419">
        <v>4</v>
      </c>
      <c r="B419">
        <v>0</v>
      </c>
      <c r="C419">
        <v>2</v>
      </c>
      <c r="D419">
        <v>22.9</v>
      </c>
      <c r="E419">
        <v>38</v>
      </c>
      <c r="F419">
        <v>3.5998300755296773E-2</v>
      </c>
      <c r="G419" t="str">
        <f t="shared" si="36"/>
        <v>Insert into BlueCreditTypeRainbow Values (4, 0, 2, 22.9, 38, 0.0359983007552968)</v>
      </c>
      <c r="N419" s="4">
        <v>416</v>
      </c>
      <c r="O419" s="8">
        <f>$B$7*COUNTIF(Sheet2!$B$1:$B$132,N419)</f>
        <v>0</v>
      </c>
      <c r="P419" s="8">
        <f t="shared" ca="1" si="34"/>
        <v>0</v>
      </c>
      <c r="Q419" s="8">
        <f ca="1">CEILING(R418*(IF(N419&lt;=IF($B$2=0,0,OFFSET(Sheet2!$B$1,Sheet1!$B$2-1,0)),$B$1/(365*100),$B$3/(365*100)))*100,1)/100</f>
        <v>361.52</v>
      </c>
      <c r="R419" s="9">
        <f t="shared" ca="1" si="35"/>
        <v>885956.53819365927</v>
      </c>
    </row>
    <row r="420" spans="1:18" x14ac:dyDescent="0.25">
      <c r="A420">
        <v>4</v>
      </c>
      <c r="B420">
        <v>0</v>
      </c>
      <c r="C420">
        <v>2</v>
      </c>
      <c r="D420">
        <v>22.9</v>
      </c>
      <c r="E420">
        <v>39</v>
      </c>
      <c r="F420">
        <v>3.5370715836560679E-2</v>
      </c>
      <c r="G420" t="str">
        <f t="shared" si="36"/>
        <v>Insert into BlueCreditTypeRainbow Values (4, 0, 2, 22.9, 39, 0.0353707158365607)</v>
      </c>
      <c r="N420" s="4">
        <v>417</v>
      </c>
      <c r="O420" s="8">
        <f>$B$7*COUNTIF(Sheet2!$B$1:$B$132,N420)</f>
        <v>0</v>
      </c>
      <c r="P420" s="8">
        <f t="shared" ca="1" si="34"/>
        <v>0</v>
      </c>
      <c r="Q420" s="8">
        <f ca="1">CEILING(R419*(IF(N420&lt;=IF($B$2=0,0,OFFSET(Sheet2!$B$1,Sheet1!$B$2-1,0)),$B$1/(365*100),$B$3/(365*100)))*100,1)/100</f>
        <v>361.67</v>
      </c>
      <c r="R420" s="9">
        <f t="shared" ca="1" si="35"/>
        <v>886318.20819365932</v>
      </c>
    </row>
    <row r="421" spans="1:18" x14ac:dyDescent="0.25">
      <c r="A421">
        <v>4</v>
      </c>
      <c r="B421">
        <v>0</v>
      </c>
      <c r="C421">
        <v>2</v>
      </c>
      <c r="D421">
        <v>22.9</v>
      </c>
      <c r="E421">
        <v>40</v>
      </c>
      <c r="F421">
        <v>3.4776132521833938E-2</v>
      </c>
      <c r="G421" t="str">
        <f t="shared" si="36"/>
        <v>Insert into BlueCreditTypeRainbow Values (4, 0, 2, 22.9, 40, 0.0347761325218339)</v>
      </c>
      <c r="N421" s="4">
        <v>418</v>
      </c>
      <c r="O421" s="8">
        <f>$B$7*COUNTIF(Sheet2!$B$1:$B$132,N421)</f>
        <v>0</v>
      </c>
      <c r="P421" s="8">
        <f t="shared" ca="1" si="34"/>
        <v>0</v>
      </c>
      <c r="Q421" s="8">
        <f ca="1">CEILING(R420*(IF(N421&lt;=IF($B$2=0,0,OFFSET(Sheet2!$B$1,Sheet1!$B$2-1,0)),$B$1/(365*100),$B$3/(365*100)))*100,1)/100</f>
        <v>361.82</v>
      </c>
      <c r="R421" s="9">
        <f t="shared" ca="1" si="35"/>
        <v>886680.02819365927</v>
      </c>
    </row>
    <row r="422" spans="1:18" x14ac:dyDescent="0.25">
      <c r="A422">
        <v>4</v>
      </c>
      <c r="B422">
        <v>0</v>
      </c>
      <c r="C422">
        <v>2</v>
      </c>
      <c r="D422">
        <v>22.9</v>
      </c>
      <c r="E422">
        <v>41</v>
      </c>
      <c r="F422">
        <v>3.4211731527582126E-2</v>
      </c>
      <c r="G422" t="str">
        <f t="shared" si="36"/>
        <v>Insert into BlueCreditTypeRainbow Values (4, 0, 2, 22.9, 41, 0.0342117315275821)</v>
      </c>
      <c r="N422" s="4">
        <v>419</v>
      </c>
      <c r="O422" s="8">
        <f>$B$7*COUNTIF(Sheet2!$B$1:$B$132,N422)</f>
        <v>0</v>
      </c>
      <c r="P422" s="8">
        <f t="shared" ca="1" si="34"/>
        <v>0</v>
      </c>
      <c r="Q422" s="8">
        <f ca="1">CEILING(R421*(IF(N422&lt;=IF($B$2=0,0,OFFSET(Sheet2!$B$1,Sheet1!$B$2-1,0)),$B$1/(365*100),$B$3/(365*100)))*100,1)/100</f>
        <v>361.96</v>
      </c>
      <c r="R422" s="9">
        <f t="shared" ca="1" si="35"/>
        <v>887041.98819365923</v>
      </c>
    </row>
    <row r="423" spans="1:18" x14ac:dyDescent="0.25">
      <c r="A423">
        <v>4</v>
      </c>
      <c r="B423">
        <v>0</v>
      </c>
      <c r="C423">
        <v>2</v>
      </c>
      <c r="D423">
        <v>22.9</v>
      </c>
      <c r="E423">
        <v>42</v>
      </c>
      <c r="F423">
        <v>3.3675723117508771E-2</v>
      </c>
      <c r="G423" t="str">
        <f t="shared" si="36"/>
        <v>Insert into BlueCreditTypeRainbow Values (4, 0, 2, 22.9, 42, 0.0336757231175088)</v>
      </c>
      <c r="N423" s="4">
        <v>420</v>
      </c>
      <c r="O423" s="8">
        <f>$B$7*COUNTIF(Sheet2!$B$1:$B$132,N423)</f>
        <v>0</v>
      </c>
      <c r="P423" s="8">
        <f t="shared" ca="1" si="34"/>
        <v>0</v>
      </c>
      <c r="Q423" s="8">
        <f ca="1">CEILING(R422*(IF(N423&lt;=IF($B$2=0,0,OFFSET(Sheet2!$B$1,Sheet1!$B$2-1,0)),$B$1/(365*100),$B$3/(365*100)))*100,1)/100</f>
        <v>362.11</v>
      </c>
      <c r="R423" s="9">
        <f t="shared" ca="1" si="35"/>
        <v>887404.09819365921</v>
      </c>
    </row>
    <row r="424" spans="1:18" x14ac:dyDescent="0.25">
      <c r="A424">
        <v>4</v>
      </c>
      <c r="B424">
        <v>0</v>
      </c>
      <c r="C424">
        <v>2</v>
      </c>
      <c r="D424">
        <v>22.9</v>
      </c>
      <c r="E424">
        <v>43</v>
      </c>
      <c r="F424">
        <v>3.3165785152838391E-2</v>
      </c>
      <c r="G424" t="str">
        <f t="shared" si="36"/>
        <v>Insert into BlueCreditTypeRainbow Values (4, 0, 2, 22.9, 43, 0.0331657851528384)</v>
      </c>
      <c r="N424" s="4">
        <v>421</v>
      </c>
      <c r="O424" s="8">
        <f>$B$7*COUNTIF(Sheet2!$B$1:$B$132,N424)</f>
        <v>0</v>
      </c>
      <c r="P424" s="8">
        <f t="shared" ca="1" si="34"/>
        <v>0</v>
      </c>
      <c r="Q424" s="8">
        <f ca="1">CEILING(R423*(IF(N424&lt;=IF($B$2=0,0,OFFSET(Sheet2!$B$1,Sheet1!$B$2-1,0)),$B$1/(365*100),$B$3/(365*100)))*100,1)/100</f>
        <v>362.26</v>
      </c>
      <c r="R424" s="9">
        <f t="shared" ca="1" si="35"/>
        <v>887766.35819365922</v>
      </c>
    </row>
    <row r="425" spans="1:18" x14ac:dyDescent="0.25">
      <c r="A425">
        <v>4</v>
      </c>
      <c r="B425">
        <v>0</v>
      </c>
      <c r="C425">
        <v>2</v>
      </c>
      <c r="D425">
        <v>22.9</v>
      </c>
      <c r="E425">
        <v>44</v>
      </c>
      <c r="F425">
        <v>3.2680150460492614E-2</v>
      </c>
      <c r="G425" t="str">
        <f t="shared" si="36"/>
        <v>Insert into BlueCreditTypeRainbow Values (4, 0, 2, 22.9, 44, 0.0326801504604926)</v>
      </c>
      <c r="N425" s="4">
        <v>422</v>
      </c>
      <c r="O425" s="8">
        <f>$B$7*COUNTIF(Sheet2!$B$1:$B$132,N425)</f>
        <v>0</v>
      </c>
      <c r="P425" s="8">
        <f t="shared" ca="1" si="34"/>
        <v>0</v>
      </c>
      <c r="Q425" s="8">
        <f ca="1">CEILING(R424*(IF(N425&lt;=IF($B$2=0,0,OFFSET(Sheet2!$B$1,Sheet1!$B$2-1,0)),$B$1/(365*100),$B$3/(365*100)))*100,1)/100</f>
        <v>362.41</v>
      </c>
      <c r="R425" s="9">
        <f t="shared" ca="1" si="35"/>
        <v>888128.76819365926</v>
      </c>
    </row>
    <row r="426" spans="1:18" x14ac:dyDescent="0.25">
      <c r="A426">
        <v>4</v>
      </c>
      <c r="B426">
        <v>0</v>
      </c>
      <c r="C426">
        <v>2</v>
      </c>
      <c r="D426">
        <v>22.9</v>
      </c>
      <c r="E426">
        <v>45</v>
      </c>
      <c r="F426">
        <v>3.2217483438864526E-2</v>
      </c>
      <c r="G426" t="str">
        <f t="shared" si="36"/>
        <v>Insert into BlueCreditTypeRainbow Values (4, 0, 2, 22.9, 45, 0.0322174834388645)</v>
      </c>
      <c r="N426" s="4">
        <v>423</v>
      </c>
      <c r="O426" s="8">
        <f>$B$7*COUNTIF(Sheet2!$B$1:$B$132,N426)</f>
        <v>0</v>
      </c>
      <c r="P426" s="8">
        <f t="shared" ca="1" si="34"/>
        <v>0</v>
      </c>
      <c r="Q426" s="8">
        <f ca="1">CEILING(R425*(IF(N426&lt;=IF($B$2=0,0,OFFSET(Sheet2!$B$1,Sheet1!$B$2-1,0)),$B$1/(365*100),$B$3/(365*100)))*100,1)/100</f>
        <v>362.56</v>
      </c>
      <c r="R426" s="9">
        <f t="shared" ca="1" si="35"/>
        <v>888491.32819365931</v>
      </c>
    </row>
    <row r="427" spans="1:18" x14ac:dyDescent="0.25">
      <c r="A427">
        <v>4</v>
      </c>
      <c r="B427">
        <v>0</v>
      </c>
      <c r="C427">
        <v>2</v>
      </c>
      <c r="D427">
        <v>22.9</v>
      </c>
      <c r="E427">
        <v>46</v>
      </c>
      <c r="F427">
        <v>3.1776003122164165E-2</v>
      </c>
      <c r="G427" t="str">
        <f t="shared" si="36"/>
        <v>Insert into BlueCreditTypeRainbow Values (4, 0, 2, 22.9, 46, 0.0317760031221642)</v>
      </c>
      <c r="N427" s="4">
        <v>424</v>
      </c>
      <c r="O427" s="8">
        <f>$B$7*COUNTIF(Sheet2!$B$1:$B$132,N427)</f>
        <v>0</v>
      </c>
      <c r="P427" s="8">
        <f t="shared" ca="1" si="34"/>
        <v>0</v>
      </c>
      <c r="Q427" s="8">
        <f ca="1">CEILING(R426*(IF(N427&lt;=IF($B$2=0,0,OFFSET(Sheet2!$B$1,Sheet1!$B$2-1,0)),$B$1/(365*100),$B$3/(365*100)))*100,1)/100</f>
        <v>362.7</v>
      </c>
      <c r="R427" s="9">
        <f t="shared" ca="1" si="35"/>
        <v>888854.02819365927</v>
      </c>
    </row>
    <row r="428" spans="1:18" x14ac:dyDescent="0.25">
      <c r="A428">
        <v>4</v>
      </c>
      <c r="B428">
        <v>0</v>
      </c>
      <c r="C428">
        <v>2</v>
      </c>
      <c r="D428">
        <v>22.9</v>
      </c>
      <c r="E428">
        <v>47</v>
      </c>
      <c r="F428">
        <v>3.1354620212765985E-2</v>
      </c>
      <c r="G428" t="str">
        <f t="shared" si="36"/>
        <v>Insert into BlueCreditTypeRainbow Values (4, 0, 2, 22.9, 47, 0.031354620212766)</v>
      </c>
      <c r="N428" s="4">
        <v>425</v>
      </c>
      <c r="O428" s="8">
        <f>$B$7*COUNTIF(Sheet2!$B$1:$B$132,N428)</f>
        <v>0</v>
      </c>
      <c r="P428" s="8">
        <f t="shared" ca="1" si="34"/>
        <v>0</v>
      </c>
      <c r="Q428" s="8">
        <f ca="1">CEILING(R427*(IF(N428&lt;=IF($B$2=0,0,OFFSET(Sheet2!$B$1,Sheet1!$B$2-1,0)),$B$1/(365*100),$B$3/(365*100)))*100,1)/100</f>
        <v>362.85</v>
      </c>
      <c r="R428" s="9">
        <f t="shared" ca="1" si="35"/>
        <v>889216.87819365924</v>
      </c>
    </row>
    <row r="429" spans="1:18" x14ac:dyDescent="0.25">
      <c r="A429">
        <v>4</v>
      </c>
      <c r="B429">
        <v>0</v>
      </c>
      <c r="C429">
        <v>2</v>
      </c>
      <c r="D429">
        <v>22.9</v>
      </c>
      <c r="E429">
        <v>48</v>
      </c>
      <c r="F429">
        <v>3.0951817639894779E-2</v>
      </c>
      <c r="G429" t="str">
        <f t="shared" si="36"/>
        <v>Insert into BlueCreditTypeRainbow Values (4, 0, 2, 22.9, 48, 0.0309518176398948)</v>
      </c>
      <c r="N429" s="4">
        <v>426</v>
      </c>
      <c r="O429" s="8">
        <f>$B$7*COUNTIF(Sheet2!$B$1:$B$132,N429)</f>
        <v>0</v>
      </c>
      <c r="P429" s="8">
        <f t="shared" ca="1" si="34"/>
        <v>0</v>
      </c>
      <c r="Q429" s="8">
        <f ca="1">CEILING(R428*(IF(N429&lt;=IF($B$2=0,0,OFFSET(Sheet2!$B$1,Sheet1!$B$2-1,0)),$B$1/(365*100),$B$3/(365*100)))*100,1)/100</f>
        <v>363</v>
      </c>
      <c r="R429" s="9">
        <f t="shared" ca="1" si="35"/>
        <v>889579.87819365924</v>
      </c>
    </row>
    <row r="430" spans="1:18" x14ac:dyDescent="0.25">
      <c r="A430">
        <v>4</v>
      </c>
      <c r="B430">
        <v>0</v>
      </c>
      <c r="C430">
        <v>1</v>
      </c>
      <c r="D430">
        <v>22.9</v>
      </c>
      <c r="E430">
        <v>36</v>
      </c>
      <c r="F430">
        <v>3.8045700767311098E-2</v>
      </c>
      <c r="G430" t="str">
        <f t="shared" si="36"/>
        <v>Insert into BlueCreditTypeRainbow Values (4, 0, 1, 22.9, 36, 0.0380457007673111)</v>
      </c>
      <c r="N430" s="4">
        <v>427</v>
      </c>
      <c r="O430" s="8">
        <f>$B$7*COUNTIF(Sheet2!$B$1:$B$132,N430)</f>
        <v>21157.10552356458</v>
      </c>
      <c r="P430" s="8">
        <f t="shared" ca="1" si="34"/>
        <v>20793.955523564578</v>
      </c>
      <c r="Q430" s="8">
        <f ca="1">CEILING(R429*(IF(N430&lt;=IF($B$2=0,0,OFFSET(Sheet2!$B$1,Sheet1!$B$2-1,0)),$B$1/(365*100),$B$3/(365*100)))*100,1)/100</f>
        <v>363.15</v>
      </c>
      <c r="R430" s="9">
        <f t="shared" ca="1" si="35"/>
        <v>868785.92267009465</v>
      </c>
    </row>
    <row r="431" spans="1:18" x14ac:dyDescent="0.25">
      <c r="A431">
        <v>4</v>
      </c>
      <c r="B431">
        <v>0</v>
      </c>
      <c r="C431">
        <v>1</v>
      </c>
      <c r="D431">
        <v>22.9</v>
      </c>
      <c r="E431">
        <v>37</v>
      </c>
      <c r="F431">
        <v>3.7331913257807534E-2</v>
      </c>
      <c r="G431" t="str">
        <f t="shared" si="36"/>
        <v>Insert into BlueCreditTypeRainbow Values (4, 0, 1, 22.9, 37, 0.0373319132578075)</v>
      </c>
      <c r="N431" s="4">
        <v>428</v>
      </c>
      <c r="O431" s="8">
        <f>$B$7*COUNTIF(Sheet2!$B$1:$B$132,N431)</f>
        <v>0</v>
      </c>
      <c r="P431" s="8">
        <f t="shared" ca="1" si="34"/>
        <v>0</v>
      </c>
      <c r="Q431" s="8">
        <f ca="1">CEILING(R430*(IF(N431&lt;=IF($B$2=0,0,OFFSET(Sheet2!$B$1,Sheet1!$B$2-1,0)),$B$1/(365*100),$B$3/(365*100)))*100,1)/100</f>
        <v>354.66</v>
      </c>
      <c r="R431" s="9">
        <f t="shared" ca="1" si="35"/>
        <v>869140.58267009468</v>
      </c>
    </row>
    <row r="432" spans="1:18" x14ac:dyDescent="0.25">
      <c r="A432">
        <v>4</v>
      </c>
      <c r="B432">
        <v>0</v>
      </c>
      <c r="C432">
        <v>1</v>
      </c>
      <c r="D432">
        <v>22.9</v>
      </c>
      <c r="E432">
        <v>38</v>
      </c>
      <c r="F432">
        <v>3.665699213074948E-2</v>
      </c>
      <c r="G432" t="str">
        <f t="shared" si="36"/>
        <v>Insert into BlueCreditTypeRainbow Values (4, 0, 1, 22.9, 38, 0.0366569921307495)</v>
      </c>
      <c r="N432" s="4">
        <v>429</v>
      </c>
      <c r="O432" s="8">
        <f>$B$7*COUNTIF(Sheet2!$B$1:$B$132,N432)</f>
        <v>0</v>
      </c>
      <c r="P432" s="8">
        <f t="shared" ca="1" si="34"/>
        <v>0</v>
      </c>
      <c r="Q432" s="8">
        <f ca="1">CEILING(R431*(IF(N432&lt;=IF($B$2=0,0,OFFSET(Sheet2!$B$1,Sheet1!$B$2-1,0)),$B$1/(365*100),$B$3/(365*100)))*100,1)/100</f>
        <v>354.8</v>
      </c>
      <c r="R432" s="9">
        <f t="shared" ca="1" si="35"/>
        <v>869495.38267009472</v>
      </c>
    </row>
    <row r="433" spans="1:18" x14ac:dyDescent="0.25">
      <c r="A433">
        <v>4</v>
      </c>
      <c r="B433">
        <v>0</v>
      </c>
      <c r="C433">
        <v>1</v>
      </c>
      <c r="D433">
        <v>22.9</v>
      </c>
      <c r="E433">
        <v>39</v>
      </c>
      <c r="F433">
        <v>3.6018362051282046E-2</v>
      </c>
      <c r="G433" t="str">
        <f t="shared" si="36"/>
        <v>Insert into BlueCreditTypeRainbow Values (4, 0, 1, 22.9, 39, 0.036018362051282)</v>
      </c>
      <c r="N433" s="4">
        <v>430</v>
      </c>
      <c r="O433" s="8">
        <f>$B$7*COUNTIF(Sheet2!$B$1:$B$132,N433)</f>
        <v>0</v>
      </c>
      <c r="P433" s="8">
        <f t="shared" ca="1" si="34"/>
        <v>0</v>
      </c>
      <c r="Q433" s="8">
        <f ca="1">CEILING(R432*(IF(N433&lt;=IF($B$2=0,0,OFFSET(Sheet2!$B$1,Sheet1!$B$2-1,0)),$B$1/(365*100),$B$3/(365*100)))*100,1)/100</f>
        <v>354.95</v>
      </c>
      <c r="R433" s="9">
        <f t="shared" ca="1" si="35"/>
        <v>869850.33267009468</v>
      </c>
    </row>
    <row r="434" spans="1:18" x14ac:dyDescent="0.25">
      <c r="A434">
        <v>4</v>
      </c>
      <c r="B434">
        <v>0</v>
      </c>
      <c r="C434">
        <v>1</v>
      </c>
      <c r="D434">
        <v>22.9</v>
      </c>
      <c r="E434">
        <v>40</v>
      </c>
      <c r="F434">
        <v>3.5413278950066365E-2</v>
      </c>
      <c r="G434" t="str">
        <f t="shared" si="36"/>
        <v>Insert into BlueCreditTypeRainbow Values (4, 0, 1, 22.9, 40, 0.0354132789500664)</v>
      </c>
      <c r="N434" s="4">
        <v>431</v>
      </c>
      <c r="O434" s="8">
        <f>$B$7*COUNTIF(Sheet2!$B$1:$B$132,N434)</f>
        <v>0</v>
      </c>
      <c r="P434" s="8">
        <f t="shared" ca="1" si="34"/>
        <v>0</v>
      </c>
      <c r="Q434" s="8">
        <f ca="1">CEILING(R433*(IF(N434&lt;=IF($B$2=0,0,OFFSET(Sheet2!$B$1,Sheet1!$B$2-1,0)),$B$1/(365*100),$B$3/(365*100)))*100,1)/100</f>
        <v>355.09</v>
      </c>
      <c r="R434" s="9">
        <f t="shared" ca="1" si="35"/>
        <v>870205.42267009465</v>
      </c>
    </row>
    <row r="435" spans="1:18" x14ac:dyDescent="0.25">
      <c r="A435">
        <v>4</v>
      </c>
      <c r="B435">
        <v>0</v>
      </c>
      <c r="C435">
        <v>1</v>
      </c>
      <c r="D435">
        <v>22.9</v>
      </c>
      <c r="E435">
        <v>41</v>
      </c>
      <c r="F435">
        <v>3.4838922002132136E-2</v>
      </c>
      <c r="G435" t="str">
        <f t="shared" si="36"/>
        <v>Insert into BlueCreditTypeRainbow Values (4, 0, 1, 22.9, 41, 0.0348389220021321)</v>
      </c>
      <c r="N435" s="4">
        <v>432</v>
      </c>
      <c r="O435" s="8">
        <f>$B$7*COUNTIF(Sheet2!$B$1:$B$132,N435)</f>
        <v>0</v>
      </c>
      <c r="P435" s="8">
        <f t="shared" ca="1" si="34"/>
        <v>0</v>
      </c>
      <c r="Q435" s="8">
        <f ca="1">CEILING(R434*(IF(N435&lt;=IF($B$2=0,0,OFFSET(Sheet2!$B$1,Sheet1!$B$2-1,0)),$B$1/(365*100),$B$3/(365*100)))*100,1)/100</f>
        <v>355.24</v>
      </c>
      <c r="R435" s="9">
        <f t="shared" ca="1" si="35"/>
        <v>870560.66267009464</v>
      </c>
    </row>
    <row r="436" spans="1:18" x14ac:dyDescent="0.25">
      <c r="A436">
        <v>4</v>
      </c>
      <c r="B436">
        <v>0</v>
      </c>
      <c r="C436">
        <v>1</v>
      </c>
      <c r="D436">
        <v>22.9</v>
      </c>
      <c r="E436">
        <v>42</v>
      </c>
      <c r="F436">
        <v>3.4293432637945501E-2</v>
      </c>
      <c r="G436" t="str">
        <f t="shared" si="36"/>
        <v>Insert into BlueCreditTypeRainbow Values (4, 0, 1, 22.9, 42, 0.0342934326379455)</v>
      </c>
      <c r="N436" s="4">
        <v>433</v>
      </c>
      <c r="O436" s="8">
        <f>$B$7*COUNTIF(Sheet2!$B$1:$B$132,N436)</f>
        <v>0</v>
      </c>
      <c r="P436" s="8">
        <f t="shared" ca="1" si="34"/>
        <v>0</v>
      </c>
      <c r="Q436" s="8">
        <f ca="1">CEILING(R435*(IF(N436&lt;=IF($B$2=0,0,OFFSET(Sheet2!$B$1,Sheet1!$B$2-1,0)),$B$1/(365*100),$B$3/(365*100)))*100,1)/100</f>
        <v>355.38</v>
      </c>
      <c r="R436" s="9">
        <f t="shared" ca="1" si="35"/>
        <v>870916.04267009464</v>
      </c>
    </row>
    <row r="437" spans="1:18" x14ac:dyDescent="0.25">
      <c r="A437">
        <v>4</v>
      </c>
      <c r="B437">
        <v>0</v>
      </c>
      <c r="C437">
        <v>1</v>
      </c>
      <c r="D437">
        <v>22.9</v>
      </c>
      <c r="E437">
        <v>43</v>
      </c>
      <c r="F437">
        <v>3.3774470049337389E-2</v>
      </c>
      <c r="G437" t="str">
        <f t="shared" si="36"/>
        <v>Insert into BlueCreditTypeRainbow Values (4, 0, 1, 22.9, 43, 0.0337744700493374)</v>
      </c>
      <c r="N437" s="4">
        <v>434</v>
      </c>
      <c r="O437" s="8">
        <f>$B$7*COUNTIF(Sheet2!$B$1:$B$132,N437)</f>
        <v>0</v>
      </c>
      <c r="P437" s="8">
        <f t="shared" ca="1" si="34"/>
        <v>0</v>
      </c>
      <c r="Q437" s="8">
        <f ca="1">CEILING(R436*(IF(N437&lt;=IF($B$2=0,0,OFFSET(Sheet2!$B$1,Sheet1!$B$2-1,0)),$B$1/(365*100),$B$3/(365*100)))*100,1)/100</f>
        <v>355.53</v>
      </c>
      <c r="R437" s="9">
        <f t="shared" ca="1" si="35"/>
        <v>871271.57267009467</v>
      </c>
    </row>
    <row r="438" spans="1:18" x14ac:dyDescent="0.25">
      <c r="A438">
        <v>4</v>
      </c>
      <c r="B438">
        <v>0</v>
      </c>
      <c r="C438">
        <v>1</v>
      </c>
      <c r="D438">
        <v>22.9</v>
      </c>
      <c r="E438">
        <v>44</v>
      </c>
      <c r="F438">
        <v>3.3280230584517567E-2</v>
      </c>
      <c r="G438" t="str">
        <f t="shared" si="36"/>
        <v>Insert into BlueCreditTypeRainbow Values (4, 0, 1, 22.9, 44, 0.0332802305845176)</v>
      </c>
      <c r="N438" s="4">
        <v>435</v>
      </c>
      <c r="O438" s="8">
        <f>$B$7*COUNTIF(Sheet2!$B$1:$B$132,N438)</f>
        <v>0</v>
      </c>
      <c r="P438" s="8">
        <f t="shared" ca="1" si="34"/>
        <v>0</v>
      </c>
      <c r="Q438" s="8">
        <f ca="1">CEILING(R437*(IF(N438&lt;=IF($B$2=0,0,OFFSET(Sheet2!$B$1,Sheet1!$B$2-1,0)),$B$1/(365*100),$B$3/(365*100)))*100,1)/100</f>
        <v>355.67</v>
      </c>
      <c r="R438" s="9">
        <f t="shared" ca="1" si="35"/>
        <v>871627.24267009471</v>
      </c>
    </row>
    <row r="439" spans="1:18" x14ac:dyDescent="0.25">
      <c r="A439">
        <v>4</v>
      </c>
      <c r="B439">
        <v>0</v>
      </c>
      <c r="C439">
        <v>1</v>
      </c>
      <c r="D439">
        <v>22.9</v>
      </c>
      <c r="E439">
        <v>45</v>
      </c>
      <c r="F439">
        <v>3.2809354436078866E-2</v>
      </c>
      <c r="G439" t="str">
        <f t="shared" si="36"/>
        <v>Insert into BlueCreditTypeRainbow Values (4, 0, 1, 22.9, 45, 0.0328093544360789)</v>
      </c>
      <c r="N439" s="4">
        <v>436</v>
      </c>
      <c r="O439" s="8">
        <f>$B$7*COUNTIF(Sheet2!$B$1:$B$132,N439)</f>
        <v>0</v>
      </c>
      <c r="P439" s="8">
        <f t="shared" ca="1" si="34"/>
        <v>0</v>
      </c>
      <c r="Q439" s="8">
        <f ca="1">CEILING(R438*(IF(N439&lt;=IF($B$2=0,0,OFFSET(Sheet2!$B$1,Sheet1!$B$2-1,0)),$B$1/(365*100),$B$3/(365*100)))*100,1)/100</f>
        <v>355.82</v>
      </c>
      <c r="R439" s="9">
        <f t="shared" ca="1" si="35"/>
        <v>871983.06267009466</v>
      </c>
    </row>
    <row r="440" spans="1:18" x14ac:dyDescent="0.25">
      <c r="A440">
        <v>4</v>
      </c>
      <c r="B440">
        <v>0</v>
      </c>
      <c r="C440">
        <v>1</v>
      </c>
      <c r="D440">
        <v>22.9</v>
      </c>
      <c r="E440">
        <v>46</v>
      </c>
      <c r="F440">
        <v>3.2360031521739163E-2</v>
      </c>
      <c r="G440" t="str">
        <f t="shared" si="36"/>
        <v>Insert into BlueCreditTypeRainbow Values (4, 0, 1, 22.9, 46, 0.0323600315217392)</v>
      </c>
      <c r="N440" s="4">
        <v>437</v>
      </c>
      <c r="O440" s="8">
        <f>$B$7*COUNTIF(Sheet2!$B$1:$B$132,N440)</f>
        <v>0</v>
      </c>
      <c r="P440" s="8">
        <f t="shared" ca="1" si="34"/>
        <v>0</v>
      </c>
      <c r="Q440" s="8">
        <f ca="1">CEILING(R439*(IF(N440&lt;=IF($B$2=0,0,OFFSET(Sheet2!$B$1,Sheet1!$B$2-1,0)),$B$1/(365*100),$B$3/(365*100)))*100,1)/100</f>
        <v>355.97</v>
      </c>
      <c r="R440" s="9">
        <f t="shared" ca="1" si="35"/>
        <v>872339.03267009463</v>
      </c>
    </row>
    <row r="441" spans="1:18" x14ac:dyDescent="0.25">
      <c r="A441">
        <v>4</v>
      </c>
      <c r="B441">
        <v>0</v>
      </c>
      <c r="C441">
        <v>1</v>
      </c>
      <c r="D441">
        <v>22.9</v>
      </c>
      <c r="E441">
        <v>47</v>
      </c>
      <c r="F441">
        <v>3.1931157888730445E-2</v>
      </c>
      <c r="G441" t="str">
        <f t="shared" si="36"/>
        <v>Insert into BlueCreditTypeRainbow Values (4, 0, 1, 22.9, 47, 0.0319311578887304)</v>
      </c>
      <c r="N441" s="4">
        <v>438</v>
      </c>
      <c r="O441" s="8">
        <f>$B$7*COUNTIF(Sheet2!$B$1:$B$132,N441)</f>
        <v>0</v>
      </c>
      <c r="P441" s="8">
        <f t="shared" ca="1" si="34"/>
        <v>0</v>
      </c>
      <c r="Q441" s="8">
        <f ca="1">CEILING(R440*(IF(N441&lt;=IF($B$2=0,0,OFFSET(Sheet2!$B$1,Sheet1!$B$2-1,0)),$B$1/(365*100),$B$3/(365*100)))*100,1)/100</f>
        <v>356.11</v>
      </c>
      <c r="R441" s="9">
        <f t="shared" ca="1" si="35"/>
        <v>872695.14267009462</v>
      </c>
    </row>
    <row r="442" spans="1:18" x14ac:dyDescent="0.25">
      <c r="A442">
        <v>4</v>
      </c>
      <c r="B442">
        <v>0</v>
      </c>
      <c r="C442">
        <v>1</v>
      </c>
      <c r="D442">
        <v>22.9</v>
      </c>
      <c r="E442">
        <v>48</v>
      </c>
      <c r="F442">
        <v>3.152118918187418E-2</v>
      </c>
      <c r="G442" t="str">
        <f t="shared" si="36"/>
        <v>Insert into BlueCreditTypeRainbow Values (4, 0, 1, 22.9, 48, 0.0315211891818742)</v>
      </c>
      <c r="N442" s="4">
        <v>439</v>
      </c>
      <c r="O442" s="8">
        <f>$B$7*COUNTIF(Sheet2!$B$1:$B$132,N442)</f>
        <v>0</v>
      </c>
      <c r="P442" s="8">
        <f t="shared" ca="1" si="34"/>
        <v>0</v>
      </c>
      <c r="Q442" s="8">
        <f ca="1">CEILING(R441*(IF(N442&lt;=IF($B$2=0,0,OFFSET(Sheet2!$B$1,Sheet1!$B$2-1,0)),$B$1/(365*100),$B$3/(365*100)))*100,1)/100</f>
        <v>356.26</v>
      </c>
      <c r="R442" s="9">
        <f t="shared" ca="1" si="35"/>
        <v>873051.40267009463</v>
      </c>
    </row>
    <row r="443" spans="1:18" x14ac:dyDescent="0.25">
      <c r="A443">
        <v>4</v>
      </c>
      <c r="B443">
        <v>0</v>
      </c>
      <c r="C443">
        <v>0</v>
      </c>
      <c r="D443">
        <v>22.9</v>
      </c>
      <c r="E443">
        <v>36</v>
      </c>
      <c r="F443">
        <v>3.8792673407771053E-2</v>
      </c>
      <c r="G443" t="str">
        <f t="shared" si="36"/>
        <v>Insert into BlueCreditTypeRainbow Values (4, 0, 0, 22.9, 36, 0.0387926734077711)</v>
      </c>
      <c r="N443" s="4">
        <v>440</v>
      </c>
      <c r="O443" s="8">
        <f>$B$7*COUNTIF(Sheet2!$B$1:$B$132,N443)</f>
        <v>0</v>
      </c>
      <c r="P443" s="8">
        <f t="shared" ca="1" si="34"/>
        <v>0</v>
      </c>
      <c r="Q443" s="8">
        <f ca="1">CEILING(R442*(IF(N443&lt;=IF($B$2=0,0,OFFSET(Sheet2!$B$1,Sheet1!$B$2-1,0)),$B$1/(365*100),$B$3/(365*100)))*100,1)/100</f>
        <v>356.4</v>
      </c>
      <c r="R443" s="9">
        <f t="shared" ca="1" si="35"/>
        <v>873407.80267009465</v>
      </c>
    </row>
    <row r="444" spans="1:18" x14ac:dyDescent="0.25">
      <c r="A444">
        <v>4</v>
      </c>
      <c r="B444">
        <v>0</v>
      </c>
      <c r="C444">
        <v>0</v>
      </c>
      <c r="D444">
        <v>22.9</v>
      </c>
      <c r="E444">
        <v>37</v>
      </c>
      <c r="F444">
        <v>3.8064865305646872E-2</v>
      </c>
      <c r="G444" t="str">
        <f t="shared" si="36"/>
        <v>Insert into BlueCreditTypeRainbow Values (4, 0, 0, 22.9, 37, 0.0380648653056469)</v>
      </c>
      <c r="N444" s="4">
        <v>441</v>
      </c>
      <c r="O444" s="8">
        <f>$B$7*COUNTIF(Sheet2!$B$1:$B$132,N444)</f>
        <v>0</v>
      </c>
      <c r="P444" s="8">
        <f t="shared" ca="1" si="34"/>
        <v>0</v>
      </c>
      <c r="Q444" s="8">
        <f ca="1">CEILING(R443*(IF(N444&lt;=IF($B$2=0,0,OFFSET(Sheet2!$B$1,Sheet1!$B$2-1,0)),$B$1/(365*100),$B$3/(365*100)))*100,1)/100</f>
        <v>356.55</v>
      </c>
      <c r="R444" s="9">
        <f t="shared" ca="1" si="35"/>
        <v>873764.3526700947</v>
      </c>
    </row>
    <row r="445" spans="1:18" x14ac:dyDescent="0.25">
      <c r="A445">
        <v>4</v>
      </c>
      <c r="B445">
        <v>0</v>
      </c>
      <c r="C445">
        <v>0</v>
      </c>
      <c r="D445">
        <v>22.9</v>
      </c>
      <c r="E445">
        <v>38</v>
      </c>
      <c r="F445">
        <v>3.7376700025802963E-2</v>
      </c>
      <c r="G445" t="str">
        <f t="shared" si="36"/>
        <v>Insert into BlueCreditTypeRainbow Values (4, 0, 0, 22.9, 38, 0.037376700025803)</v>
      </c>
      <c r="N445" s="4">
        <v>442</v>
      </c>
      <c r="O445" s="8">
        <f>$B$7*COUNTIF(Sheet2!$B$1:$B$132,N445)</f>
        <v>0</v>
      </c>
      <c r="P445" s="8">
        <f t="shared" ca="1" si="34"/>
        <v>0</v>
      </c>
      <c r="Q445" s="8">
        <f ca="1">CEILING(R444*(IF(N445&lt;=IF($B$2=0,0,OFFSET(Sheet2!$B$1,Sheet1!$B$2-1,0)),$B$1/(365*100),$B$3/(365*100)))*100,1)/100</f>
        <v>356.69</v>
      </c>
      <c r="R445" s="9">
        <f t="shared" ca="1" si="35"/>
        <v>874121.04267009464</v>
      </c>
    </row>
    <row r="446" spans="1:18" x14ac:dyDescent="0.25">
      <c r="A446">
        <v>4</v>
      </c>
      <c r="B446">
        <v>0</v>
      </c>
      <c r="C446">
        <v>0</v>
      </c>
      <c r="D446">
        <v>22.9</v>
      </c>
      <c r="E446">
        <v>39</v>
      </c>
      <c r="F446">
        <v>3.672553207685951E-2</v>
      </c>
      <c r="G446" t="str">
        <f t="shared" si="36"/>
        <v>Insert into BlueCreditTypeRainbow Values (4, 0, 0, 22.9, 39, 0.0367255320768595)</v>
      </c>
      <c r="N446" s="4">
        <v>443</v>
      </c>
      <c r="O446" s="8">
        <f>$B$7*COUNTIF(Sheet2!$B$1:$B$132,N446)</f>
        <v>0</v>
      </c>
      <c r="P446" s="8">
        <f t="shared" ca="1" si="34"/>
        <v>0</v>
      </c>
      <c r="Q446" s="8">
        <f ca="1">CEILING(R445*(IF(N446&lt;=IF($B$2=0,0,OFFSET(Sheet2!$B$1,Sheet1!$B$2-1,0)),$B$1/(365*100),$B$3/(365*100)))*100,1)/100</f>
        <v>356.84</v>
      </c>
      <c r="R446" s="9">
        <f t="shared" ca="1" si="35"/>
        <v>874477.88267009461</v>
      </c>
    </row>
    <row r="447" spans="1:18" x14ac:dyDescent="0.25">
      <c r="A447">
        <v>4</v>
      </c>
      <c r="B447">
        <v>0</v>
      </c>
      <c r="C447">
        <v>0</v>
      </c>
      <c r="D447">
        <v>22.9</v>
      </c>
      <c r="E447">
        <v>40</v>
      </c>
      <c r="F447">
        <v>3.6108564523173195E-2</v>
      </c>
      <c r="G447" t="str">
        <f t="shared" si="36"/>
        <v>Insert into BlueCreditTypeRainbow Values (4, 0, 0, 22.9, 40, 0.0361085645231732)</v>
      </c>
      <c r="N447" s="4">
        <v>444</v>
      </c>
      <c r="O447" s="8">
        <f>$B$7*COUNTIF(Sheet2!$B$1:$B$132,N447)</f>
        <v>0</v>
      </c>
      <c r="P447" s="8">
        <f t="shared" ca="1" si="34"/>
        <v>0</v>
      </c>
      <c r="Q447" s="8">
        <f ca="1">CEILING(R446*(IF(N447&lt;=IF($B$2=0,0,OFFSET(Sheet2!$B$1,Sheet1!$B$2-1,0)),$B$1/(365*100),$B$3/(365*100)))*100,1)/100</f>
        <v>356.98</v>
      </c>
      <c r="R447" s="9">
        <f t="shared" ca="1" si="35"/>
        <v>874834.86267009459</v>
      </c>
    </row>
    <row r="448" spans="1:18" x14ac:dyDescent="0.25">
      <c r="A448">
        <v>4</v>
      </c>
      <c r="B448">
        <v>0</v>
      </c>
      <c r="C448">
        <v>0</v>
      </c>
      <c r="D448">
        <v>22.9</v>
      </c>
      <c r="E448">
        <v>41</v>
      </c>
      <c r="F448">
        <v>3.5522933414634188E-2</v>
      </c>
      <c r="G448" t="str">
        <f t="shared" si="36"/>
        <v>Insert into BlueCreditTypeRainbow Values (4, 0, 0, 22.9, 41, 0.0355229334146342)</v>
      </c>
      <c r="N448" s="4">
        <v>445</v>
      </c>
      <c r="O448" s="8">
        <f>$B$7*COUNTIF(Sheet2!$B$1:$B$132,N448)</f>
        <v>0</v>
      </c>
      <c r="P448" s="8">
        <f t="shared" ca="1" si="34"/>
        <v>0</v>
      </c>
      <c r="Q448" s="8">
        <f ca="1">CEILING(R447*(IF(N448&lt;=IF($B$2=0,0,OFFSET(Sheet2!$B$1,Sheet1!$B$2-1,0)),$B$1/(365*100),$B$3/(365*100)))*100,1)/100</f>
        <v>357.13</v>
      </c>
      <c r="R448" s="9">
        <f t="shared" ca="1" si="35"/>
        <v>875191.99267009459</v>
      </c>
    </row>
    <row r="449" spans="1:18" x14ac:dyDescent="0.25">
      <c r="A449">
        <v>4</v>
      </c>
      <c r="B449">
        <v>0</v>
      </c>
      <c r="C449">
        <v>0</v>
      </c>
      <c r="D449">
        <v>22.9</v>
      </c>
      <c r="E449">
        <v>42</v>
      </c>
      <c r="F449">
        <v>3.496673190476194E-2</v>
      </c>
      <c r="G449" t="str">
        <f t="shared" si="36"/>
        <v>Insert into BlueCreditTypeRainbow Values (4, 0, 0, 22.9, 42, 0.0349667319047619)</v>
      </c>
      <c r="N449" s="4">
        <v>446</v>
      </c>
      <c r="O449" s="8">
        <f>$B$7*COUNTIF(Sheet2!$B$1:$B$132,N449)</f>
        <v>0</v>
      </c>
      <c r="P449" s="8">
        <f t="shared" ca="1" si="34"/>
        <v>0</v>
      </c>
      <c r="Q449" s="8">
        <f ca="1">CEILING(R448*(IF(N449&lt;=IF($B$2=0,0,OFFSET(Sheet2!$B$1,Sheet1!$B$2-1,0)),$B$1/(365*100),$B$3/(365*100)))*100,1)/100</f>
        <v>357.28</v>
      </c>
      <c r="R449" s="9">
        <f t="shared" ca="1" si="35"/>
        <v>875549.27267009462</v>
      </c>
    </row>
    <row r="450" spans="1:18" x14ac:dyDescent="0.25">
      <c r="A450">
        <v>4</v>
      </c>
      <c r="B450">
        <v>0</v>
      </c>
      <c r="C450">
        <v>0</v>
      </c>
      <c r="D450">
        <v>22.9</v>
      </c>
      <c r="E450">
        <v>43</v>
      </c>
      <c r="F450">
        <v>3.4437581883268148E-2</v>
      </c>
      <c r="G450" t="str">
        <f t="shared" si="36"/>
        <v>Insert into BlueCreditTypeRainbow Values (4, 0, 0, 22.9, 43, 0.0344375818832681)</v>
      </c>
      <c r="N450" s="4">
        <v>447</v>
      </c>
      <c r="O450" s="8">
        <f>$B$7*COUNTIF(Sheet2!$B$1:$B$132,N450)</f>
        <v>0</v>
      </c>
      <c r="P450" s="8">
        <f t="shared" ca="1" si="34"/>
        <v>0</v>
      </c>
      <c r="Q450" s="8">
        <f ca="1">CEILING(R449*(IF(N450&lt;=IF($B$2=0,0,OFFSET(Sheet2!$B$1,Sheet1!$B$2-1,0)),$B$1/(365*100),$B$3/(365*100)))*100,1)/100</f>
        <v>357.42</v>
      </c>
      <c r="R450" s="9">
        <f t="shared" ca="1" si="35"/>
        <v>875906.69267009466</v>
      </c>
    </row>
    <row r="451" spans="1:18" x14ac:dyDescent="0.25">
      <c r="A451">
        <v>4</v>
      </c>
      <c r="B451">
        <v>0</v>
      </c>
      <c r="C451">
        <v>0</v>
      </c>
      <c r="D451">
        <v>22.9</v>
      </c>
      <c r="E451">
        <v>44</v>
      </c>
      <c r="F451">
        <v>3.3933638411038747E-2</v>
      </c>
      <c r="G451" t="str">
        <f t="shared" si="36"/>
        <v>Insert into BlueCreditTypeRainbow Values (4, 0, 0, 22.9, 44, 0.0339336384110387)</v>
      </c>
      <c r="N451" s="4">
        <v>448</v>
      </c>
      <c r="O451" s="8">
        <f>$B$7*COUNTIF(Sheet2!$B$1:$B$132,N451)</f>
        <v>0</v>
      </c>
      <c r="P451" s="8">
        <f t="shared" ca="1" si="34"/>
        <v>0</v>
      </c>
      <c r="Q451" s="8">
        <f ca="1">CEILING(R450*(IF(N451&lt;=IF($B$2=0,0,OFFSET(Sheet2!$B$1,Sheet1!$B$2-1,0)),$B$1/(365*100),$B$3/(365*100)))*100,1)/100</f>
        <v>357.57</v>
      </c>
      <c r="R451" s="9">
        <f t="shared" ca="1" si="35"/>
        <v>876264.26267009461</v>
      </c>
    </row>
    <row r="452" spans="1:18" x14ac:dyDescent="0.25">
      <c r="A452">
        <v>4</v>
      </c>
      <c r="B452">
        <v>0</v>
      </c>
      <c r="C452">
        <v>0</v>
      </c>
      <c r="D452">
        <v>22.9</v>
      </c>
      <c r="E452">
        <v>45</v>
      </c>
      <c r="F452">
        <v>3.3453516455654753E-2</v>
      </c>
      <c r="G452" t="str">
        <f t="shared" si="36"/>
        <v>Insert into BlueCreditTypeRainbow Values (4, 0, 0, 22.9, 45, 0.0334535164556548)</v>
      </c>
      <c r="N452" s="4">
        <v>449</v>
      </c>
      <c r="O452" s="8">
        <f>$B$7*COUNTIF(Sheet2!$B$1:$B$132,N452)</f>
        <v>0</v>
      </c>
      <c r="P452" s="8">
        <f t="shared" ca="1" si="34"/>
        <v>0</v>
      </c>
      <c r="Q452" s="8">
        <f ca="1">CEILING(R451*(IF(N452&lt;=IF($B$2=0,0,OFFSET(Sheet2!$B$1,Sheet1!$B$2-1,0)),$B$1/(365*100),$B$3/(365*100)))*100,1)/100</f>
        <v>357.71</v>
      </c>
      <c r="R452" s="9">
        <f t="shared" ca="1" si="35"/>
        <v>876621.97267009458</v>
      </c>
    </row>
    <row r="453" spans="1:18" x14ac:dyDescent="0.25">
      <c r="A453">
        <v>4</v>
      </c>
      <c r="B453">
        <v>0</v>
      </c>
      <c r="C453">
        <v>0</v>
      </c>
      <c r="D453">
        <v>22.9</v>
      </c>
      <c r="E453">
        <v>46</v>
      </c>
      <c r="F453">
        <v>3.2995373282476571E-2</v>
      </c>
      <c r="G453" t="str">
        <f t="shared" si="36"/>
        <v>Insert into BlueCreditTypeRainbow Values (4, 0, 0, 22.9, 46, 0.0329953732824766)</v>
      </c>
      <c r="N453" s="4">
        <v>450</v>
      </c>
      <c r="O453" s="8">
        <f>$B$7*COUNTIF(Sheet2!$B$1:$B$132,N453)</f>
        <v>0</v>
      </c>
      <c r="P453" s="8">
        <f t="shared" ref="P453:P516" ca="1" si="37">IF(O453-Q453&gt; 0, O453-Q453, 0)</f>
        <v>0</v>
      </c>
      <c r="Q453" s="8">
        <f ca="1">CEILING(R452*(IF(N453&lt;=IF($B$2=0,0,OFFSET(Sheet2!$B$1,Sheet1!$B$2-1,0)),$B$1/(365*100),$B$3/(365*100)))*100,1)/100</f>
        <v>357.86</v>
      </c>
      <c r="R453" s="9">
        <f t="shared" ref="R453:R516" ca="1" si="38">R452+Q453-O453</f>
        <v>876979.83267009456</v>
      </c>
    </row>
    <row r="454" spans="1:18" x14ac:dyDescent="0.25">
      <c r="A454">
        <v>4</v>
      </c>
      <c r="B454">
        <v>0</v>
      </c>
      <c r="C454">
        <v>0</v>
      </c>
      <c r="D454">
        <v>22.9</v>
      </c>
      <c r="E454">
        <v>47</v>
      </c>
      <c r="F454">
        <v>3.2558079574468164E-2</v>
      </c>
      <c r="G454" t="str">
        <f t="shared" si="36"/>
        <v>Insert into BlueCreditTypeRainbow Values (4, 0, 0, 22.9, 47, 0.0325580795744682)</v>
      </c>
      <c r="N454" s="4">
        <v>451</v>
      </c>
      <c r="O454" s="8">
        <f>$B$7*COUNTIF(Sheet2!$B$1:$B$132,N454)</f>
        <v>0</v>
      </c>
      <c r="P454" s="8">
        <f t="shared" ca="1" si="37"/>
        <v>0</v>
      </c>
      <c r="Q454" s="8">
        <f ca="1">CEILING(R453*(IF(N454&lt;=IF($B$2=0,0,OFFSET(Sheet2!$B$1,Sheet1!$B$2-1,0)),$B$1/(365*100),$B$3/(365*100)))*100,1)/100</f>
        <v>358</v>
      </c>
      <c r="R454" s="9">
        <f t="shared" ca="1" si="38"/>
        <v>877337.83267009456</v>
      </c>
    </row>
    <row r="455" spans="1:18" x14ac:dyDescent="0.25">
      <c r="A455">
        <v>4</v>
      </c>
      <c r="B455">
        <v>0</v>
      </c>
      <c r="C455">
        <v>0</v>
      </c>
      <c r="D455">
        <v>22.9</v>
      </c>
      <c r="E455">
        <v>48</v>
      </c>
      <c r="F455">
        <v>3.2140057928296946E-2</v>
      </c>
      <c r="G455" t="str">
        <f t="shared" si="36"/>
        <v>Insert into BlueCreditTypeRainbow Values (4, 0, 0, 22.9, 48, 0.0321400579282969)</v>
      </c>
      <c r="N455" s="4">
        <v>452</v>
      </c>
      <c r="O455" s="8">
        <f>$B$7*COUNTIF(Sheet2!$B$1:$B$132,N455)</f>
        <v>0</v>
      </c>
      <c r="P455" s="8">
        <f t="shared" ca="1" si="37"/>
        <v>0</v>
      </c>
      <c r="Q455" s="8">
        <f ca="1">CEILING(R454*(IF(N455&lt;=IF($B$2=0,0,OFFSET(Sheet2!$B$1,Sheet1!$B$2-1,0)),$B$1/(365*100),$B$3/(365*100)))*100,1)/100</f>
        <v>358.15</v>
      </c>
      <c r="R455" s="9">
        <f t="shared" ca="1" si="38"/>
        <v>877695.98267009459</v>
      </c>
    </row>
    <row r="456" spans="1:18" x14ac:dyDescent="0.25">
      <c r="A456">
        <v>5</v>
      </c>
      <c r="B456">
        <v>0</v>
      </c>
      <c r="C456">
        <v>18</v>
      </c>
      <c r="D456">
        <v>24.9</v>
      </c>
      <c r="E456">
        <v>42</v>
      </c>
      <c r="F456">
        <v>2.7244527380952427E-2</v>
      </c>
      <c r="G456" t="str">
        <f t="shared" si="36"/>
        <v>Insert into BlueCreditTypeRainbow Values (5, 0, 18, 24.9, 42, 0.0272445273809524)</v>
      </c>
      <c r="N456" s="4">
        <v>453</v>
      </c>
      <c r="O456" s="8">
        <f>$B$7*COUNTIF(Sheet2!$B$1:$B$132,N456)</f>
        <v>0</v>
      </c>
      <c r="P456" s="8">
        <f t="shared" ca="1" si="37"/>
        <v>0</v>
      </c>
      <c r="Q456" s="8">
        <f ca="1">CEILING(R455*(IF(N456&lt;=IF($B$2=0,0,OFFSET(Sheet2!$B$1,Sheet1!$B$2-1,0)),$B$1/(365*100),$B$3/(365*100)))*100,1)/100</f>
        <v>358.3</v>
      </c>
      <c r="R456" s="9">
        <f t="shared" ca="1" si="38"/>
        <v>878054.28267009463</v>
      </c>
    </row>
    <row r="457" spans="1:18" x14ac:dyDescent="0.25">
      <c r="A457">
        <v>5</v>
      </c>
      <c r="B457">
        <v>0</v>
      </c>
      <c r="C457">
        <v>18</v>
      </c>
      <c r="D457">
        <v>24.9</v>
      </c>
      <c r="E457">
        <v>43</v>
      </c>
      <c r="F457">
        <v>2.6810126279069788E-2</v>
      </c>
      <c r="G457" t="str">
        <f t="shared" si="36"/>
        <v>Insert into BlueCreditTypeRainbow Values (5, 0, 18, 24.9, 43, 0.0268101262790698)</v>
      </c>
      <c r="N457" s="4">
        <v>454</v>
      </c>
      <c r="O457" s="8">
        <f>$B$7*COUNTIF(Sheet2!$B$1:$B$132,N457)</f>
        <v>0</v>
      </c>
      <c r="P457" s="8">
        <f t="shared" ca="1" si="37"/>
        <v>0</v>
      </c>
      <c r="Q457" s="8">
        <f ca="1">CEILING(R456*(IF(N457&lt;=IF($B$2=0,0,OFFSET(Sheet2!$B$1,Sheet1!$B$2-1,0)),$B$1/(365*100),$B$3/(365*100)))*100,1)/100</f>
        <v>358.44</v>
      </c>
      <c r="R457" s="9">
        <f t="shared" ca="1" si="38"/>
        <v>878412.72267009458</v>
      </c>
    </row>
    <row r="458" spans="1:18" x14ac:dyDescent="0.25">
      <c r="A458">
        <v>5</v>
      </c>
      <c r="B458">
        <v>0</v>
      </c>
      <c r="C458">
        <v>18</v>
      </c>
      <c r="D458">
        <v>24.9</v>
      </c>
      <c r="E458">
        <v>44</v>
      </c>
      <c r="F458">
        <v>2.6397750189850279E-2</v>
      </c>
      <c r="G458" t="str">
        <f t="shared" si="36"/>
        <v>Insert into BlueCreditTypeRainbow Values (5, 0, 18, 24.9, 44, 0.0263977501898503)</v>
      </c>
      <c r="N458" s="4">
        <v>455</v>
      </c>
      <c r="O458" s="8">
        <f>$B$7*COUNTIF(Sheet2!$B$1:$B$132,N458)</f>
        <v>0</v>
      </c>
      <c r="P458" s="8">
        <f t="shared" ca="1" si="37"/>
        <v>0</v>
      </c>
      <c r="Q458" s="8">
        <f ca="1">CEILING(R457*(IF(N458&lt;=IF($B$2=0,0,OFFSET(Sheet2!$B$1,Sheet1!$B$2-1,0)),$B$1/(365*100),$B$3/(365*100)))*100,1)/100</f>
        <v>358.59</v>
      </c>
      <c r="R458" s="9">
        <f t="shared" ca="1" si="38"/>
        <v>878771.31267009454</v>
      </c>
    </row>
    <row r="459" spans="1:18" x14ac:dyDescent="0.25">
      <c r="A459">
        <v>5</v>
      </c>
      <c r="B459">
        <v>0</v>
      </c>
      <c r="C459">
        <v>18</v>
      </c>
      <c r="D459">
        <v>24.9</v>
      </c>
      <c r="E459">
        <v>45</v>
      </c>
      <c r="F459">
        <v>2.6006107999999951E-2</v>
      </c>
      <c r="G459" t="str">
        <f t="shared" si="36"/>
        <v>Insert into BlueCreditTypeRainbow Values (5, 0, 18, 24.9, 45, 0.026006108)</v>
      </c>
      <c r="N459" s="4">
        <v>456</v>
      </c>
      <c r="O459" s="8">
        <f>$B$7*COUNTIF(Sheet2!$B$1:$B$132,N459)</f>
        <v>0</v>
      </c>
      <c r="P459" s="8">
        <f t="shared" ca="1" si="37"/>
        <v>0</v>
      </c>
      <c r="Q459" s="8">
        <f ca="1">CEILING(R458*(IF(N459&lt;=IF($B$2=0,0,OFFSET(Sheet2!$B$1,Sheet1!$B$2-1,0)),$B$1/(365*100),$B$3/(365*100)))*100,1)/100</f>
        <v>358.74</v>
      </c>
      <c r="R459" s="9">
        <f t="shared" ca="1" si="38"/>
        <v>879130.05267009453</v>
      </c>
    </row>
    <row r="460" spans="1:18" x14ac:dyDescent="0.25">
      <c r="A460">
        <v>5</v>
      </c>
      <c r="B460">
        <v>0</v>
      </c>
      <c r="C460">
        <v>18</v>
      </c>
      <c r="D460">
        <v>24.9</v>
      </c>
      <c r="E460">
        <v>46</v>
      </c>
      <c r="F460">
        <v>2.5633503836398185E-2</v>
      </c>
      <c r="G460" t="str">
        <f t="shared" si="36"/>
        <v>Insert into BlueCreditTypeRainbow Values (5, 0, 18, 24.9, 46, 0.0256335038363982)</v>
      </c>
      <c r="N460" s="4">
        <v>457</v>
      </c>
      <c r="O460" s="8">
        <f>$B$7*COUNTIF(Sheet2!$B$1:$B$132,N460)</f>
        <v>21157.10552356458</v>
      </c>
      <c r="P460" s="8">
        <f t="shared" ca="1" si="37"/>
        <v>20798.225523564579</v>
      </c>
      <c r="Q460" s="8">
        <f ca="1">CEILING(R459*(IF(N460&lt;=IF($B$2=0,0,OFFSET(Sheet2!$B$1,Sheet1!$B$2-1,0)),$B$1/(365*100),$B$3/(365*100)))*100,1)/100</f>
        <v>358.88</v>
      </c>
      <c r="R460" s="9">
        <f t="shared" ca="1" si="38"/>
        <v>858331.82714652992</v>
      </c>
    </row>
    <row r="461" spans="1:18" x14ac:dyDescent="0.25">
      <c r="A461">
        <v>5</v>
      </c>
      <c r="B461">
        <v>0</v>
      </c>
      <c r="C461">
        <v>18</v>
      </c>
      <c r="D461">
        <v>24.9</v>
      </c>
      <c r="E461">
        <v>47</v>
      </c>
      <c r="F461">
        <v>2.527889682973879E-2</v>
      </c>
      <c r="G461" t="str">
        <f t="shared" si="36"/>
        <v>Insert into BlueCreditTypeRainbow Values (5, 0, 18, 24.9, 47, 0.0252788968297388)</v>
      </c>
      <c r="N461" s="4">
        <v>458</v>
      </c>
      <c r="O461" s="8">
        <f>$B$7*COUNTIF(Sheet2!$B$1:$B$132,N461)</f>
        <v>0</v>
      </c>
      <c r="P461" s="8">
        <f t="shared" ca="1" si="37"/>
        <v>0</v>
      </c>
      <c r="Q461" s="8">
        <f ca="1">CEILING(R460*(IF(N461&lt;=IF($B$2=0,0,OFFSET(Sheet2!$B$1,Sheet1!$B$2-1,0)),$B$1/(365*100),$B$3/(365*100)))*100,1)/100</f>
        <v>350.39</v>
      </c>
      <c r="R461" s="9">
        <f t="shared" ca="1" si="38"/>
        <v>858682.21714652993</v>
      </c>
    </row>
    <row r="462" spans="1:18" x14ac:dyDescent="0.25">
      <c r="A462">
        <v>5</v>
      </c>
      <c r="B462">
        <v>0</v>
      </c>
      <c r="C462">
        <v>18</v>
      </c>
      <c r="D462">
        <v>24.9</v>
      </c>
      <c r="E462">
        <v>48</v>
      </c>
      <c r="F462">
        <v>2.4940858124999982E-2</v>
      </c>
      <c r="G462" t="str">
        <f t="shared" si="36"/>
        <v>Insert into BlueCreditTypeRainbow Values (5, 0, 18, 24.9, 48, 0.024940858125)</v>
      </c>
      <c r="N462" s="4">
        <v>459</v>
      </c>
      <c r="O462" s="8">
        <f>$B$7*COUNTIF(Sheet2!$B$1:$B$132,N462)</f>
        <v>0</v>
      </c>
      <c r="P462" s="8">
        <f t="shared" ca="1" si="37"/>
        <v>0</v>
      </c>
      <c r="Q462" s="8">
        <f ca="1">CEILING(R461*(IF(N462&lt;=IF($B$2=0,0,OFFSET(Sheet2!$B$1,Sheet1!$B$2-1,0)),$B$1/(365*100),$B$3/(365*100)))*100,1)/100</f>
        <v>350.54</v>
      </c>
      <c r="R462" s="9">
        <f t="shared" ca="1" si="38"/>
        <v>859032.75714652997</v>
      </c>
    </row>
    <row r="463" spans="1:18" x14ac:dyDescent="0.25">
      <c r="A463">
        <v>5</v>
      </c>
      <c r="B463">
        <v>0</v>
      </c>
      <c r="C463">
        <v>18</v>
      </c>
      <c r="D463">
        <v>24.9</v>
      </c>
      <c r="E463">
        <v>49</v>
      </c>
      <c r="F463">
        <v>2.4618540000000029E-2</v>
      </c>
      <c r="G463" t="str">
        <f t="shared" ref="G463:G526" si="39">CONCATENATE("Insert into BlueCreditTypeRainbow Values (",A463,", ",B463,", ",C463,", ",D463,", ",E463,", ",F463,")")</f>
        <v>Insert into BlueCreditTypeRainbow Values (5, 0, 18, 24.9, 49, 0.02461854)</v>
      </c>
      <c r="N463" s="4">
        <v>460</v>
      </c>
      <c r="O463" s="8">
        <f>$B$7*COUNTIF(Sheet2!$B$1:$B$132,N463)</f>
        <v>0</v>
      </c>
      <c r="P463" s="8">
        <f t="shared" ca="1" si="37"/>
        <v>0</v>
      </c>
      <c r="Q463" s="8">
        <f ca="1">CEILING(R462*(IF(N463&lt;=IF($B$2=0,0,OFFSET(Sheet2!$B$1,Sheet1!$B$2-1,0)),$B$1/(365*100),$B$3/(365*100)))*100,1)/100</f>
        <v>350.68</v>
      </c>
      <c r="R463" s="9">
        <f t="shared" ca="1" si="38"/>
        <v>859383.43714653002</v>
      </c>
    </row>
    <row r="464" spans="1:18" x14ac:dyDescent="0.25">
      <c r="A464">
        <v>5</v>
      </c>
      <c r="B464">
        <v>0</v>
      </c>
      <c r="C464">
        <v>18</v>
      </c>
      <c r="D464">
        <v>24.9</v>
      </c>
      <c r="E464">
        <v>50</v>
      </c>
      <c r="F464">
        <v>2.4310934599999997E-2</v>
      </c>
      <c r="G464" t="str">
        <f t="shared" si="39"/>
        <v>Insert into BlueCreditTypeRainbow Values (5, 0, 18, 24.9, 50, 0.0243109346)</v>
      </c>
      <c r="N464" s="4">
        <v>461</v>
      </c>
      <c r="O464" s="8">
        <f>$B$7*COUNTIF(Sheet2!$B$1:$B$132,N464)</f>
        <v>0</v>
      </c>
      <c r="P464" s="8">
        <f t="shared" ca="1" si="37"/>
        <v>0</v>
      </c>
      <c r="Q464" s="8">
        <f ca="1">CEILING(R463*(IF(N464&lt;=IF($B$2=0,0,OFFSET(Sheet2!$B$1,Sheet1!$B$2-1,0)),$B$1/(365*100),$B$3/(365*100)))*100,1)/100</f>
        <v>350.82</v>
      </c>
      <c r="R464" s="9">
        <f t="shared" ca="1" si="38"/>
        <v>859734.25714652997</v>
      </c>
    </row>
    <row r="465" spans="1:18" x14ac:dyDescent="0.25">
      <c r="A465">
        <v>5</v>
      </c>
      <c r="B465">
        <v>0</v>
      </c>
      <c r="C465">
        <v>18</v>
      </c>
      <c r="D465">
        <v>24.9</v>
      </c>
      <c r="E465">
        <v>51</v>
      </c>
      <c r="F465">
        <v>2.4016918627451016E-2</v>
      </c>
      <c r="G465" t="str">
        <f t="shared" si="39"/>
        <v>Insert into BlueCreditTypeRainbow Values (5, 0, 18, 24.9, 51, 0.024016918627451)</v>
      </c>
      <c r="N465" s="4">
        <v>462</v>
      </c>
      <c r="O465" s="8">
        <f>$B$7*COUNTIF(Sheet2!$B$1:$B$132,N465)</f>
        <v>0</v>
      </c>
      <c r="P465" s="8">
        <f t="shared" ca="1" si="37"/>
        <v>0</v>
      </c>
      <c r="Q465" s="8">
        <f ca="1">CEILING(R464*(IF(N465&lt;=IF($B$2=0,0,OFFSET(Sheet2!$B$1,Sheet1!$B$2-1,0)),$B$1/(365*100),$B$3/(365*100)))*100,1)/100</f>
        <v>350.97</v>
      </c>
      <c r="R465" s="9">
        <f t="shared" ca="1" si="38"/>
        <v>860085.22714652994</v>
      </c>
    </row>
    <row r="466" spans="1:18" x14ac:dyDescent="0.25">
      <c r="A466">
        <v>5</v>
      </c>
      <c r="B466">
        <v>0</v>
      </c>
      <c r="C466">
        <v>18</v>
      </c>
      <c r="D466">
        <v>24.9</v>
      </c>
      <c r="E466">
        <v>52</v>
      </c>
      <c r="F466">
        <v>2.3735870402971284E-2</v>
      </c>
      <c r="G466" t="str">
        <f t="shared" si="39"/>
        <v>Insert into BlueCreditTypeRainbow Values (5, 0, 18, 24.9, 52, 0.0237358704029713)</v>
      </c>
      <c r="N466" s="4">
        <v>463</v>
      </c>
      <c r="O466" s="8">
        <f>$B$7*COUNTIF(Sheet2!$B$1:$B$132,N466)</f>
        <v>0</v>
      </c>
      <c r="P466" s="8">
        <f t="shared" ca="1" si="37"/>
        <v>0</v>
      </c>
      <c r="Q466" s="8">
        <f ca="1">CEILING(R465*(IF(N466&lt;=IF($B$2=0,0,OFFSET(Sheet2!$B$1,Sheet1!$B$2-1,0)),$B$1/(365*100),$B$3/(365*100)))*100,1)/100</f>
        <v>351.11</v>
      </c>
      <c r="R466" s="9">
        <f t="shared" ca="1" si="38"/>
        <v>860436.33714652993</v>
      </c>
    </row>
    <row r="467" spans="1:18" x14ac:dyDescent="0.25">
      <c r="A467">
        <v>5</v>
      </c>
      <c r="B467">
        <v>0</v>
      </c>
      <c r="C467">
        <v>18</v>
      </c>
      <c r="D467">
        <v>24.9</v>
      </c>
      <c r="E467">
        <v>53</v>
      </c>
      <c r="F467">
        <v>2.346681113368582E-2</v>
      </c>
      <c r="G467" t="str">
        <f t="shared" si="39"/>
        <v>Insert into BlueCreditTypeRainbow Values (5, 0, 18, 24.9, 53, 0.0234668111336858)</v>
      </c>
      <c r="N467" s="4">
        <v>464</v>
      </c>
      <c r="O467" s="8">
        <f>$B$7*COUNTIF(Sheet2!$B$1:$B$132,N467)</f>
        <v>0</v>
      </c>
      <c r="P467" s="8">
        <f t="shared" ca="1" si="37"/>
        <v>0</v>
      </c>
      <c r="Q467" s="8">
        <f ca="1">CEILING(R466*(IF(N467&lt;=IF($B$2=0,0,OFFSET(Sheet2!$B$1,Sheet1!$B$2-1,0)),$B$1/(365*100),$B$3/(365*100)))*100,1)/100</f>
        <v>351.25</v>
      </c>
      <c r="R467" s="9">
        <f t="shared" ca="1" si="38"/>
        <v>860787.58714652993</v>
      </c>
    </row>
    <row r="468" spans="1:18" x14ac:dyDescent="0.25">
      <c r="A468">
        <v>5</v>
      </c>
      <c r="B468">
        <v>0</v>
      </c>
      <c r="C468">
        <v>18</v>
      </c>
      <c r="D468">
        <v>24.9</v>
      </c>
      <c r="E468">
        <v>54</v>
      </c>
      <c r="F468">
        <v>2.320905648148151E-2</v>
      </c>
      <c r="G468" t="str">
        <f t="shared" si="39"/>
        <v>Insert into BlueCreditTypeRainbow Values (5, 0, 18, 24.9, 54, 0.0232090564814815)</v>
      </c>
      <c r="N468" s="4">
        <v>465</v>
      </c>
      <c r="O468" s="8">
        <f>$B$7*COUNTIF(Sheet2!$B$1:$B$132,N468)</f>
        <v>0</v>
      </c>
      <c r="P468" s="8">
        <f t="shared" ca="1" si="37"/>
        <v>0</v>
      </c>
      <c r="Q468" s="8">
        <f ca="1">CEILING(R467*(IF(N468&lt;=IF($B$2=0,0,OFFSET(Sheet2!$B$1,Sheet1!$B$2-1,0)),$B$1/(365*100),$B$3/(365*100)))*100,1)/100</f>
        <v>351.4</v>
      </c>
      <c r="R468" s="9">
        <f t="shared" ca="1" si="38"/>
        <v>861138.98714652995</v>
      </c>
    </row>
    <row r="469" spans="1:18" x14ac:dyDescent="0.25">
      <c r="A469">
        <v>5</v>
      </c>
      <c r="B469">
        <v>0</v>
      </c>
      <c r="C469">
        <v>17</v>
      </c>
      <c r="D469">
        <v>24.9</v>
      </c>
      <c r="E469">
        <v>42</v>
      </c>
      <c r="F469">
        <v>2.7553965952380986E-2</v>
      </c>
      <c r="G469" t="str">
        <f t="shared" si="39"/>
        <v>Insert into BlueCreditTypeRainbow Values (5, 0, 17, 24.9, 42, 0.027553965952381)</v>
      </c>
      <c r="N469" s="4">
        <v>466</v>
      </c>
      <c r="O469" s="8">
        <f>$B$7*COUNTIF(Sheet2!$B$1:$B$132,N469)</f>
        <v>0</v>
      </c>
      <c r="P469" s="8">
        <f t="shared" ca="1" si="37"/>
        <v>0</v>
      </c>
      <c r="Q469" s="8">
        <f ca="1">CEILING(R468*(IF(N469&lt;=IF($B$2=0,0,OFFSET(Sheet2!$B$1,Sheet1!$B$2-1,0)),$B$1/(365*100),$B$3/(365*100)))*100,1)/100</f>
        <v>351.54</v>
      </c>
      <c r="R469" s="9">
        <f t="shared" ca="1" si="38"/>
        <v>861490.52714652999</v>
      </c>
    </row>
    <row r="470" spans="1:18" x14ac:dyDescent="0.25">
      <c r="A470">
        <v>5</v>
      </c>
      <c r="B470">
        <v>0</v>
      </c>
      <c r="C470">
        <v>17</v>
      </c>
      <c r="D470">
        <v>24.9</v>
      </c>
      <c r="E470">
        <v>43</v>
      </c>
      <c r="F470">
        <v>2.7118868604651139E-2</v>
      </c>
      <c r="G470" t="str">
        <f t="shared" si="39"/>
        <v>Insert into BlueCreditTypeRainbow Values (5, 0, 17, 24.9, 43, 0.0271188686046511)</v>
      </c>
      <c r="N470" s="4">
        <v>467</v>
      </c>
      <c r="O470" s="8">
        <f>$B$7*COUNTIF(Sheet2!$B$1:$B$132,N470)</f>
        <v>0</v>
      </c>
      <c r="P470" s="8">
        <f t="shared" ca="1" si="37"/>
        <v>0</v>
      </c>
      <c r="Q470" s="8">
        <f ca="1">CEILING(R469*(IF(N470&lt;=IF($B$2=0,0,OFFSET(Sheet2!$B$1,Sheet1!$B$2-1,0)),$B$1/(365*100),$B$3/(365*100)))*100,1)/100</f>
        <v>351.68</v>
      </c>
      <c r="R470" s="9">
        <f t="shared" ca="1" si="38"/>
        <v>861842.20714653004</v>
      </c>
    </row>
    <row r="471" spans="1:18" x14ac:dyDescent="0.25">
      <c r="A471">
        <v>5</v>
      </c>
      <c r="B471">
        <v>0</v>
      </c>
      <c r="C471">
        <v>17</v>
      </c>
      <c r="D471">
        <v>24.9</v>
      </c>
      <c r="E471">
        <v>44</v>
      </c>
      <c r="F471">
        <v>2.6705701818181854E-2</v>
      </c>
      <c r="G471" t="str">
        <f t="shared" si="39"/>
        <v>Insert into BlueCreditTypeRainbow Values (5, 0, 17, 24.9, 44, 0.0267057018181819)</v>
      </c>
      <c r="N471" s="4">
        <v>468</v>
      </c>
      <c r="O471" s="8">
        <f>$B$7*COUNTIF(Sheet2!$B$1:$B$132,N471)</f>
        <v>0</v>
      </c>
      <c r="P471" s="8">
        <f t="shared" ca="1" si="37"/>
        <v>0</v>
      </c>
      <c r="Q471" s="8">
        <f ca="1">CEILING(R470*(IF(N471&lt;=IF($B$2=0,0,OFFSET(Sheet2!$B$1,Sheet1!$B$2-1,0)),$B$1/(365*100),$B$3/(365*100)))*100,1)/100</f>
        <v>351.83</v>
      </c>
      <c r="R471" s="9">
        <f t="shared" ca="1" si="38"/>
        <v>862194.03714653</v>
      </c>
    </row>
    <row r="472" spans="1:18" x14ac:dyDescent="0.25">
      <c r="A472">
        <v>5</v>
      </c>
      <c r="B472">
        <v>0</v>
      </c>
      <c r="C472">
        <v>17</v>
      </c>
      <c r="D472">
        <v>24.9</v>
      </c>
      <c r="E472">
        <v>45</v>
      </c>
      <c r="F472">
        <v>2.6313201561752198E-2</v>
      </c>
      <c r="G472" t="str">
        <f t="shared" si="39"/>
        <v>Insert into BlueCreditTypeRainbow Values (5, 0, 17, 24.9, 45, 0.0263132015617522)</v>
      </c>
      <c r="N472" s="4">
        <v>469</v>
      </c>
      <c r="O472" s="8">
        <f>$B$7*COUNTIF(Sheet2!$B$1:$B$132,N472)</f>
        <v>0</v>
      </c>
      <c r="P472" s="8">
        <f t="shared" ca="1" si="37"/>
        <v>0</v>
      </c>
      <c r="Q472" s="8">
        <f ca="1">CEILING(R471*(IF(N472&lt;=IF($B$2=0,0,OFFSET(Sheet2!$B$1,Sheet1!$B$2-1,0)),$B$1/(365*100),$B$3/(365*100)))*100,1)/100</f>
        <v>351.97</v>
      </c>
      <c r="R472" s="9">
        <f t="shared" ca="1" si="38"/>
        <v>862546.00714652997</v>
      </c>
    </row>
    <row r="473" spans="1:18" x14ac:dyDescent="0.25">
      <c r="A473">
        <v>5</v>
      </c>
      <c r="B473">
        <v>0</v>
      </c>
      <c r="C473">
        <v>17</v>
      </c>
      <c r="D473">
        <v>24.9</v>
      </c>
      <c r="E473">
        <v>46</v>
      </c>
      <c r="F473">
        <v>2.5939673387148549E-2</v>
      </c>
      <c r="G473" t="str">
        <f t="shared" si="39"/>
        <v>Insert into BlueCreditTypeRainbow Values (5, 0, 17, 24.9, 46, 0.0259396733871485)</v>
      </c>
      <c r="N473" s="4">
        <v>470</v>
      </c>
      <c r="O473" s="8">
        <f>$B$7*COUNTIF(Sheet2!$B$1:$B$132,N473)</f>
        <v>0</v>
      </c>
      <c r="P473" s="8">
        <f t="shared" ca="1" si="37"/>
        <v>0</v>
      </c>
      <c r="Q473" s="8">
        <f ca="1">CEILING(R472*(IF(N473&lt;=IF($B$2=0,0,OFFSET(Sheet2!$B$1,Sheet1!$B$2-1,0)),$B$1/(365*100),$B$3/(365*100)))*100,1)/100</f>
        <v>352.11</v>
      </c>
      <c r="R473" s="9">
        <f t="shared" ca="1" si="38"/>
        <v>862898.11714652996</v>
      </c>
    </row>
    <row r="474" spans="1:18" x14ac:dyDescent="0.25">
      <c r="A474">
        <v>5</v>
      </c>
      <c r="B474">
        <v>0</v>
      </c>
      <c r="C474">
        <v>17</v>
      </c>
      <c r="D474">
        <v>24.9</v>
      </c>
      <c r="E474">
        <v>47</v>
      </c>
      <c r="F474">
        <v>2.5584096382978743E-2</v>
      </c>
      <c r="G474" t="str">
        <f t="shared" si="39"/>
        <v>Insert into BlueCreditTypeRainbow Values (5, 0, 17, 24.9, 47, 0.0255840963829787)</v>
      </c>
      <c r="N474" s="4">
        <v>471</v>
      </c>
      <c r="O474" s="8">
        <f>$B$7*COUNTIF(Sheet2!$B$1:$B$132,N474)</f>
        <v>0</v>
      </c>
      <c r="P474" s="8">
        <f t="shared" ca="1" si="37"/>
        <v>0</v>
      </c>
      <c r="Q474" s="8">
        <f ca="1">CEILING(R473*(IF(N474&lt;=IF($B$2=0,0,OFFSET(Sheet2!$B$1,Sheet1!$B$2-1,0)),$B$1/(365*100),$B$3/(365*100)))*100,1)/100</f>
        <v>352.26</v>
      </c>
      <c r="R474" s="9">
        <f t="shared" ca="1" si="38"/>
        <v>863250.37714652997</v>
      </c>
    </row>
    <row r="475" spans="1:18" x14ac:dyDescent="0.25">
      <c r="A475">
        <v>5</v>
      </c>
      <c r="B475">
        <v>0</v>
      </c>
      <c r="C475">
        <v>17</v>
      </c>
      <c r="D475">
        <v>24.9</v>
      </c>
      <c r="E475">
        <v>48</v>
      </c>
      <c r="F475">
        <v>2.5245048958333311E-2</v>
      </c>
      <c r="G475" t="str">
        <f t="shared" si="39"/>
        <v>Insert into BlueCreditTypeRainbow Values (5, 0, 17, 24.9, 48, 0.0252450489583333)</v>
      </c>
      <c r="N475" s="4">
        <v>472</v>
      </c>
      <c r="O475" s="8">
        <f>$B$7*COUNTIF(Sheet2!$B$1:$B$132,N475)</f>
        <v>0</v>
      </c>
      <c r="P475" s="8">
        <f t="shared" ca="1" si="37"/>
        <v>0</v>
      </c>
      <c r="Q475" s="8">
        <f ca="1">CEILING(R474*(IF(N475&lt;=IF($B$2=0,0,OFFSET(Sheet2!$B$1,Sheet1!$B$2-1,0)),$B$1/(365*100),$B$3/(365*100)))*100,1)/100</f>
        <v>352.4</v>
      </c>
      <c r="R475" s="9">
        <f t="shared" ca="1" si="38"/>
        <v>863602.77714652999</v>
      </c>
    </row>
    <row r="476" spans="1:18" x14ac:dyDescent="0.25">
      <c r="A476">
        <v>5</v>
      </c>
      <c r="B476">
        <v>0</v>
      </c>
      <c r="C476">
        <v>17</v>
      </c>
      <c r="D476">
        <v>24.9</v>
      </c>
      <c r="E476">
        <v>49</v>
      </c>
      <c r="F476">
        <v>2.4921689403632478E-2</v>
      </c>
      <c r="G476" t="str">
        <f t="shared" si="39"/>
        <v>Insert into BlueCreditTypeRainbow Values (5, 0, 17, 24.9, 49, 0.0249216894036325)</v>
      </c>
      <c r="N476" s="4">
        <v>473</v>
      </c>
      <c r="O476" s="8">
        <f>$B$7*COUNTIF(Sheet2!$B$1:$B$132,N476)</f>
        <v>0</v>
      </c>
      <c r="P476" s="8">
        <f t="shared" ca="1" si="37"/>
        <v>0</v>
      </c>
      <c r="Q476" s="8">
        <f ca="1">CEILING(R475*(IF(N476&lt;=IF($B$2=0,0,OFFSET(Sheet2!$B$1,Sheet1!$B$2-1,0)),$B$1/(365*100),$B$3/(365*100)))*100,1)/100</f>
        <v>352.54</v>
      </c>
      <c r="R476" s="9">
        <f t="shared" ca="1" si="38"/>
        <v>863955.31714653003</v>
      </c>
    </row>
    <row r="477" spans="1:18" x14ac:dyDescent="0.25">
      <c r="A477">
        <v>5</v>
      </c>
      <c r="B477">
        <v>0</v>
      </c>
      <c r="C477">
        <v>17</v>
      </c>
      <c r="D477">
        <v>24.9</v>
      </c>
      <c r="E477">
        <v>50</v>
      </c>
      <c r="F477">
        <v>2.4613020816311827E-2</v>
      </c>
      <c r="G477" t="str">
        <f t="shared" si="39"/>
        <v>Insert into BlueCreditTypeRainbow Values (5, 0, 17, 24.9, 50, 0.0246130208163118)</v>
      </c>
      <c r="N477" s="4">
        <v>474</v>
      </c>
      <c r="O477" s="8">
        <f>$B$7*COUNTIF(Sheet2!$B$1:$B$132,N477)</f>
        <v>0</v>
      </c>
      <c r="P477" s="8">
        <f t="shared" ca="1" si="37"/>
        <v>0</v>
      </c>
      <c r="Q477" s="8">
        <f ca="1">CEILING(R476*(IF(N477&lt;=IF($B$2=0,0,OFFSET(Sheet2!$B$1,Sheet1!$B$2-1,0)),$B$1/(365*100),$B$3/(365*100)))*100,1)/100</f>
        <v>352.69</v>
      </c>
      <c r="R477" s="9">
        <f t="shared" ca="1" si="38"/>
        <v>864308.00714652997</v>
      </c>
    </row>
    <row r="478" spans="1:18" x14ac:dyDescent="0.25">
      <c r="A478">
        <v>5</v>
      </c>
      <c r="B478">
        <v>0</v>
      </c>
      <c r="C478">
        <v>17</v>
      </c>
      <c r="D478">
        <v>24.9</v>
      </c>
      <c r="E478">
        <v>51</v>
      </c>
      <c r="F478">
        <v>2.4317927647058851E-2</v>
      </c>
      <c r="G478" t="str">
        <f t="shared" si="39"/>
        <v>Insert into BlueCreditTypeRainbow Values (5, 0, 17, 24.9, 51, 0.0243179276470589)</v>
      </c>
      <c r="N478" s="4">
        <v>475</v>
      </c>
      <c r="O478" s="8">
        <f>$B$7*COUNTIF(Sheet2!$B$1:$B$132,N478)</f>
        <v>0</v>
      </c>
      <c r="P478" s="8">
        <f t="shared" ca="1" si="37"/>
        <v>0</v>
      </c>
      <c r="Q478" s="8">
        <f ca="1">CEILING(R477*(IF(N478&lt;=IF($B$2=0,0,OFFSET(Sheet2!$B$1,Sheet1!$B$2-1,0)),$B$1/(365*100),$B$3/(365*100)))*100,1)/100</f>
        <v>352.83</v>
      </c>
      <c r="R478" s="9">
        <f t="shared" ca="1" si="38"/>
        <v>864660.83714652993</v>
      </c>
    </row>
    <row r="479" spans="1:18" x14ac:dyDescent="0.25">
      <c r="A479">
        <v>5</v>
      </c>
      <c r="B479">
        <v>0</v>
      </c>
      <c r="C479">
        <v>17</v>
      </c>
      <c r="D479">
        <v>24.9</v>
      </c>
      <c r="E479">
        <v>52</v>
      </c>
      <c r="F479">
        <v>2.4035784634492064E-2</v>
      </c>
      <c r="G479" t="str">
        <f t="shared" si="39"/>
        <v>Insert into BlueCreditTypeRainbow Values (5, 0, 17, 24.9, 52, 0.0240357846344921)</v>
      </c>
      <c r="N479" s="4">
        <v>476</v>
      </c>
      <c r="O479" s="8">
        <f>$B$7*COUNTIF(Sheet2!$B$1:$B$132,N479)</f>
        <v>0</v>
      </c>
      <c r="P479" s="8">
        <f t="shared" ca="1" si="37"/>
        <v>0</v>
      </c>
      <c r="Q479" s="8">
        <f ca="1">CEILING(R478*(IF(N479&lt;=IF($B$2=0,0,OFFSET(Sheet2!$B$1,Sheet1!$B$2-1,0)),$B$1/(365*100),$B$3/(365*100)))*100,1)/100</f>
        <v>352.98</v>
      </c>
      <c r="R479" s="9">
        <f t="shared" ca="1" si="38"/>
        <v>865013.81714652991</v>
      </c>
    </row>
    <row r="480" spans="1:18" x14ac:dyDescent="0.25">
      <c r="A480">
        <v>5</v>
      </c>
      <c r="B480">
        <v>0</v>
      </c>
      <c r="C480">
        <v>17</v>
      </c>
      <c r="D480">
        <v>24.9</v>
      </c>
      <c r="E480">
        <v>53</v>
      </c>
      <c r="F480">
        <v>2.376563245283024E-2</v>
      </c>
      <c r="G480" t="str">
        <f t="shared" si="39"/>
        <v>Insert into BlueCreditTypeRainbow Values (5, 0, 17, 24.9, 53, 0.0237656324528302)</v>
      </c>
      <c r="N480" s="4">
        <v>477</v>
      </c>
      <c r="O480" s="8">
        <f>$B$7*COUNTIF(Sheet2!$B$1:$B$132,N480)</f>
        <v>0</v>
      </c>
      <c r="P480" s="8">
        <f t="shared" ca="1" si="37"/>
        <v>0</v>
      </c>
      <c r="Q480" s="8">
        <f ca="1">CEILING(R479*(IF(N480&lt;=IF($B$2=0,0,OFFSET(Sheet2!$B$1,Sheet1!$B$2-1,0)),$B$1/(365*100),$B$3/(365*100)))*100,1)/100</f>
        <v>353.12</v>
      </c>
      <c r="R480" s="9">
        <f t="shared" ca="1" si="38"/>
        <v>865366.9371465299</v>
      </c>
    </row>
    <row r="481" spans="1:18" x14ac:dyDescent="0.25">
      <c r="A481">
        <v>5</v>
      </c>
      <c r="B481">
        <v>0</v>
      </c>
      <c r="C481">
        <v>17</v>
      </c>
      <c r="D481">
        <v>24.9</v>
      </c>
      <c r="E481">
        <v>54</v>
      </c>
      <c r="F481">
        <v>2.3506776680996218E-2</v>
      </c>
      <c r="G481" t="str">
        <f t="shared" si="39"/>
        <v>Insert into BlueCreditTypeRainbow Values (5, 0, 17, 24.9, 54, 0.0235067766809962)</v>
      </c>
      <c r="N481" s="4">
        <v>478</v>
      </c>
      <c r="O481" s="8">
        <f>$B$7*COUNTIF(Sheet2!$B$1:$B$132,N481)</f>
        <v>0</v>
      </c>
      <c r="P481" s="8">
        <f t="shared" ca="1" si="37"/>
        <v>0</v>
      </c>
      <c r="Q481" s="8">
        <f ca="1">CEILING(R480*(IF(N481&lt;=IF($B$2=0,0,OFFSET(Sheet2!$B$1,Sheet1!$B$2-1,0)),$B$1/(365*100),$B$3/(365*100)))*100,1)/100</f>
        <v>353.26</v>
      </c>
      <c r="R481" s="9">
        <f t="shared" ca="1" si="38"/>
        <v>865720.19714652991</v>
      </c>
    </row>
    <row r="482" spans="1:18" x14ac:dyDescent="0.25">
      <c r="A482">
        <v>5</v>
      </c>
      <c r="B482">
        <v>0</v>
      </c>
      <c r="C482">
        <v>16</v>
      </c>
      <c r="D482">
        <v>24.9</v>
      </c>
      <c r="E482">
        <v>42</v>
      </c>
      <c r="F482">
        <v>2.7869538117164906E-2</v>
      </c>
      <c r="G482" t="str">
        <f t="shared" si="39"/>
        <v>Insert into BlueCreditTypeRainbow Values (5, 0, 16, 24.9, 42, 0.0278695381171649)</v>
      </c>
      <c r="N482" s="4">
        <v>479</v>
      </c>
      <c r="O482" s="8">
        <f>$B$7*COUNTIF(Sheet2!$B$1:$B$132,N482)</f>
        <v>0</v>
      </c>
      <c r="P482" s="8">
        <f t="shared" ca="1" si="37"/>
        <v>0</v>
      </c>
      <c r="Q482" s="8">
        <f ca="1">CEILING(R481*(IF(N482&lt;=IF($B$2=0,0,OFFSET(Sheet2!$B$1,Sheet1!$B$2-1,0)),$B$1/(365*100),$B$3/(365*100)))*100,1)/100</f>
        <v>353.41</v>
      </c>
      <c r="R482" s="9">
        <f t="shared" ca="1" si="38"/>
        <v>866073.60714652995</v>
      </c>
    </row>
    <row r="483" spans="1:18" x14ac:dyDescent="0.25">
      <c r="A483">
        <v>5</v>
      </c>
      <c r="B483">
        <v>0</v>
      </c>
      <c r="C483">
        <v>16</v>
      </c>
      <c r="D483">
        <v>24.9</v>
      </c>
      <c r="E483">
        <v>43</v>
      </c>
      <c r="F483">
        <v>2.7433366511627953E-2</v>
      </c>
      <c r="G483" t="str">
        <f t="shared" si="39"/>
        <v>Insert into BlueCreditTypeRainbow Values (5, 0, 16, 24.9, 43, 0.027433366511628)</v>
      </c>
      <c r="N483" s="4">
        <v>480</v>
      </c>
      <c r="O483" s="8">
        <f>$B$7*COUNTIF(Sheet2!$B$1:$B$132,N483)</f>
        <v>0</v>
      </c>
      <c r="P483" s="8">
        <f t="shared" ca="1" si="37"/>
        <v>0</v>
      </c>
      <c r="Q483" s="8">
        <f ca="1">CEILING(R482*(IF(N483&lt;=IF($B$2=0,0,OFFSET(Sheet2!$B$1,Sheet1!$B$2-1,0)),$B$1/(365*100),$B$3/(365*100)))*100,1)/100</f>
        <v>353.55</v>
      </c>
      <c r="R483" s="9">
        <f t="shared" ca="1" si="38"/>
        <v>866427.15714652999</v>
      </c>
    </row>
    <row r="484" spans="1:18" x14ac:dyDescent="0.25">
      <c r="A484">
        <v>5</v>
      </c>
      <c r="B484">
        <v>0</v>
      </c>
      <c r="C484">
        <v>16</v>
      </c>
      <c r="D484">
        <v>24.9</v>
      </c>
      <c r="E484">
        <v>44</v>
      </c>
      <c r="F484">
        <v>2.7019067138554124E-2</v>
      </c>
      <c r="G484" t="str">
        <f t="shared" si="39"/>
        <v>Insert into BlueCreditTypeRainbow Values (5, 0, 16, 24.9, 44, 0.0270190671385541)</v>
      </c>
      <c r="N484" s="4">
        <v>481</v>
      </c>
      <c r="O484" s="8">
        <f>$B$7*COUNTIF(Sheet2!$B$1:$B$132,N484)</f>
        <v>0</v>
      </c>
      <c r="P484" s="8">
        <f t="shared" ca="1" si="37"/>
        <v>0</v>
      </c>
      <c r="Q484" s="8">
        <f ca="1">CEILING(R483*(IF(N484&lt;=IF($B$2=0,0,OFFSET(Sheet2!$B$1,Sheet1!$B$2-1,0)),$B$1/(365*100),$B$3/(365*100)))*100,1)/100</f>
        <v>353.7</v>
      </c>
      <c r="R484" s="9">
        <f t="shared" ca="1" si="38"/>
        <v>866780.85714652995</v>
      </c>
    </row>
    <row r="485" spans="1:18" x14ac:dyDescent="0.25">
      <c r="A485">
        <v>5</v>
      </c>
      <c r="B485">
        <v>0</v>
      </c>
      <c r="C485">
        <v>16</v>
      </c>
      <c r="D485">
        <v>24.9</v>
      </c>
      <c r="E485">
        <v>45</v>
      </c>
      <c r="F485">
        <v>2.662538637855771E-2</v>
      </c>
      <c r="G485" t="str">
        <f t="shared" si="39"/>
        <v>Insert into BlueCreditTypeRainbow Values (5, 0, 16, 24.9, 45, 0.0266253863785577)</v>
      </c>
      <c r="N485" s="4">
        <v>482</v>
      </c>
      <c r="O485" s="8">
        <f>$B$7*COUNTIF(Sheet2!$B$1:$B$132,N485)</f>
        <v>0</v>
      </c>
      <c r="P485" s="8">
        <f t="shared" ca="1" si="37"/>
        <v>0</v>
      </c>
      <c r="Q485" s="8">
        <f ca="1">CEILING(R484*(IF(N485&lt;=IF($B$2=0,0,OFFSET(Sheet2!$B$1,Sheet1!$B$2-1,0)),$B$1/(365*100),$B$3/(365*100)))*100,1)/100</f>
        <v>353.84</v>
      </c>
      <c r="R485" s="9">
        <f t="shared" ca="1" si="38"/>
        <v>867134.69714652991</v>
      </c>
    </row>
    <row r="486" spans="1:18" x14ac:dyDescent="0.25">
      <c r="A486">
        <v>5</v>
      </c>
      <c r="B486">
        <v>0</v>
      </c>
      <c r="C486">
        <v>16</v>
      </c>
      <c r="D486">
        <v>24.9</v>
      </c>
      <c r="E486">
        <v>46</v>
      </c>
      <c r="F486">
        <v>2.6250648260869581E-2</v>
      </c>
      <c r="G486" t="str">
        <f t="shared" si="39"/>
        <v>Insert into BlueCreditTypeRainbow Values (5, 0, 16, 24.9, 46, 0.0262506482608696)</v>
      </c>
      <c r="N486" s="4">
        <v>483</v>
      </c>
      <c r="O486" s="8">
        <f>$B$7*COUNTIF(Sheet2!$B$1:$B$132,N486)</f>
        <v>0</v>
      </c>
      <c r="P486" s="8">
        <f t="shared" ca="1" si="37"/>
        <v>0</v>
      </c>
      <c r="Q486" s="8">
        <f ca="1">CEILING(R485*(IF(N486&lt;=IF($B$2=0,0,OFFSET(Sheet2!$B$1,Sheet1!$B$2-1,0)),$B$1/(365*100),$B$3/(365*100)))*100,1)/100</f>
        <v>353.99</v>
      </c>
      <c r="R486" s="9">
        <f t="shared" ca="1" si="38"/>
        <v>867488.6871465299</v>
      </c>
    </row>
    <row r="487" spans="1:18" x14ac:dyDescent="0.25">
      <c r="A487">
        <v>5</v>
      </c>
      <c r="B487">
        <v>0</v>
      </c>
      <c r="C487">
        <v>16</v>
      </c>
      <c r="D487">
        <v>24.9</v>
      </c>
      <c r="E487">
        <v>47</v>
      </c>
      <c r="F487">
        <v>2.5893823617021281E-2</v>
      </c>
      <c r="G487" t="str">
        <f t="shared" si="39"/>
        <v>Insert into BlueCreditTypeRainbow Values (5, 0, 16, 24.9, 47, 0.0258938236170213)</v>
      </c>
      <c r="N487" s="4">
        <v>484</v>
      </c>
      <c r="O487" s="8">
        <f>$B$7*COUNTIF(Sheet2!$B$1:$B$132,N487)</f>
        <v>0</v>
      </c>
      <c r="P487" s="8">
        <f t="shared" ca="1" si="37"/>
        <v>0</v>
      </c>
      <c r="Q487" s="8">
        <f ca="1">CEILING(R486*(IF(N487&lt;=IF($B$2=0,0,OFFSET(Sheet2!$B$1,Sheet1!$B$2-1,0)),$B$1/(365*100),$B$3/(365*100)))*100,1)/100</f>
        <v>354.13</v>
      </c>
      <c r="R487" s="9">
        <f t="shared" ca="1" si="38"/>
        <v>867842.81714652991</v>
      </c>
    </row>
    <row r="488" spans="1:18" x14ac:dyDescent="0.25">
      <c r="A488">
        <v>5</v>
      </c>
      <c r="B488">
        <v>0</v>
      </c>
      <c r="C488">
        <v>16</v>
      </c>
      <c r="D488">
        <v>24.9</v>
      </c>
      <c r="E488">
        <v>48</v>
      </c>
      <c r="F488">
        <v>2.5553510636399789E-2</v>
      </c>
      <c r="G488" t="str">
        <f t="shared" si="39"/>
        <v>Insert into BlueCreditTypeRainbow Values (5, 0, 16, 24.9, 48, 0.0255535106363998)</v>
      </c>
      <c r="N488" s="4">
        <v>485</v>
      </c>
      <c r="O488" s="8">
        <f>$B$7*COUNTIF(Sheet2!$B$1:$B$132,N488)</f>
        <v>0</v>
      </c>
      <c r="P488" s="8">
        <f t="shared" ca="1" si="37"/>
        <v>0</v>
      </c>
      <c r="Q488" s="8">
        <f ca="1">CEILING(R487*(IF(N488&lt;=IF($B$2=0,0,OFFSET(Sheet2!$B$1,Sheet1!$B$2-1,0)),$B$1/(365*100),$B$3/(365*100)))*100,1)/100</f>
        <v>354.28</v>
      </c>
      <c r="R488" s="9">
        <f t="shared" ca="1" si="38"/>
        <v>868197.09714652994</v>
      </c>
    </row>
    <row r="489" spans="1:18" x14ac:dyDescent="0.25">
      <c r="A489">
        <v>5</v>
      </c>
      <c r="B489">
        <v>0</v>
      </c>
      <c r="C489">
        <v>16</v>
      </c>
      <c r="D489">
        <v>24.9</v>
      </c>
      <c r="E489">
        <v>49</v>
      </c>
      <c r="F489">
        <v>2.5228877979381097E-2</v>
      </c>
      <c r="G489" t="str">
        <f t="shared" si="39"/>
        <v>Insert into BlueCreditTypeRainbow Values (5, 0, 16, 24.9, 49, 0.0252288779793811)</v>
      </c>
      <c r="N489" s="4">
        <v>486</v>
      </c>
      <c r="O489" s="8">
        <f>$B$7*COUNTIF(Sheet2!$B$1:$B$132,N489)</f>
        <v>0</v>
      </c>
      <c r="P489" s="8">
        <f t="shared" ca="1" si="37"/>
        <v>0</v>
      </c>
      <c r="Q489" s="8">
        <f ca="1">CEILING(R488*(IF(N489&lt;=IF($B$2=0,0,OFFSET(Sheet2!$B$1,Sheet1!$B$2-1,0)),$B$1/(365*100),$B$3/(365*100)))*100,1)/100</f>
        <v>354.42</v>
      </c>
      <c r="R489" s="9">
        <f t="shared" ca="1" si="38"/>
        <v>868551.51714652998</v>
      </c>
    </row>
    <row r="490" spans="1:18" x14ac:dyDescent="0.25">
      <c r="A490">
        <v>5</v>
      </c>
      <c r="B490">
        <v>0</v>
      </c>
      <c r="C490">
        <v>16</v>
      </c>
      <c r="D490">
        <v>24.9</v>
      </c>
      <c r="E490">
        <v>50</v>
      </c>
      <c r="F490">
        <v>2.4918926612537064E-2</v>
      </c>
      <c r="G490" t="str">
        <f t="shared" si="39"/>
        <v>Insert into BlueCreditTypeRainbow Values (5, 0, 16, 24.9, 50, 0.0249189266125371)</v>
      </c>
      <c r="N490" s="4">
        <v>487</v>
      </c>
      <c r="O490" s="8">
        <f>$B$7*COUNTIF(Sheet2!$B$1:$B$132,N490)</f>
        <v>0</v>
      </c>
      <c r="P490" s="8">
        <f t="shared" ca="1" si="37"/>
        <v>0</v>
      </c>
      <c r="Q490" s="8">
        <f ca="1">CEILING(R489*(IF(N490&lt;=IF($B$2=0,0,OFFSET(Sheet2!$B$1,Sheet1!$B$2-1,0)),$B$1/(365*100),$B$3/(365*100)))*100,1)/100</f>
        <v>354.56</v>
      </c>
      <c r="R490" s="9">
        <f t="shared" ca="1" si="38"/>
        <v>868906.07714653003</v>
      </c>
    </row>
    <row r="491" spans="1:18" x14ac:dyDescent="0.25">
      <c r="A491">
        <v>5</v>
      </c>
      <c r="B491">
        <v>0</v>
      </c>
      <c r="C491">
        <v>16</v>
      </c>
      <c r="D491">
        <v>24.9</v>
      </c>
      <c r="E491">
        <v>51</v>
      </c>
      <c r="F491">
        <v>2.4622551274663857E-2</v>
      </c>
      <c r="G491" t="str">
        <f t="shared" si="39"/>
        <v>Insert into BlueCreditTypeRainbow Values (5, 0, 16, 24.9, 51, 0.0246225512746639)</v>
      </c>
      <c r="N491" s="4">
        <v>488</v>
      </c>
      <c r="O491" s="8">
        <f>$B$7*COUNTIF(Sheet2!$B$1:$B$132,N491)</f>
        <v>21157.10552356458</v>
      </c>
      <c r="P491" s="8">
        <f t="shared" ca="1" si="37"/>
        <v>20802.395523564581</v>
      </c>
      <c r="Q491" s="8">
        <f ca="1">CEILING(R490*(IF(N491&lt;=IF($B$2=0,0,OFFSET(Sheet2!$B$1,Sheet1!$B$2-1,0)),$B$1/(365*100),$B$3/(365*100)))*100,1)/100</f>
        <v>354.71</v>
      </c>
      <c r="R491" s="9">
        <f t="shared" ca="1" si="38"/>
        <v>848103.68162296538</v>
      </c>
    </row>
    <row r="492" spans="1:18" x14ac:dyDescent="0.25">
      <c r="A492">
        <v>5</v>
      </c>
      <c r="B492">
        <v>0</v>
      </c>
      <c r="C492">
        <v>16</v>
      </c>
      <c r="D492">
        <v>24.9</v>
      </c>
      <c r="E492">
        <v>52</v>
      </c>
      <c r="F492">
        <v>2.4339128558961792E-2</v>
      </c>
      <c r="G492" t="str">
        <f t="shared" si="39"/>
        <v>Insert into BlueCreditTypeRainbow Values (5, 0, 16, 24.9, 52, 0.0243391285589618)</v>
      </c>
      <c r="N492" s="4">
        <v>489</v>
      </c>
      <c r="O492" s="8">
        <f>$B$7*COUNTIF(Sheet2!$B$1:$B$132,N492)</f>
        <v>0</v>
      </c>
      <c r="P492" s="8">
        <f t="shared" ca="1" si="37"/>
        <v>0</v>
      </c>
      <c r="Q492" s="8">
        <f ca="1">CEILING(R491*(IF(N492&lt;=IF($B$2=0,0,OFFSET(Sheet2!$B$1,Sheet1!$B$2-1,0)),$B$1/(365*100),$B$3/(365*100)))*100,1)/100</f>
        <v>346.22</v>
      </c>
      <c r="R492" s="9">
        <f t="shared" ca="1" si="38"/>
        <v>848449.90162296535</v>
      </c>
    </row>
    <row r="493" spans="1:18" x14ac:dyDescent="0.25">
      <c r="A493">
        <v>5</v>
      </c>
      <c r="B493">
        <v>0</v>
      </c>
      <c r="C493">
        <v>16</v>
      </c>
      <c r="D493">
        <v>24.9</v>
      </c>
      <c r="E493">
        <v>53</v>
      </c>
      <c r="F493">
        <v>2.4067700678714846E-2</v>
      </c>
      <c r="G493" t="str">
        <f t="shared" si="39"/>
        <v>Insert into BlueCreditTypeRainbow Values (5, 0, 16, 24.9, 53, 0.0240677006787148)</v>
      </c>
      <c r="N493" s="4">
        <v>490</v>
      </c>
      <c r="O493" s="8">
        <f>$B$7*COUNTIF(Sheet2!$B$1:$B$132,N493)</f>
        <v>0</v>
      </c>
      <c r="P493" s="8">
        <f t="shared" ca="1" si="37"/>
        <v>0</v>
      </c>
      <c r="Q493" s="8">
        <f ca="1">CEILING(R492*(IF(N493&lt;=IF($B$2=0,0,OFFSET(Sheet2!$B$1,Sheet1!$B$2-1,0)),$B$1/(365*100),$B$3/(365*100)))*100,1)/100</f>
        <v>346.36</v>
      </c>
      <c r="R493" s="9">
        <f t="shared" ca="1" si="38"/>
        <v>848796.26162296534</v>
      </c>
    </row>
    <row r="494" spans="1:18" x14ac:dyDescent="0.25">
      <c r="A494">
        <v>5</v>
      </c>
      <c r="B494">
        <v>0</v>
      </c>
      <c r="C494">
        <v>16</v>
      </c>
      <c r="D494">
        <v>24.9</v>
      </c>
      <c r="E494">
        <v>54</v>
      </c>
      <c r="F494">
        <v>2.380757332353111E-2</v>
      </c>
      <c r="G494" t="str">
        <f t="shared" si="39"/>
        <v>Insert into BlueCreditTypeRainbow Values (5, 0, 16, 24.9, 54, 0.0238075733235311)</v>
      </c>
      <c r="N494" s="4">
        <v>491</v>
      </c>
      <c r="O494" s="8">
        <f>$B$7*COUNTIF(Sheet2!$B$1:$B$132,N494)</f>
        <v>0</v>
      </c>
      <c r="P494" s="8">
        <f t="shared" ca="1" si="37"/>
        <v>0</v>
      </c>
      <c r="Q494" s="8">
        <f ca="1">CEILING(R493*(IF(N494&lt;=IF($B$2=0,0,OFFSET(Sheet2!$B$1,Sheet1!$B$2-1,0)),$B$1/(365*100),$B$3/(365*100)))*100,1)/100</f>
        <v>346.5</v>
      </c>
      <c r="R494" s="9">
        <f t="shared" ca="1" si="38"/>
        <v>849142.76162296534</v>
      </c>
    </row>
    <row r="495" spans="1:18" x14ac:dyDescent="0.25">
      <c r="A495">
        <v>5</v>
      </c>
      <c r="B495">
        <v>0</v>
      </c>
      <c r="C495">
        <v>15</v>
      </c>
      <c r="D495">
        <v>24.9</v>
      </c>
      <c r="E495">
        <v>42</v>
      </c>
      <c r="F495">
        <v>2.8212999298463728E-2</v>
      </c>
      <c r="G495" t="str">
        <f t="shared" si="39"/>
        <v>Insert into BlueCreditTypeRainbow Values (5, 0, 15, 24.9, 42, 0.0282129992984637)</v>
      </c>
      <c r="N495" s="4">
        <v>492</v>
      </c>
      <c r="O495" s="8">
        <f>$B$7*COUNTIF(Sheet2!$B$1:$B$132,N495)</f>
        <v>0</v>
      </c>
      <c r="P495" s="8">
        <f t="shared" ca="1" si="37"/>
        <v>0</v>
      </c>
      <c r="Q495" s="8">
        <f ca="1">CEILING(R494*(IF(N495&lt;=IF($B$2=0,0,OFFSET(Sheet2!$B$1,Sheet1!$B$2-1,0)),$B$1/(365*100),$B$3/(365*100)))*100,1)/100</f>
        <v>346.64</v>
      </c>
      <c r="R495" s="9">
        <f t="shared" ca="1" si="38"/>
        <v>849489.40162296535</v>
      </c>
    </row>
    <row r="496" spans="1:18" x14ac:dyDescent="0.25">
      <c r="A496">
        <v>5</v>
      </c>
      <c r="B496">
        <v>0</v>
      </c>
      <c r="C496">
        <v>15</v>
      </c>
      <c r="D496">
        <v>24.9</v>
      </c>
      <c r="E496">
        <v>43</v>
      </c>
      <c r="F496">
        <v>2.7775300952341174E-2</v>
      </c>
      <c r="G496" t="str">
        <f t="shared" si="39"/>
        <v>Insert into BlueCreditTypeRainbow Values (5, 0, 15, 24.9, 43, 0.0277753009523412)</v>
      </c>
      <c r="N496" s="4">
        <v>493</v>
      </c>
      <c r="O496" s="8">
        <f>$B$7*COUNTIF(Sheet2!$B$1:$B$132,N496)</f>
        <v>0</v>
      </c>
      <c r="P496" s="8">
        <f t="shared" ca="1" si="37"/>
        <v>0</v>
      </c>
      <c r="Q496" s="8">
        <f ca="1">CEILING(R495*(IF(N496&lt;=IF($B$2=0,0,OFFSET(Sheet2!$B$1,Sheet1!$B$2-1,0)),$B$1/(365*100),$B$3/(365*100)))*100,1)/100</f>
        <v>346.78</v>
      </c>
      <c r="R496" s="9">
        <f t="shared" ca="1" si="38"/>
        <v>849836.18162296538</v>
      </c>
    </row>
    <row r="497" spans="1:18" x14ac:dyDescent="0.25">
      <c r="A497">
        <v>5</v>
      </c>
      <c r="B497">
        <v>0</v>
      </c>
      <c r="C497">
        <v>15</v>
      </c>
      <c r="D497">
        <v>24.9</v>
      </c>
      <c r="E497">
        <v>44</v>
      </c>
      <c r="F497">
        <v>2.735944161050962E-2</v>
      </c>
      <c r="G497" t="str">
        <f t="shared" si="39"/>
        <v>Insert into BlueCreditTypeRainbow Values (5, 0, 15, 24.9, 44, 0.0273594416105096)</v>
      </c>
      <c r="N497" s="4">
        <v>494</v>
      </c>
      <c r="O497" s="8">
        <f>$B$7*COUNTIF(Sheet2!$B$1:$B$132,N497)</f>
        <v>0</v>
      </c>
      <c r="P497" s="8">
        <f t="shared" ca="1" si="37"/>
        <v>0</v>
      </c>
      <c r="Q497" s="8">
        <f ca="1">CEILING(R496*(IF(N497&lt;=IF($B$2=0,0,OFFSET(Sheet2!$B$1,Sheet1!$B$2-1,0)),$B$1/(365*100),$B$3/(365*100)))*100,1)/100</f>
        <v>346.92</v>
      </c>
      <c r="R497" s="9">
        <f t="shared" ca="1" si="38"/>
        <v>850183.10162296542</v>
      </c>
    </row>
    <row r="498" spans="1:18" x14ac:dyDescent="0.25">
      <c r="A498">
        <v>5</v>
      </c>
      <c r="B498">
        <v>0</v>
      </c>
      <c r="C498">
        <v>15</v>
      </c>
      <c r="D498">
        <v>24.9</v>
      </c>
      <c r="E498">
        <v>45</v>
      </c>
      <c r="F498">
        <v>2.6964175555555563E-2</v>
      </c>
      <c r="G498" t="str">
        <f t="shared" si="39"/>
        <v>Insert into BlueCreditTypeRainbow Values (5, 0, 15, 24.9, 45, 0.0269641755555556)</v>
      </c>
      <c r="N498" s="4">
        <v>495</v>
      </c>
      <c r="O498" s="8">
        <f>$B$7*COUNTIF(Sheet2!$B$1:$B$132,N498)</f>
        <v>0</v>
      </c>
      <c r="P498" s="8">
        <f t="shared" ca="1" si="37"/>
        <v>0</v>
      </c>
      <c r="Q498" s="8">
        <f ca="1">CEILING(R497*(IF(N498&lt;=IF($B$2=0,0,OFFSET(Sheet2!$B$1,Sheet1!$B$2-1,0)),$B$1/(365*100),$B$3/(365*100)))*100,1)/100</f>
        <v>347.07</v>
      </c>
      <c r="R498" s="9">
        <f t="shared" ca="1" si="38"/>
        <v>850530.17162296537</v>
      </c>
    </row>
    <row r="499" spans="1:18" x14ac:dyDescent="0.25">
      <c r="A499">
        <v>5</v>
      </c>
      <c r="B499">
        <v>0</v>
      </c>
      <c r="C499">
        <v>15</v>
      </c>
      <c r="D499">
        <v>24.9</v>
      </c>
      <c r="E499">
        <v>46</v>
      </c>
      <c r="F499">
        <v>2.658782958679657E-2</v>
      </c>
      <c r="G499" t="str">
        <f t="shared" si="39"/>
        <v>Insert into BlueCreditTypeRainbow Values (5, 0, 15, 24.9, 46, 0.0265878295867966)</v>
      </c>
      <c r="N499" s="4">
        <v>496</v>
      </c>
      <c r="O499" s="8">
        <f>$B$7*COUNTIF(Sheet2!$B$1:$B$132,N499)</f>
        <v>0</v>
      </c>
      <c r="P499" s="8">
        <f t="shared" ca="1" si="37"/>
        <v>0</v>
      </c>
      <c r="Q499" s="8">
        <f ca="1">CEILING(R498*(IF(N499&lt;=IF($B$2=0,0,OFFSET(Sheet2!$B$1,Sheet1!$B$2-1,0)),$B$1/(365*100),$B$3/(365*100)))*100,1)/100</f>
        <v>347.21</v>
      </c>
      <c r="R499" s="9">
        <f t="shared" ca="1" si="38"/>
        <v>850877.38162296533</v>
      </c>
    </row>
    <row r="500" spans="1:18" x14ac:dyDescent="0.25">
      <c r="A500">
        <v>5</v>
      </c>
      <c r="B500">
        <v>0</v>
      </c>
      <c r="C500">
        <v>15</v>
      </c>
      <c r="D500">
        <v>24.9</v>
      </c>
      <c r="E500">
        <v>47</v>
      </c>
      <c r="F500">
        <v>2.6229397234042592E-2</v>
      </c>
      <c r="G500" t="str">
        <f t="shared" si="39"/>
        <v>Insert into BlueCreditTypeRainbow Values (5, 0, 15, 24.9, 47, 0.0262293972340426)</v>
      </c>
      <c r="N500" s="4">
        <v>497</v>
      </c>
      <c r="O500" s="8">
        <f>$B$7*COUNTIF(Sheet2!$B$1:$B$132,N500)</f>
        <v>0</v>
      </c>
      <c r="P500" s="8">
        <f t="shared" ca="1" si="37"/>
        <v>0</v>
      </c>
      <c r="Q500" s="8">
        <f ca="1">CEILING(R499*(IF(N500&lt;=IF($B$2=0,0,OFFSET(Sheet2!$B$1,Sheet1!$B$2-1,0)),$B$1/(365*100),$B$3/(365*100)))*100,1)/100</f>
        <v>347.35</v>
      </c>
      <c r="R500" s="9">
        <f t="shared" ca="1" si="38"/>
        <v>851224.73162296531</v>
      </c>
    </row>
    <row r="501" spans="1:18" x14ac:dyDescent="0.25">
      <c r="A501">
        <v>5</v>
      </c>
      <c r="B501">
        <v>0</v>
      </c>
      <c r="C501">
        <v>15</v>
      </c>
      <c r="D501">
        <v>24.9</v>
      </c>
      <c r="E501">
        <v>48</v>
      </c>
      <c r="F501">
        <v>2.5887477083333381E-2</v>
      </c>
      <c r="G501" t="str">
        <f t="shared" si="39"/>
        <v>Insert into BlueCreditTypeRainbow Values (5, 0, 15, 24.9, 48, 0.0258874770833334)</v>
      </c>
      <c r="N501" s="4">
        <v>498</v>
      </c>
      <c r="O501" s="8">
        <f>$B$7*COUNTIF(Sheet2!$B$1:$B$132,N501)</f>
        <v>0</v>
      </c>
      <c r="P501" s="8">
        <f t="shared" ca="1" si="37"/>
        <v>0</v>
      </c>
      <c r="Q501" s="8">
        <f ca="1">CEILING(R500*(IF(N501&lt;=IF($B$2=0,0,OFFSET(Sheet2!$B$1,Sheet1!$B$2-1,0)),$B$1/(365*100),$B$3/(365*100)))*100,1)/100</f>
        <v>347.49</v>
      </c>
      <c r="R501" s="9">
        <f t="shared" ca="1" si="38"/>
        <v>851572.2216229653</v>
      </c>
    </row>
    <row r="502" spans="1:18" x14ac:dyDescent="0.25">
      <c r="A502">
        <v>5</v>
      </c>
      <c r="B502">
        <v>0</v>
      </c>
      <c r="C502">
        <v>15</v>
      </c>
      <c r="D502">
        <v>24.9</v>
      </c>
      <c r="E502">
        <v>49</v>
      </c>
      <c r="F502">
        <v>2.556124123575388E-2</v>
      </c>
      <c r="G502" t="str">
        <f t="shared" si="39"/>
        <v>Insert into BlueCreditTypeRainbow Values (5, 0, 15, 24.9, 49, 0.0255612412357539)</v>
      </c>
      <c r="N502" s="4">
        <v>499</v>
      </c>
      <c r="O502" s="8">
        <f>$B$7*COUNTIF(Sheet2!$B$1:$B$132,N502)</f>
        <v>0</v>
      </c>
      <c r="P502" s="8">
        <f t="shared" ca="1" si="37"/>
        <v>0</v>
      </c>
      <c r="Q502" s="8">
        <f ca="1">CEILING(R501*(IF(N502&lt;=IF($B$2=0,0,OFFSET(Sheet2!$B$1,Sheet1!$B$2-1,0)),$B$1/(365*100),$B$3/(365*100)))*100,1)/100</f>
        <v>347.63</v>
      </c>
      <c r="R502" s="9">
        <f t="shared" ca="1" si="38"/>
        <v>851919.8516229653</v>
      </c>
    </row>
    <row r="503" spans="1:18" x14ac:dyDescent="0.25">
      <c r="A503">
        <v>5</v>
      </c>
      <c r="B503">
        <v>0</v>
      </c>
      <c r="C503">
        <v>15</v>
      </c>
      <c r="D503">
        <v>24.9</v>
      </c>
      <c r="E503">
        <v>50</v>
      </c>
      <c r="F503">
        <v>2.5249692600000068E-2</v>
      </c>
      <c r="G503" t="str">
        <f t="shared" si="39"/>
        <v>Insert into BlueCreditTypeRainbow Values (5, 0, 15, 24.9, 50, 0.0252496926000001)</v>
      </c>
      <c r="N503" s="4">
        <v>500</v>
      </c>
      <c r="O503" s="8">
        <f>$B$7*COUNTIF(Sheet2!$B$1:$B$132,N503)</f>
        <v>0</v>
      </c>
      <c r="P503" s="8">
        <f t="shared" ca="1" si="37"/>
        <v>0</v>
      </c>
      <c r="Q503" s="8">
        <f ca="1">CEILING(R502*(IF(N503&lt;=IF($B$2=0,0,OFFSET(Sheet2!$B$1,Sheet1!$B$2-1,0)),$B$1/(365*100),$B$3/(365*100)))*100,1)/100</f>
        <v>347.78</v>
      </c>
      <c r="R503" s="9">
        <f t="shared" ca="1" si="38"/>
        <v>852267.63162296533</v>
      </c>
    </row>
    <row r="504" spans="1:18" x14ac:dyDescent="0.25">
      <c r="A504">
        <v>5</v>
      </c>
      <c r="B504">
        <v>0</v>
      </c>
      <c r="C504">
        <v>15</v>
      </c>
      <c r="D504">
        <v>24.9</v>
      </c>
      <c r="E504">
        <v>51</v>
      </c>
      <c r="F504">
        <v>2.4951733503425434E-2</v>
      </c>
      <c r="G504" t="str">
        <f t="shared" si="39"/>
        <v>Insert into BlueCreditTypeRainbow Values (5, 0, 15, 24.9, 51, 0.0249517335034254)</v>
      </c>
      <c r="N504" s="4">
        <v>501</v>
      </c>
      <c r="O504" s="8">
        <f>$B$7*COUNTIF(Sheet2!$B$1:$B$132,N504)</f>
        <v>0</v>
      </c>
      <c r="P504" s="8">
        <f t="shared" ca="1" si="37"/>
        <v>0</v>
      </c>
      <c r="Q504" s="8">
        <f ca="1">CEILING(R503*(IF(N504&lt;=IF($B$2=0,0,OFFSET(Sheet2!$B$1,Sheet1!$B$2-1,0)),$B$1/(365*100),$B$3/(365*100)))*100,1)/100</f>
        <v>347.92</v>
      </c>
      <c r="R504" s="9">
        <f t="shared" ca="1" si="38"/>
        <v>852615.55162296537</v>
      </c>
    </row>
    <row r="505" spans="1:18" x14ac:dyDescent="0.25">
      <c r="A505">
        <v>5</v>
      </c>
      <c r="B505">
        <v>0</v>
      </c>
      <c r="C505">
        <v>15</v>
      </c>
      <c r="D505">
        <v>24.9</v>
      </c>
      <c r="E505">
        <v>52</v>
      </c>
      <c r="F505">
        <v>2.4666742115384652E-2</v>
      </c>
      <c r="G505" t="str">
        <f t="shared" si="39"/>
        <v>Insert into BlueCreditTypeRainbow Values (5, 0, 15, 24.9, 52, 0.0246667421153847)</v>
      </c>
      <c r="N505" s="4">
        <v>502</v>
      </c>
      <c r="O505" s="8">
        <f>$B$7*COUNTIF(Sheet2!$B$1:$B$132,N505)</f>
        <v>0</v>
      </c>
      <c r="P505" s="8">
        <f t="shared" ca="1" si="37"/>
        <v>0</v>
      </c>
      <c r="Q505" s="8">
        <f ca="1">CEILING(R504*(IF(N505&lt;=IF($B$2=0,0,OFFSET(Sheet2!$B$1,Sheet1!$B$2-1,0)),$B$1/(365*100),$B$3/(365*100)))*100,1)/100</f>
        <v>348.06</v>
      </c>
      <c r="R505" s="9">
        <f t="shared" ca="1" si="38"/>
        <v>852963.61162296543</v>
      </c>
    </row>
    <row r="506" spans="1:18" x14ac:dyDescent="0.25">
      <c r="A506">
        <v>5</v>
      </c>
      <c r="B506">
        <v>0</v>
      </c>
      <c r="C506">
        <v>15</v>
      </c>
      <c r="D506">
        <v>24.9</v>
      </c>
      <c r="E506">
        <v>53</v>
      </c>
      <c r="F506">
        <v>2.4393766981132083E-2</v>
      </c>
      <c r="G506" t="str">
        <f t="shared" si="39"/>
        <v>Insert into BlueCreditTypeRainbow Values (5, 0, 15, 24.9, 53, 0.0243937669811321)</v>
      </c>
      <c r="N506" s="4">
        <v>503</v>
      </c>
      <c r="O506" s="8">
        <f>$B$7*COUNTIF(Sheet2!$B$1:$B$132,N506)</f>
        <v>0</v>
      </c>
      <c r="P506" s="8">
        <f t="shared" ca="1" si="37"/>
        <v>0</v>
      </c>
      <c r="Q506" s="8">
        <f ca="1">CEILING(R505*(IF(N506&lt;=IF($B$2=0,0,OFFSET(Sheet2!$B$1,Sheet1!$B$2-1,0)),$B$1/(365*100),$B$3/(365*100)))*100,1)/100</f>
        <v>348.2</v>
      </c>
      <c r="R506" s="9">
        <f t="shared" ca="1" si="38"/>
        <v>853311.81162296538</v>
      </c>
    </row>
    <row r="507" spans="1:18" x14ac:dyDescent="0.25">
      <c r="A507">
        <v>5</v>
      </c>
      <c r="B507">
        <v>0</v>
      </c>
      <c r="C507">
        <v>15</v>
      </c>
      <c r="D507">
        <v>24.9</v>
      </c>
      <c r="E507">
        <v>54</v>
      </c>
      <c r="F507">
        <v>2.4132115613474312E-2</v>
      </c>
      <c r="G507" t="str">
        <f t="shared" si="39"/>
        <v>Insert into BlueCreditTypeRainbow Values (5, 0, 15, 24.9, 54, 0.0241321156134743)</v>
      </c>
      <c r="N507" s="4">
        <v>504</v>
      </c>
      <c r="O507" s="8">
        <f>$B$7*COUNTIF(Sheet2!$B$1:$B$132,N507)</f>
        <v>0</v>
      </c>
      <c r="P507" s="8">
        <f t="shared" ca="1" si="37"/>
        <v>0</v>
      </c>
      <c r="Q507" s="8">
        <f ca="1">CEILING(R506*(IF(N507&lt;=IF($B$2=0,0,OFFSET(Sheet2!$B$1,Sheet1!$B$2-1,0)),$B$1/(365*100),$B$3/(365*100)))*100,1)/100</f>
        <v>348.34</v>
      </c>
      <c r="R507" s="9">
        <f t="shared" ca="1" si="38"/>
        <v>853660.15162296535</v>
      </c>
    </row>
    <row r="508" spans="1:18" x14ac:dyDescent="0.25">
      <c r="A508">
        <v>5</v>
      </c>
      <c r="B508">
        <v>0</v>
      </c>
      <c r="C508">
        <v>14</v>
      </c>
      <c r="D508">
        <v>24.9</v>
      </c>
      <c r="E508">
        <v>42</v>
      </c>
      <c r="F508">
        <v>2.8562960714285702E-2</v>
      </c>
      <c r="G508" t="str">
        <f t="shared" si="39"/>
        <v>Insert into BlueCreditTypeRainbow Values (5, 0, 14, 24.9, 42, 0.0285629607142857)</v>
      </c>
      <c r="N508" s="4">
        <v>505</v>
      </c>
      <c r="O508" s="8">
        <f>$B$7*COUNTIF(Sheet2!$B$1:$B$132,N508)</f>
        <v>0</v>
      </c>
      <c r="P508" s="8">
        <f t="shared" ca="1" si="37"/>
        <v>0</v>
      </c>
      <c r="Q508" s="8">
        <f ca="1">CEILING(R507*(IF(N508&lt;=IF($B$2=0,0,OFFSET(Sheet2!$B$1,Sheet1!$B$2-1,0)),$B$1/(365*100),$B$3/(365*100)))*100,1)/100</f>
        <v>348.49</v>
      </c>
      <c r="R508" s="9">
        <f t="shared" ca="1" si="38"/>
        <v>854008.64162296534</v>
      </c>
    </row>
    <row r="509" spans="1:18" x14ac:dyDescent="0.25">
      <c r="A509">
        <v>5</v>
      </c>
      <c r="B509">
        <v>0</v>
      </c>
      <c r="C509">
        <v>14</v>
      </c>
      <c r="D509">
        <v>24.9</v>
      </c>
      <c r="E509">
        <v>43</v>
      </c>
      <c r="F509">
        <v>2.8123368405260512E-2</v>
      </c>
      <c r="G509" t="str">
        <f t="shared" si="39"/>
        <v>Insert into BlueCreditTypeRainbow Values (5, 0, 14, 24.9, 43, 0.0281233684052605)</v>
      </c>
      <c r="N509" s="4">
        <v>506</v>
      </c>
      <c r="O509" s="8">
        <f>$B$7*COUNTIF(Sheet2!$B$1:$B$132,N509)</f>
        <v>0</v>
      </c>
      <c r="P509" s="8">
        <f t="shared" ca="1" si="37"/>
        <v>0</v>
      </c>
      <c r="Q509" s="8">
        <f ca="1">CEILING(R508*(IF(N509&lt;=IF($B$2=0,0,OFFSET(Sheet2!$B$1,Sheet1!$B$2-1,0)),$B$1/(365*100),$B$3/(365*100)))*100,1)/100</f>
        <v>348.63</v>
      </c>
      <c r="R509" s="9">
        <f t="shared" ca="1" si="38"/>
        <v>854357.27162296535</v>
      </c>
    </row>
    <row r="510" spans="1:18" x14ac:dyDescent="0.25">
      <c r="A510">
        <v>5</v>
      </c>
      <c r="B510">
        <v>0</v>
      </c>
      <c r="C510">
        <v>14</v>
      </c>
      <c r="D510">
        <v>24.9</v>
      </c>
      <c r="E510">
        <v>44</v>
      </c>
      <c r="F510">
        <v>2.7705604327611336E-2</v>
      </c>
      <c r="G510" t="str">
        <f t="shared" si="39"/>
        <v>Insert into BlueCreditTypeRainbow Values (5, 0, 14, 24.9, 44, 0.0277056043276113)</v>
      </c>
      <c r="N510" s="4">
        <v>507</v>
      </c>
      <c r="O510" s="8">
        <f>$B$7*COUNTIF(Sheet2!$B$1:$B$132,N510)</f>
        <v>0</v>
      </c>
      <c r="P510" s="8">
        <f t="shared" ca="1" si="37"/>
        <v>0</v>
      </c>
      <c r="Q510" s="8">
        <f ca="1">CEILING(R509*(IF(N510&lt;=IF($B$2=0,0,OFFSET(Sheet2!$B$1,Sheet1!$B$2-1,0)),$B$1/(365*100),$B$3/(365*100)))*100,1)/100</f>
        <v>348.77</v>
      </c>
      <c r="R510" s="9">
        <f t="shared" ca="1" si="38"/>
        <v>854706.04162296536</v>
      </c>
    </row>
    <row r="511" spans="1:18" x14ac:dyDescent="0.25">
      <c r="A511">
        <v>5</v>
      </c>
      <c r="B511">
        <v>0</v>
      </c>
      <c r="C511">
        <v>14</v>
      </c>
      <c r="D511">
        <v>24.9</v>
      </c>
      <c r="E511">
        <v>45</v>
      </c>
      <c r="F511">
        <v>2.7308434368581828E-2</v>
      </c>
      <c r="G511" t="str">
        <f t="shared" si="39"/>
        <v>Insert into BlueCreditTypeRainbow Values (5, 0, 14, 24.9, 45, 0.0273084343685818)</v>
      </c>
      <c r="N511" s="4">
        <v>508</v>
      </c>
      <c r="O511" s="8">
        <f>$B$7*COUNTIF(Sheet2!$B$1:$B$132,N511)</f>
        <v>0</v>
      </c>
      <c r="P511" s="8">
        <f t="shared" ca="1" si="37"/>
        <v>0</v>
      </c>
      <c r="Q511" s="8">
        <f ca="1">CEILING(R510*(IF(N511&lt;=IF($B$2=0,0,OFFSET(Sheet2!$B$1,Sheet1!$B$2-1,0)),$B$1/(365*100),$B$3/(365*100)))*100,1)/100</f>
        <v>348.91</v>
      </c>
      <c r="R511" s="9">
        <f t="shared" ca="1" si="38"/>
        <v>855054.9516229654</v>
      </c>
    </row>
    <row r="512" spans="1:18" x14ac:dyDescent="0.25">
      <c r="A512">
        <v>5</v>
      </c>
      <c r="B512">
        <v>0</v>
      </c>
      <c r="C512">
        <v>14</v>
      </c>
      <c r="D512">
        <v>24.9</v>
      </c>
      <c r="E512">
        <v>46</v>
      </c>
      <c r="F512">
        <v>2.6930194675476121E-2</v>
      </c>
      <c r="G512" t="str">
        <f t="shared" si="39"/>
        <v>Insert into BlueCreditTypeRainbow Values (5, 0, 14, 24.9, 46, 0.0269301946754761)</v>
      </c>
      <c r="N512" s="4">
        <v>509</v>
      </c>
      <c r="O512" s="8">
        <f>$B$7*COUNTIF(Sheet2!$B$1:$B$132,N512)</f>
        <v>0</v>
      </c>
      <c r="P512" s="8">
        <f t="shared" ca="1" si="37"/>
        <v>0</v>
      </c>
      <c r="Q512" s="8">
        <f ca="1">CEILING(R511*(IF(N512&lt;=IF($B$2=0,0,OFFSET(Sheet2!$B$1,Sheet1!$B$2-1,0)),$B$1/(365*100),$B$3/(365*100)))*100,1)/100</f>
        <v>349.05</v>
      </c>
      <c r="R512" s="9">
        <f t="shared" ca="1" si="38"/>
        <v>855404.00162296544</v>
      </c>
    </row>
    <row r="513" spans="1:18" x14ac:dyDescent="0.25">
      <c r="A513">
        <v>5</v>
      </c>
      <c r="B513">
        <v>0</v>
      </c>
      <c r="C513">
        <v>14</v>
      </c>
      <c r="D513">
        <v>24.9</v>
      </c>
      <c r="E513">
        <v>47</v>
      </c>
      <c r="F513">
        <v>2.656988008510151E-2</v>
      </c>
      <c r="G513" t="str">
        <f t="shared" si="39"/>
        <v>Insert into BlueCreditTypeRainbow Values (5, 0, 14, 24.9, 47, 0.0265698800851015)</v>
      </c>
      <c r="N513" s="4">
        <v>510</v>
      </c>
      <c r="O513" s="8">
        <f>$B$7*COUNTIF(Sheet2!$B$1:$B$132,N513)</f>
        <v>0</v>
      </c>
      <c r="P513" s="8">
        <f t="shared" ca="1" si="37"/>
        <v>0</v>
      </c>
      <c r="Q513" s="8">
        <f ca="1">CEILING(R512*(IF(N513&lt;=IF($B$2=0,0,OFFSET(Sheet2!$B$1,Sheet1!$B$2-1,0)),$B$1/(365*100),$B$3/(365*100)))*100,1)/100</f>
        <v>349.2</v>
      </c>
      <c r="R513" s="9">
        <f t="shared" ca="1" si="38"/>
        <v>855753.2016229654</v>
      </c>
    </row>
    <row r="514" spans="1:18" x14ac:dyDescent="0.25">
      <c r="A514">
        <v>5</v>
      </c>
      <c r="B514">
        <v>0</v>
      </c>
      <c r="C514">
        <v>14</v>
      </c>
      <c r="D514">
        <v>24.9</v>
      </c>
      <c r="E514">
        <v>48</v>
      </c>
      <c r="F514">
        <v>2.6226098139830619E-2</v>
      </c>
      <c r="G514" t="str">
        <f t="shared" si="39"/>
        <v>Insert into BlueCreditTypeRainbow Values (5, 0, 14, 24.9, 48, 0.0262260981398306)</v>
      </c>
      <c r="N514" s="4">
        <v>511</v>
      </c>
      <c r="O514" s="8">
        <f>$B$7*COUNTIF(Sheet2!$B$1:$B$132,N514)</f>
        <v>0</v>
      </c>
      <c r="P514" s="8">
        <f t="shared" ca="1" si="37"/>
        <v>0</v>
      </c>
      <c r="Q514" s="8">
        <f ca="1">CEILING(R513*(IF(N514&lt;=IF($B$2=0,0,OFFSET(Sheet2!$B$1,Sheet1!$B$2-1,0)),$B$1/(365*100),$B$3/(365*100)))*100,1)/100</f>
        <v>349.34</v>
      </c>
      <c r="R514" s="9">
        <f t="shared" ca="1" si="38"/>
        <v>856102.54162296536</v>
      </c>
    </row>
    <row r="515" spans="1:18" x14ac:dyDescent="0.25">
      <c r="A515">
        <v>5</v>
      </c>
      <c r="B515">
        <v>0</v>
      </c>
      <c r="C515">
        <v>14</v>
      </c>
      <c r="D515">
        <v>24.9</v>
      </c>
      <c r="E515">
        <v>49</v>
      </c>
      <c r="F515">
        <v>2.5898018163265327E-2</v>
      </c>
      <c r="G515" t="str">
        <f t="shared" si="39"/>
        <v>Insert into BlueCreditTypeRainbow Values (5, 0, 14, 24.9, 49, 0.0258980181632653)</v>
      </c>
      <c r="N515" s="4">
        <v>512</v>
      </c>
      <c r="O515" s="8">
        <f>$B$7*COUNTIF(Sheet2!$B$1:$B$132,N515)</f>
        <v>0</v>
      </c>
      <c r="P515" s="8">
        <f t="shared" ca="1" si="37"/>
        <v>0</v>
      </c>
      <c r="Q515" s="8">
        <f ca="1">CEILING(R514*(IF(N515&lt;=IF($B$2=0,0,OFFSET(Sheet2!$B$1,Sheet1!$B$2-1,0)),$B$1/(365*100),$B$3/(365*100)))*100,1)/100</f>
        <v>349.48</v>
      </c>
      <c r="R515" s="9">
        <f t="shared" ca="1" si="38"/>
        <v>856452.02162296535</v>
      </c>
    </row>
    <row r="516" spans="1:18" x14ac:dyDescent="0.25">
      <c r="A516">
        <v>5</v>
      </c>
      <c r="B516">
        <v>0</v>
      </c>
      <c r="C516">
        <v>14</v>
      </c>
      <c r="D516">
        <v>24.9</v>
      </c>
      <c r="E516">
        <v>50</v>
      </c>
      <c r="F516">
        <v>2.5584658400000009E-2</v>
      </c>
      <c r="G516" t="str">
        <f t="shared" si="39"/>
        <v>Insert into BlueCreditTypeRainbow Values (5, 0, 14, 24.9, 50, 0.0255846584)</v>
      </c>
      <c r="N516" s="4">
        <v>513</v>
      </c>
      <c r="O516" s="8">
        <f>$B$7*COUNTIF(Sheet2!$B$1:$B$132,N516)</f>
        <v>0</v>
      </c>
      <c r="P516" s="8">
        <f t="shared" ca="1" si="37"/>
        <v>0</v>
      </c>
      <c r="Q516" s="8">
        <f ca="1">CEILING(R515*(IF(N516&lt;=IF($B$2=0,0,OFFSET(Sheet2!$B$1,Sheet1!$B$2-1,0)),$B$1/(365*100),$B$3/(365*100)))*100,1)/100</f>
        <v>349.63</v>
      </c>
      <c r="R516" s="9">
        <f t="shared" ca="1" si="38"/>
        <v>856801.65162296535</v>
      </c>
    </row>
    <row r="517" spans="1:18" x14ac:dyDescent="0.25">
      <c r="A517">
        <v>5</v>
      </c>
      <c r="B517">
        <v>0</v>
      </c>
      <c r="C517">
        <v>14</v>
      </c>
      <c r="D517">
        <v>24.9</v>
      </c>
      <c r="E517">
        <v>51</v>
      </c>
      <c r="F517">
        <v>2.5284910689120123E-2</v>
      </c>
      <c r="G517" t="str">
        <f t="shared" si="39"/>
        <v>Insert into BlueCreditTypeRainbow Values (5, 0, 14, 24.9, 51, 0.0252849106891201)</v>
      </c>
      <c r="N517" s="4">
        <v>514</v>
      </c>
      <c r="O517" s="8">
        <f>$B$7*COUNTIF(Sheet2!$B$1:$B$132,N517)</f>
        <v>0</v>
      </c>
      <c r="P517" s="8">
        <f t="shared" ref="P517:P580" ca="1" si="40">IF(O517-Q517&gt; 0, O517-Q517, 0)</f>
        <v>0</v>
      </c>
      <c r="Q517" s="8">
        <f ca="1">CEILING(R516*(IF(N517&lt;=IF($B$2=0,0,OFFSET(Sheet2!$B$1,Sheet1!$B$2-1,0)),$B$1/(365*100),$B$3/(365*100)))*100,1)/100</f>
        <v>349.77</v>
      </c>
      <c r="R517" s="9">
        <f t="shared" ref="R517:R580" ca="1" si="41">R516+Q517-O517</f>
        <v>857151.42162296537</v>
      </c>
    </row>
    <row r="518" spans="1:18" x14ac:dyDescent="0.25">
      <c r="A518">
        <v>5</v>
      </c>
      <c r="B518">
        <v>0</v>
      </c>
      <c r="C518">
        <v>14</v>
      </c>
      <c r="D518">
        <v>24.9</v>
      </c>
      <c r="E518">
        <v>52</v>
      </c>
      <c r="F518">
        <v>2.4998160786497733E-2</v>
      </c>
      <c r="G518" t="str">
        <f t="shared" si="39"/>
        <v>Insert into BlueCreditTypeRainbow Values (5, 0, 14, 24.9, 52, 0.0249981607864977)</v>
      </c>
      <c r="N518" s="4">
        <v>515</v>
      </c>
      <c r="O518" s="8">
        <f>$B$7*COUNTIF(Sheet2!$B$1:$B$132,N518)</f>
        <v>0</v>
      </c>
      <c r="P518" s="8">
        <f t="shared" ca="1" si="40"/>
        <v>0</v>
      </c>
      <c r="Q518" s="8">
        <f ca="1">CEILING(R517*(IF(N518&lt;=IF($B$2=0,0,OFFSET(Sheet2!$B$1,Sheet1!$B$2-1,0)),$B$1/(365*100),$B$3/(365*100)))*100,1)/100</f>
        <v>349.91</v>
      </c>
      <c r="R518" s="9">
        <f t="shared" ca="1" si="41"/>
        <v>857501.3316229654</v>
      </c>
    </row>
    <row r="519" spans="1:18" x14ac:dyDescent="0.25">
      <c r="A519">
        <v>5</v>
      </c>
      <c r="B519">
        <v>0</v>
      </c>
      <c r="C519">
        <v>14</v>
      </c>
      <c r="D519">
        <v>24.9</v>
      </c>
      <c r="E519">
        <v>53</v>
      </c>
      <c r="F519">
        <v>2.4723454309545832E-2</v>
      </c>
      <c r="G519" t="str">
        <f t="shared" si="39"/>
        <v>Insert into BlueCreditTypeRainbow Values (5, 0, 14, 24.9, 53, 0.0247234543095458)</v>
      </c>
      <c r="N519" s="4">
        <v>516</v>
      </c>
      <c r="O519" s="8">
        <f>$B$7*COUNTIF(Sheet2!$B$1:$B$132,N519)</f>
        <v>0</v>
      </c>
      <c r="P519" s="8">
        <f t="shared" ca="1" si="40"/>
        <v>0</v>
      </c>
      <c r="Q519" s="8">
        <f ca="1">CEILING(R518*(IF(N519&lt;=IF($B$2=0,0,OFFSET(Sheet2!$B$1,Sheet1!$B$2-1,0)),$B$1/(365*100),$B$3/(365*100)))*100,1)/100</f>
        <v>350.05</v>
      </c>
      <c r="R519" s="9">
        <f t="shared" ca="1" si="41"/>
        <v>857851.38162296545</v>
      </c>
    </row>
    <row r="520" spans="1:18" x14ac:dyDescent="0.25">
      <c r="A520">
        <v>5</v>
      </c>
      <c r="B520">
        <v>0</v>
      </c>
      <c r="C520">
        <v>14</v>
      </c>
      <c r="D520">
        <v>24.9</v>
      </c>
      <c r="E520">
        <v>54</v>
      </c>
      <c r="F520">
        <v>2.4460107592592602E-2</v>
      </c>
      <c r="G520" t="str">
        <f t="shared" si="39"/>
        <v>Insert into BlueCreditTypeRainbow Values (5, 0, 14, 24.9, 54, 0.0244601075925926)</v>
      </c>
      <c r="N520" s="4">
        <v>517</v>
      </c>
      <c r="O520" s="8">
        <f>$B$7*COUNTIF(Sheet2!$B$1:$B$132,N520)</f>
        <v>0</v>
      </c>
      <c r="P520" s="8">
        <f t="shared" ca="1" si="40"/>
        <v>0</v>
      </c>
      <c r="Q520" s="8">
        <f ca="1">CEILING(R519*(IF(N520&lt;=IF($B$2=0,0,OFFSET(Sheet2!$B$1,Sheet1!$B$2-1,0)),$B$1/(365*100),$B$3/(365*100)))*100,1)/100</f>
        <v>350.2</v>
      </c>
      <c r="R520" s="9">
        <f t="shared" ca="1" si="41"/>
        <v>858201.5816229654</v>
      </c>
    </row>
    <row r="521" spans="1:18" x14ac:dyDescent="0.25">
      <c r="A521">
        <v>5</v>
      </c>
      <c r="B521">
        <v>0</v>
      </c>
      <c r="C521">
        <v>13</v>
      </c>
      <c r="D521">
        <v>24.9</v>
      </c>
      <c r="E521">
        <v>42</v>
      </c>
      <c r="F521">
        <v>2.8943612404755324E-2</v>
      </c>
      <c r="G521" t="str">
        <f t="shared" si="39"/>
        <v>Insert into BlueCreditTypeRainbow Values (5, 0, 13, 24.9, 42, 0.0289436124047553)</v>
      </c>
      <c r="N521" s="4">
        <v>518</v>
      </c>
      <c r="O521" s="8">
        <f>$B$7*COUNTIF(Sheet2!$B$1:$B$132,N521)</f>
        <v>21157.10552356458</v>
      </c>
      <c r="P521" s="8">
        <f t="shared" ca="1" si="40"/>
        <v>20806.76552356458</v>
      </c>
      <c r="Q521" s="8">
        <f ca="1">CEILING(R520*(IF(N521&lt;=IF($B$2=0,0,OFFSET(Sheet2!$B$1,Sheet1!$B$2-1,0)),$B$1/(365*100),$B$3/(365*100)))*100,1)/100</f>
        <v>350.34</v>
      </c>
      <c r="R521" s="9">
        <f t="shared" ca="1" si="41"/>
        <v>837394.81609940075</v>
      </c>
    </row>
    <row r="522" spans="1:18" x14ac:dyDescent="0.25">
      <c r="A522">
        <v>5</v>
      </c>
      <c r="B522">
        <v>0</v>
      </c>
      <c r="C522">
        <v>13</v>
      </c>
      <c r="D522">
        <v>24.9</v>
      </c>
      <c r="E522">
        <v>43</v>
      </c>
      <c r="F522">
        <v>2.8501614835898886E-2</v>
      </c>
      <c r="G522" t="str">
        <f t="shared" si="39"/>
        <v>Insert into BlueCreditTypeRainbow Values (5, 0, 13, 24.9, 43, 0.0285016148358989)</v>
      </c>
      <c r="N522" s="4">
        <v>519</v>
      </c>
      <c r="O522" s="8">
        <f>$B$7*COUNTIF(Sheet2!$B$1:$B$132,N522)</f>
        <v>0</v>
      </c>
      <c r="P522" s="8">
        <f t="shared" ca="1" si="40"/>
        <v>0</v>
      </c>
      <c r="Q522" s="8">
        <f ca="1">CEILING(R521*(IF(N522&lt;=IF($B$2=0,0,OFFSET(Sheet2!$B$1,Sheet1!$B$2-1,0)),$B$1/(365*100),$B$3/(365*100)))*100,1)/100</f>
        <v>341.85</v>
      </c>
      <c r="R522" s="9">
        <f t="shared" ca="1" si="41"/>
        <v>837736.66609940073</v>
      </c>
    </row>
    <row r="523" spans="1:18" x14ac:dyDescent="0.25">
      <c r="A523">
        <v>5</v>
      </c>
      <c r="B523">
        <v>0</v>
      </c>
      <c r="C523">
        <v>13</v>
      </c>
      <c r="D523">
        <v>24.9</v>
      </c>
      <c r="E523">
        <v>44</v>
      </c>
      <c r="F523">
        <v>2.808146223251981E-2</v>
      </c>
      <c r="G523" t="str">
        <f t="shared" si="39"/>
        <v>Insert into BlueCreditTypeRainbow Values (5, 0, 13, 24.9, 44, 0.0280814622325198)</v>
      </c>
      <c r="N523" s="4">
        <v>520</v>
      </c>
      <c r="O523" s="8">
        <f>$B$7*COUNTIF(Sheet2!$B$1:$B$132,N523)</f>
        <v>0</v>
      </c>
      <c r="P523" s="8">
        <f t="shared" ca="1" si="40"/>
        <v>0</v>
      </c>
      <c r="Q523" s="8">
        <f ca="1">CEILING(R522*(IF(N523&lt;=IF($B$2=0,0,OFFSET(Sheet2!$B$1,Sheet1!$B$2-1,0)),$B$1/(365*100),$B$3/(365*100)))*100,1)/100</f>
        <v>341.99</v>
      </c>
      <c r="R523" s="9">
        <f t="shared" ca="1" si="41"/>
        <v>838078.65609940072</v>
      </c>
    </row>
    <row r="524" spans="1:18" x14ac:dyDescent="0.25">
      <c r="A524">
        <v>5</v>
      </c>
      <c r="B524">
        <v>0</v>
      </c>
      <c r="C524">
        <v>13</v>
      </c>
      <c r="D524">
        <v>24.9</v>
      </c>
      <c r="E524">
        <v>45</v>
      </c>
      <c r="F524">
        <v>2.7681933159472649E-2</v>
      </c>
      <c r="G524" t="str">
        <f t="shared" si="39"/>
        <v>Insert into BlueCreditTypeRainbow Values (5, 0, 13, 24.9, 45, 0.0276819331594726)</v>
      </c>
      <c r="N524" s="4">
        <v>521</v>
      </c>
      <c r="O524" s="8">
        <f>$B$7*COUNTIF(Sheet2!$B$1:$B$132,N524)</f>
        <v>0</v>
      </c>
      <c r="P524" s="8">
        <f t="shared" ca="1" si="40"/>
        <v>0</v>
      </c>
      <c r="Q524" s="8">
        <f ca="1">CEILING(R523*(IF(N524&lt;=IF($B$2=0,0,OFFSET(Sheet2!$B$1,Sheet1!$B$2-1,0)),$B$1/(365*100),$B$3/(365*100)))*100,1)/100</f>
        <v>342.12</v>
      </c>
      <c r="R524" s="9">
        <f t="shared" ca="1" si="41"/>
        <v>838420.77609940071</v>
      </c>
    </row>
    <row r="525" spans="1:18" x14ac:dyDescent="0.25">
      <c r="A525">
        <v>5</v>
      </c>
      <c r="B525">
        <v>0</v>
      </c>
      <c r="C525">
        <v>13</v>
      </c>
      <c r="D525">
        <v>24.9</v>
      </c>
      <c r="E525">
        <v>46</v>
      </c>
      <c r="F525">
        <v>2.7301366425702755E-2</v>
      </c>
      <c r="G525" t="str">
        <f t="shared" si="39"/>
        <v>Insert into BlueCreditTypeRainbow Values (5, 0, 13, 24.9, 46, 0.0273013664257028)</v>
      </c>
      <c r="N525" s="4">
        <v>522</v>
      </c>
      <c r="O525" s="8">
        <f>$B$7*COUNTIF(Sheet2!$B$1:$B$132,N525)</f>
        <v>0</v>
      </c>
      <c r="P525" s="8">
        <f t="shared" ca="1" si="40"/>
        <v>0</v>
      </c>
      <c r="Q525" s="8">
        <f ca="1">CEILING(R524*(IF(N525&lt;=IF($B$2=0,0,OFFSET(Sheet2!$B$1,Sheet1!$B$2-1,0)),$B$1/(365*100),$B$3/(365*100)))*100,1)/100</f>
        <v>342.26</v>
      </c>
      <c r="R525" s="9">
        <f t="shared" ca="1" si="41"/>
        <v>838763.03609940072</v>
      </c>
    </row>
    <row r="526" spans="1:18" x14ac:dyDescent="0.25">
      <c r="A526">
        <v>5</v>
      </c>
      <c r="B526">
        <v>0</v>
      </c>
      <c r="C526">
        <v>13</v>
      </c>
      <c r="D526">
        <v>24.9</v>
      </c>
      <c r="E526">
        <v>47</v>
      </c>
      <c r="F526">
        <v>2.6938770851063845E-2</v>
      </c>
      <c r="G526" t="str">
        <f t="shared" si="39"/>
        <v>Insert into BlueCreditTypeRainbow Values (5, 0, 13, 24.9, 47, 0.0269387708510638)</v>
      </c>
      <c r="N526" s="4">
        <v>523</v>
      </c>
      <c r="O526" s="8">
        <f>$B$7*COUNTIF(Sheet2!$B$1:$B$132,N526)</f>
        <v>0</v>
      </c>
      <c r="P526" s="8">
        <f t="shared" ca="1" si="40"/>
        <v>0</v>
      </c>
      <c r="Q526" s="8">
        <f ca="1">CEILING(R525*(IF(N526&lt;=IF($B$2=0,0,OFFSET(Sheet2!$B$1,Sheet1!$B$2-1,0)),$B$1/(365*100),$B$3/(365*100)))*100,1)/100</f>
        <v>342.4</v>
      </c>
      <c r="R526" s="9">
        <f t="shared" ca="1" si="41"/>
        <v>839105.43609940074</v>
      </c>
    </row>
    <row r="527" spans="1:18" x14ac:dyDescent="0.25">
      <c r="A527">
        <v>5</v>
      </c>
      <c r="B527">
        <v>0</v>
      </c>
      <c r="C527">
        <v>13</v>
      </c>
      <c r="D527">
        <v>24.9</v>
      </c>
      <c r="E527">
        <v>48</v>
      </c>
      <c r="F527">
        <v>2.6592731062155275E-2</v>
      </c>
      <c r="G527" t="str">
        <f t="shared" ref="G527:G590" si="42">CONCATENATE("Insert into BlueCreditTypeRainbow Values (",A527,", ",B527,", ",C527,", ",D527,", ",E527,", ",F527,")")</f>
        <v>Insert into BlueCreditTypeRainbow Values (5, 0, 13, 24.9, 48, 0.0265927310621553)</v>
      </c>
      <c r="N527" s="4">
        <v>524</v>
      </c>
      <c r="O527" s="8">
        <f>$B$7*COUNTIF(Sheet2!$B$1:$B$132,N527)</f>
        <v>0</v>
      </c>
      <c r="P527" s="8">
        <f t="shared" ca="1" si="40"/>
        <v>0</v>
      </c>
      <c r="Q527" s="8">
        <f ca="1">CEILING(R526*(IF(N527&lt;=IF($B$2=0,0,OFFSET(Sheet2!$B$1,Sheet1!$B$2-1,0)),$B$1/(365*100),$B$3/(365*100)))*100,1)/100</f>
        <v>342.54</v>
      </c>
      <c r="R527" s="9">
        <f t="shared" ca="1" si="41"/>
        <v>839447.97609940078</v>
      </c>
    </row>
    <row r="528" spans="1:18" x14ac:dyDescent="0.25">
      <c r="A528">
        <v>5</v>
      </c>
      <c r="B528">
        <v>0</v>
      </c>
      <c r="C528">
        <v>13</v>
      </c>
      <c r="D528">
        <v>24.9</v>
      </c>
      <c r="E528">
        <v>49</v>
      </c>
      <c r="F528">
        <v>2.6262437069139763E-2</v>
      </c>
      <c r="G528" t="str">
        <f t="shared" si="42"/>
        <v>Insert into BlueCreditTypeRainbow Values (5, 0, 13, 24.9, 49, 0.0262624370691398)</v>
      </c>
      <c r="N528" s="4">
        <v>525</v>
      </c>
      <c r="O528" s="8">
        <f>$B$7*COUNTIF(Sheet2!$B$1:$B$132,N528)</f>
        <v>0</v>
      </c>
      <c r="P528" s="8">
        <f t="shared" ca="1" si="40"/>
        <v>0</v>
      </c>
      <c r="Q528" s="8">
        <f ca="1">CEILING(R527*(IF(N528&lt;=IF($B$2=0,0,OFFSET(Sheet2!$B$1,Sheet1!$B$2-1,0)),$B$1/(365*100),$B$3/(365*100)))*100,1)/100</f>
        <v>342.68</v>
      </c>
      <c r="R528" s="9">
        <f t="shared" ca="1" si="41"/>
        <v>839790.65609940083</v>
      </c>
    </row>
    <row r="529" spans="1:18" x14ac:dyDescent="0.25">
      <c r="A529">
        <v>5</v>
      </c>
      <c r="B529">
        <v>0</v>
      </c>
      <c r="C529">
        <v>13</v>
      </c>
      <c r="D529">
        <v>24.9</v>
      </c>
      <c r="E529">
        <v>50</v>
      </c>
      <c r="F529">
        <v>2.5946907600000086E-2</v>
      </c>
      <c r="G529" t="str">
        <f t="shared" si="42"/>
        <v>Insert into BlueCreditTypeRainbow Values (5, 0, 13, 24.9, 50, 0.0259469076000001)</v>
      </c>
      <c r="N529" s="4">
        <v>526</v>
      </c>
      <c r="O529" s="8">
        <f>$B$7*COUNTIF(Sheet2!$B$1:$B$132,N529)</f>
        <v>0</v>
      </c>
      <c r="P529" s="8">
        <f t="shared" ca="1" si="40"/>
        <v>0</v>
      </c>
      <c r="Q529" s="8">
        <f ca="1">CEILING(R528*(IF(N529&lt;=IF($B$2=0,0,OFFSET(Sheet2!$B$1,Sheet1!$B$2-1,0)),$B$1/(365*100),$B$3/(365*100)))*100,1)/100</f>
        <v>342.82</v>
      </c>
      <c r="R529" s="9">
        <f t="shared" ca="1" si="41"/>
        <v>840133.47609940078</v>
      </c>
    </row>
    <row r="530" spans="1:18" x14ac:dyDescent="0.25">
      <c r="A530">
        <v>5</v>
      </c>
      <c r="B530">
        <v>0</v>
      </c>
      <c r="C530">
        <v>13</v>
      </c>
      <c r="D530">
        <v>24.9</v>
      </c>
      <c r="E530">
        <v>51</v>
      </c>
      <c r="F530">
        <v>2.5645036470588283E-2</v>
      </c>
      <c r="G530" t="str">
        <f t="shared" si="42"/>
        <v>Insert into BlueCreditTypeRainbow Values (5, 0, 13, 24.9, 51, 0.0256450364705883)</v>
      </c>
      <c r="N530" s="4">
        <v>527</v>
      </c>
      <c r="O530" s="8">
        <f>$B$7*COUNTIF(Sheet2!$B$1:$B$132,N530)</f>
        <v>0</v>
      </c>
      <c r="P530" s="8">
        <f t="shared" ca="1" si="40"/>
        <v>0</v>
      </c>
      <c r="Q530" s="8">
        <f ca="1">CEILING(R529*(IF(N530&lt;=IF($B$2=0,0,OFFSET(Sheet2!$B$1,Sheet1!$B$2-1,0)),$B$1/(365*100),$B$3/(365*100)))*100,1)/100</f>
        <v>342.96</v>
      </c>
      <c r="R530" s="9">
        <f t="shared" ca="1" si="41"/>
        <v>840476.43609940074</v>
      </c>
    </row>
    <row r="531" spans="1:18" x14ac:dyDescent="0.25">
      <c r="A531">
        <v>5</v>
      </c>
      <c r="B531">
        <v>0</v>
      </c>
      <c r="C531">
        <v>13</v>
      </c>
      <c r="D531">
        <v>24.9</v>
      </c>
      <c r="E531">
        <v>52</v>
      </c>
      <c r="F531">
        <v>2.5356207307692356E-2</v>
      </c>
      <c r="G531" t="str">
        <f t="shared" si="42"/>
        <v>Insert into BlueCreditTypeRainbow Values (5, 0, 13, 24.9, 52, 0.0253562073076924)</v>
      </c>
      <c r="N531" s="4">
        <v>528</v>
      </c>
      <c r="O531" s="8">
        <f>$B$7*COUNTIF(Sheet2!$B$1:$B$132,N531)</f>
        <v>0</v>
      </c>
      <c r="P531" s="8">
        <f t="shared" ca="1" si="40"/>
        <v>0</v>
      </c>
      <c r="Q531" s="8">
        <f ca="1">CEILING(R530*(IF(N531&lt;=IF($B$2=0,0,OFFSET(Sheet2!$B$1,Sheet1!$B$2-1,0)),$B$1/(365*100),$B$3/(365*100)))*100,1)/100</f>
        <v>343.1</v>
      </c>
      <c r="R531" s="9">
        <f t="shared" ca="1" si="41"/>
        <v>840819.53609940072</v>
      </c>
    </row>
    <row r="532" spans="1:18" x14ac:dyDescent="0.25">
      <c r="A532">
        <v>5</v>
      </c>
      <c r="B532">
        <v>0</v>
      </c>
      <c r="C532">
        <v>13</v>
      </c>
      <c r="D532">
        <v>24.9</v>
      </c>
      <c r="E532">
        <v>53</v>
      </c>
      <c r="F532">
        <v>2.5079470268685622E-2</v>
      </c>
      <c r="G532" t="str">
        <f t="shared" si="42"/>
        <v>Insert into BlueCreditTypeRainbow Values (5, 0, 13, 24.9, 53, 0.0250794702686856)</v>
      </c>
      <c r="N532" s="4">
        <v>529</v>
      </c>
      <c r="O532" s="8">
        <f>$B$7*COUNTIF(Sheet2!$B$1:$B$132,N532)</f>
        <v>0</v>
      </c>
      <c r="P532" s="8">
        <f t="shared" ca="1" si="40"/>
        <v>0</v>
      </c>
      <c r="Q532" s="8">
        <f ca="1">CEILING(R531*(IF(N532&lt;=IF($B$2=0,0,OFFSET(Sheet2!$B$1,Sheet1!$B$2-1,0)),$B$1/(365*100),$B$3/(365*100)))*100,1)/100</f>
        <v>343.24</v>
      </c>
      <c r="R532" s="9">
        <f t="shared" ca="1" si="41"/>
        <v>841162.77609940071</v>
      </c>
    </row>
    <row r="533" spans="1:18" x14ac:dyDescent="0.25">
      <c r="A533">
        <v>5</v>
      </c>
      <c r="B533">
        <v>0</v>
      </c>
      <c r="C533">
        <v>13</v>
      </c>
      <c r="D533">
        <v>24.9</v>
      </c>
      <c r="E533">
        <v>54</v>
      </c>
      <c r="F533">
        <v>2.4814134648134541E-2</v>
      </c>
      <c r="G533" t="str">
        <f t="shared" si="42"/>
        <v>Insert into BlueCreditTypeRainbow Values (5, 0, 13, 24.9, 54, 0.0248141346481345)</v>
      </c>
      <c r="N533" s="4">
        <v>530</v>
      </c>
      <c r="O533" s="8">
        <f>$B$7*COUNTIF(Sheet2!$B$1:$B$132,N533)</f>
        <v>0</v>
      </c>
      <c r="P533" s="8">
        <f t="shared" ca="1" si="40"/>
        <v>0</v>
      </c>
      <c r="Q533" s="8">
        <f ca="1">CEILING(R532*(IF(N533&lt;=IF($B$2=0,0,OFFSET(Sheet2!$B$1,Sheet1!$B$2-1,0)),$B$1/(365*100),$B$3/(365*100)))*100,1)/100</f>
        <v>343.38</v>
      </c>
      <c r="R533" s="9">
        <f t="shared" ca="1" si="41"/>
        <v>841506.15609940072</v>
      </c>
    </row>
    <row r="534" spans="1:18" x14ac:dyDescent="0.25">
      <c r="A534">
        <v>5</v>
      </c>
      <c r="B534">
        <v>0</v>
      </c>
      <c r="C534">
        <v>12</v>
      </c>
      <c r="D534">
        <v>24.9</v>
      </c>
      <c r="E534">
        <v>42</v>
      </c>
      <c r="F534">
        <v>2.9344258095238114E-2</v>
      </c>
      <c r="G534" t="str">
        <f t="shared" si="42"/>
        <v>Insert into BlueCreditTypeRainbow Values (5, 0, 12, 24.9, 42, 0.0293442580952381)</v>
      </c>
      <c r="N534" s="4">
        <v>531</v>
      </c>
      <c r="O534" s="8">
        <f>$B$7*COUNTIF(Sheet2!$B$1:$B$132,N534)</f>
        <v>0</v>
      </c>
      <c r="P534" s="8">
        <f t="shared" ca="1" si="40"/>
        <v>0</v>
      </c>
      <c r="Q534" s="8">
        <f ca="1">CEILING(R533*(IF(N534&lt;=IF($B$2=0,0,OFFSET(Sheet2!$B$1,Sheet1!$B$2-1,0)),$B$1/(365*100),$B$3/(365*100)))*100,1)/100</f>
        <v>343.52</v>
      </c>
      <c r="R534" s="9">
        <f t="shared" ca="1" si="41"/>
        <v>841849.67609940073</v>
      </c>
    </row>
    <row r="535" spans="1:18" x14ac:dyDescent="0.25">
      <c r="A535">
        <v>5</v>
      </c>
      <c r="B535">
        <v>0</v>
      </c>
      <c r="C535">
        <v>12</v>
      </c>
      <c r="D535">
        <v>24.9</v>
      </c>
      <c r="E535">
        <v>43</v>
      </c>
      <c r="F535">
        <v>2.8899392093023269E-2</v>
      </c>
      <c r="G535" t="str">
        <f t="shared" si="42"/>
        <v>Insert into BlueCreditTypeRainbow Values (5, 0, 12, 24.9, 43, 0.0288993920930233)</v>
      </c>
      <c r="N535" s="4">
        <v>532</v>
      </c>
      <c r="O535" s="8">
        <f>$B$7*COUNTIF(Sheet2!$B$1:$B$132,N535)</f>
        <v>0</v>
      </c>
      <c r="P535" s="8">
        <f t="shared" ca="1" si="40"/>
        <v>0</v>
      </c>
      <c r="Q535" s="8">
        <f ca="1">CEILING(R534*(IF(N535&lt;=IF($B$2=0,0,OFFSET(Sheet2!$B$1,Sheet1!$B$2-1,0)),$B$1/(365*100),$B$3/(365*100)))*100,1)/100</f>
        <v>343.66</v>
      </c>
      <c r="R535" s="9">
        <f t="shared" ca="1" si="41"/>
        <v>842193.33609940077</v>
      </c>
    </row>
    <row r="536" spans="1:18" x14ac:dyDescent="0.25">
      <c r="A536">
        <v>5</v>
      </c>
      <c r="B536">
        <v>0</v>
      </c>
      <c r="C536">
        <v>12</v>
      </c>
      <c r="D536">
        <v>24.9</v>
      </c>
      <c r="E536">
        <v>44</v>
      </c>
      <c r="F536">
        <v>2.8476423991682494E-2</v>
      </c>
      <c r="G536" t="str">
        <f t="shared" si="42"/>
        <v>Insert into BlueCreditTypeRainbow Values (5, 0, 12, 24.9, 44, 0.0284764239916825)</v>
      </c>
      <c r="N536" s="4">
        <v>533</v>
      </c>
      <c r="O536" s="8">
        <f>$B$7*COUNTIF(Sheet2!$B$1:$B$132,N536)</f>
        <v>0</v>
      </c>
      <c r="P536" s="8">
        <f t="shared" ca="1" si="40"/>
        <v>0</v>
      </c>
      <c r="Q536" s="8">
        <f ca="1">CEILING(R535*(IF(N536&lt;=IF($B$2=0,0,OFFSET(Sheet2!$B$1,Sheet1!$B$2-1,0)),$B$1/(365*100),$B$3/(365*100)))*100,1)/100</f>
        <v>343.8</v>
      </c>
      <c r="R536" s="9">
        <f t="shared" ca="1" si="41"/>
        <v>842537.13609940081</v>
      </c>
    </row>
    <row r="537" spans="1:18" x14ac:dyDescent="0.25">
      <c r="A537">
        <v>5</v>
      </c>
      <c r="B537">
        <v>0</v>
      </c>
      <c r="C537">
        <v>12</v>
      </c>
      <c r="D537">
        <v>24.9</v>
      </c>
      <c r="E537">
        <v>45</v>
      </c>
      <c r="F537">
        <v>2.8074131738021389E-2</v>
      </c>
      <c r="G537" t="str">
        <f t="shared" si="42"/>
        <v>Insert into BlueCreditTypeRainbow Values (5, 0, 12, 24.9, 45, 0.0280741317380214)</v>
      </c>
      <c r="N537" s="4">
        <v>534</v>
      </c>
      <c r="O537" s="8">
        <f>$B$7*COUNTIF(Sheet2!$B$1:$B$132,N537)</f>
        <v>0</v>
      </c>
      <c r="P537" s="8">
        <f t="shared" ca="1" si="40"/>
        <v>0</v>
      </c>
      <c r="Q537" s="8">
        <f ca="1">CEILING(R536*(IF(N537&lt;=IF($B$2=0,0,OFFSET(Sheet2!$B$1,Sheet1!$B$2-1,0)),$B$1/(365*100),$B$3/(365*100)))*100,1)/100</f>
        <v>343.94</v>
      </c>
      <c r="R537" s="9">
        <f t="shared" ca="1" si="41"/>
        <v>842881.07609940076</v>
      </c>
    </row>
    <row r="538" spans="1:18" x14ac:dyDescent="0.25">
      <c r="A538">
        <v>5</v>
      </c>
      <c r="B538">
        <v>0</v>
      </c>
      <c r="C538">
        <v>12</v>
      </c>
      <c r="D538">
        <v>24.9</v>
      </c>
      <c r="E538">
        <v>46</v>
      </c>
      <c r="F538">
        <v>2.7690854967297694E-2</v>
      </c>
      <c r="G538" t="str">
        <f t="shared" si="42"/>
        <v>Insert into BlueCreditTypeRainbow Values (5, 0, 12, 24.9, 46, 0.0276908549672977)</v>
      </c>
      <c r="N538" s="4">
        <v>535</v>
      </c>
      <c r="O538" s="8">
        <f>$B$7*COUNTIF(Sheet2!$B$1:$B$132,N538)</f>
        <v>0</v>
      </c>
      <c r="P538" s="8">
        <f t="shared" ca="1" si="40"/>
        <v>0</v>
      </c>
      <c r="Q538" s="8">
        <f ca="1">CEILING(R537*(IF(N538&lt;=IF($B$2=0,0,OFFSET(Sheet2!$B$1,Sheet1!$B$2-1,0)),$B$1/(365*100),$B$3/(365*100)))*100,1)/100</f>
        <v>344.09</v>
      </c>
      <c r="R538" s="9">
        <f t="shared" ca="1" si="41"/>
        <v>843225.16609940073</v>
      </c>
    </row>
    <row r="539" spans="1:18" x14ac:dyDescent="0.25">
      <c r="A539">
        <v>5</v>
      </c>
      <c r="B539">
        <v>0</v>
      </c>
      <c r="C539">
        <v>12</v>
      </c>
      <c r="D539">
        <v>24.9</v>
      </c>
      <c r="E539">
        <v>47</v>
      </c>
      <c r="F539">
        <v>2.7325602248995974E-2</v>
      </c>
      <c r="G539" t="str">
        <f t="shared" si="42"/>
        <v>Insert into BlueCreditTypeRainbow Values (5, 0, 12, 24.9, 47, 0.027325602248996)</v>
      </c>
      <c r="N539" s="4">
        <v>536</v>
      </c>
      <c r="O539" s="8">
        <f>$B$7*COUNTIF(Sheet2!$B$1:$B$132,N539)</f>
        <v>0</v>
      </c>
      <c r="P539" s="8">
        <f t="shared" ca="1" si="40"/>
        <v>0</v>
      </c>
      <c r="Q539" s="8">
        <f ca="1">CEILING(R538*(IF(N539&lt;=IF($B$2=0,0,OFFSET(Sheet2!$B$1,Sheet1!$B$2-1,0)),$B$1/(365*100),$B$3/(365*100)))*100,1)/100</f>
        <v>344.23</v>
      </c>
      <c r="R539" s="9">
        <f t="shared" ca="1" si="41"/>
        <v>843569.39609940071</v>
      </c>
    </row>
    <row r="540" spans="1:18" x14ac:dyDescent="0.25">
      <c r="A540">
        <v>5</v>
      </c>
      <c r="B540">
        <v>0</v>
      </c>
      <c r="C540">
        <v>12</v>
      </c>
      <c r="D540">
        <v>24.9</v>
      </c>
      <c r="E540">
        <v>48</v>
      </c>
      <c r="F540">
        <v>2.6976976685862616E-2</v>
      </c>
      <c r="G540" t="str">
        <f t="shared" si="42"/>
        <v>Insert into BlueCreditTypeRainbow Values (5, 0, 12, 24.9, 48, 0.0269769766858626)</v>
      </c>
      <c r="N540" s="4">
        <v>537</v>
      </c>
      <c r="O540" s="8">
        <f>$B$7*COUNTIF(Sheet2!$B$1:$B$132,N540)</f>
        <v>0</v>
      </c>
      <c r="P540" s="8">
        <f t="shared" ca="1" si="40"/>
        <v>0</v>
      </c>
      <c r="Q540" s="8">
        <f ca="1">CEILING(R539*(IF(N540&lt;=IF($B$2=0,0,OFFSET(Sheet2!$B$1,Sheet1!$B$2-1,0)),$B$1/(365*100),$B$3/(365*100)))*100,1)/100</f>
        <v>344.37</v>
      </c>
      <c r="R540" s="9">
        <f t="shared" ca="1" si="41"/>
        <v>843913.7660994007</v>
      </c>
    </row>
    <row r="541" spans="1:18" x14ac:dyDescent="0.25">
      <c r="A541">
        <v>5</v>
      </c>
      <c r="B541">
        <v>0</v>
      </c>
      <c r="C541">
        <v>12</v>
      </c>
      <c r="D541">
        <v>24.9</v>
      </c>
      <c r="E541">
        <v>49</v>
      </c>
      <c r="F541">
        <v>2.6644151840604081E-2</v>
      </c>
      <c r="G541" t="str">
        <f t="shared" si="42"/>
        <v>Insert into BlueCreditTypeRainbow Values (5, 0, 12, 24.9, 49, 0.0266441518406041)</v>
      </c>
      <c r="N541" s="4">
        <v>538</v>
      </c>
      <c r="O541" s="8">
        <f>$B$7*COUNTIF(Sheet2!$B$1:$B$132,N541)</f>
        <v>0</v>
      </c>
      <c r="P541" s="8">
        <f t="shared" ca="1" si="40"/>
        <v>0</v>
      </c>
      <c r="Q541" s="8">
        <f ca="1">CEILING(R540*(IF(N541&lt;=IF($B$2=0,0,OFFSET(Sheet2!$B$1,Sheet1!$B$2-1,0)),$B$1/(365*100),$B$3/(365*100)))*100,1)/100</f>
        <v>344.51</v>
      </c>
      <c r="R541" s="9">
        <f t="shared" ca="1" si="41"/>
        <v>844258.27609940071</v>
      </c>
    </row>
    <row r="542" spans="1:18" x14ac:dyDescent="0.25">
      <c r="A542">
        <v>5</v>
      </c>
      <c r="B542">
        <v>0</v>
      </c>
      <c r="C542">
        <v>12</v>
      </c>
      <c r="D542">
        <v>24.9</v>
      </c>
      <c r="E542">
        <v>50</v>
      </c>
      <c r="F542">
        <v>2.6326153199999997E-2</v>
      </c>
      <c r="G542" t="str">
        <f t="shared" si="42"/>
        <v>Insert into BlueCreditTypeRainbow Values (5, 0, 12, 24.9, 50, 0.0263261532)</v>
      </c>
      <c r="N542" s="4">
        <v>539</v>
      </c>
      <c r="O542" s="8">
        <f>$B$7*COUNTIF(Sheet2!$B$1:$B$132,N542)</f>
        <v>0</v>
      </c>
      <c r="P542" s="8">
        <f t="shared" ca="1" si="40"/>
        <v>0</v>
      </c>
      <c r="Q542" s="8">
        <f ca="1">CEILING(R541*(IF(N542&lt;=IF($B$2=0,0,OFFSET(Sheet2!$B$1,Sheet1!$B$2-1,0)),$B$1/(365*100),$B$3/(365*100)))*100,1)/100</f>
        <v>344.65</v>
      </c>
      <c r="R542" s="9">
        <f t="shared" ca="1" si="41"/>
        <v>844602.92609940073</v>
      </c>
    </row>
    <row r="543" spans="1:18" x14ac:dyDescent="0.25">
      <c r="A543">
        <v>5</v>
      </c>
      <c r="B543">
        <v>0</v>
      </c>
      <c r="C543">
        <v>12</v>
      </c>
      <c r="D543">
        <v>24.9</v>
      </c>
      <c r="E543">
        <v>51</v>
      </c>
      <c r="F543">
        <v>2.6021870607148764E-2</v>
      </c>
      <c r="G543" t="str">
        <f t="shared" si="42"/>
        <v>Insert into BlueCreditTypeRainbow Values (5, 0, 12, 24.9, 51, 0.0260218706071488)</v>
      </c>
      <c r="N543" s="4">
        <v>540</v>
      </c>
      <c r="O543" s="8">
        <f>$B$7*COUNTIF(Sheet2!$B$1:$B$132,N543)</f>
        <v>0</v>
      </c>
      <c r="P543" s="8">
        <f t="shared" ca="1" si="40"/>
        <v>0</v>
      </c>
      <c r="Q543" s="8">
        <f ca="1">CEILING(R542*(IF(N543&lt;=IF($B$2=0,0,OFFSET(Sheet2!$B$1,Sheet1!$B$2-1,0)),$B$1/(365*100),$B$3/(365*100)))*100,1)/100</f>
        <v>344.79</v>
      </c>
      <c r="R543" s="9">
        <f t="shared" ca="1" si="41"/>
        <v>844947.71609940077</v>
      </c>
    </row>
    <row r="544" spans="1:18" x14ac:dyDescent="0.25">
      <c r="A544">
        <v>5</v>
      </c>
      <c r="B544">
        <v>0</v>
      </c>
      <c r="C544">
        <v>12</v>
      </c>
      <c r="D544">
        <v>24.9</v>
      </c>
      <c r="E544">
        <v>52</v>
      </c>
      <c r="F544">
        <v>2.5730690211138694E-2</v>
      </c>
      <c r="G544" t="str">
        <f t="shared" si="42"/>
        <v>Insert into BlueCreditTypeRainbow Values (5, 0, 12, 24.9, 52, 0.0257306902111387)</v>
      </c>
      <c r="N544" s="4">
        <v>541</v>
      </c>
      <c r="O544" s="8">
        <f>$B$7*COUNTIF(Sheet2!$B$1:$B$132,N544)</f>
        <v>0</v>
      </c>
      <c r="P544" s="8">
        <f t="shared" ca="1" si="40"/>
        <v>0</v>
      </c>
      <c r="Q544" s="8">
        <f ca="1">CEILING(R543*(IF(N544&lt;=IF($B$2=0,0,OFFSET(Sheet2!$B$1,Sheet1!$B$2-1,0)),$B$1/(365*100),$B$3/(365*100)))*100,1)/100</f>
        <v>344.93</v>
      </c>
      <c r="R544" s="9">
        <f t="shared" ca="1" si="41"/>
        <v>845292.64609940082</v>
      </c>
    </row>
    <row r="545" spans="1:18" x14ac:dyDescent="0.25">
      <c r="A545">
        <v>5</v>
      </c>
      <c r="B545">
        <v>0</v>
      </c>
      <c r="C545">
        <v>12</v>
      </c>
      <c r="D545">
        <v>24.9</v>
      </c>
      <c r="E545">
        <v>53</v>
      </c>
      <c r="F545">
        <v>2.5451660058183959E-2</v>
      </c>
      <c r="G545" t="str">
        <f t="shared" si="42"/>
        <v>Insert into BlueCreditTypeRainbow Values (5, 0, 12, 24.9, 53, 0.025451660058184)</v>
      </c>
      <c r="N545" s="4">
        <v>542</v>
      </c>
      <c r="O545" s="8">
        <f>$B$7*COUNTIF(Sheet2!$B$1:$B$132,N545)</f>
        <v>0</v>
      </c>
      <c r="P545" s="8">
        <f t="shared" ca="1" si="40"/>
        <v>0</v>
      </c>
      <c r="Q545" s="8">
        <f ca="1">CEILING(R544*(IF(N545&lt;=IF($B$2=0,0,OFFSET(Sheet2!$B$1,Sheet1!$B$2-1,0)),$B$1/(365*100),$B$3/(365*100)))*100,1)/100</f>
        <v>345.07</v>
      </c>
      <c r="R545" s="9">
        <f t="shared" ca="1" si="41"/>
        <v>845637.71609940077</v>
      </c>
    </row>
    <row r="546" spans="1:18" x14ac:dyDescent="0.25">
      <c r="A546">
        <v>5</v>
      </c>
      <c r="B546">
        <v>0</v>
      </c>
      <c r="C546">
        <v>12</v>
      </c>
      <c r="D546">
        <v>24.9</v>
      </c>
      <c r="E546">
        <v>54</v>
      </c>
      <c r="F546">
        <v>2.5184087608924051E-2</v>
      </c>
      <c r="G546" t="str">
        <f t="shared" si="42"/>
        <v>Insert into BlueCreditTypeRainbow Values (5, 0, 12, 24.9, 54, 0.0251840876089241)</v>
      </c>
      <c r="N546" s="4">
        <v>543</v>
      </c>
      <c r="O546" s="8">
        <f>$B$7*COUNTIF(Sheet2!$B$1:$B$132,N546)</f>
        <v>0</v>
      </c>
      <c r="P546" s="8">
        <f t="shared" ca="1" si="40"/>
        <v>0</v>
      </c>
      <c r="Q546" s="8">
        <f ca="1">CEILING(R545*(IF(N546&lt;=IF($B$2=0,0,OFFSET(Sheet2!$B$1,Sheet1!$B$2-1,0)),$B$1/(365*100),$B$3/(365*100)))*100,1)/100</f>
        <v>345.21</v>
      </c>
      <c r="R546" s="9">
        <f t="shared" ca="1" si="41"/>
        <v>845982.92609940073</v>
      </c>
    </row>
    <row r="547" spans="1:18" x14ac:dyDescent="0.25">
      <c r="A547">
        <v>5</v>
      </c>
      <c r="B547">
        <v>0</v>
      </c>
      <c r="C547">
        <v>11</v>
      </c>
      <c r="D547">
        <v>24.9</v>
      </c>
      <c r="E547">
        <v>42</v>
      </c>
      <c r="F547">
        <v>2.9752291921537808E-2</v>
      </c>
      <c r="G547" t="str">
        <f t="shared" si="42"/>
        <v>Insert into BlueCreditTypeRainbow Values (5, 0, 11, 24.9, 42, 0.0297522919215378)</v>
      </c>
      <c r="N547" s="4">
        <v>544</v>
      </c>
      <c r="O547" s="8">
        <f>$B$7*COUNTIF(Sheet2!$B$1:$B$132,N547)</f>
        <v>0</v>
      </c>
      <c r="P547" s="8">
        <f t="shared" ca="1" si="40"/>
        <v>0</v>
      </c>
      <c r="Q547" s="8">
        <f ca="1">CEILING(R546*(IF(N547&lt;=IF($B$2=0,0,OFFSET(Sheet2!$B$1,Sheet1!$B$2-1,0)),$B$1/(365*100),$B$3/(365*100)))*100,1)/100</f>
        <v>345.35</v>
      </c>
      <c r="R547" s="9">
        <f t="shared" ca="1" si="41"/>
        <v>846328.27609940071</v>
      </c>
    </row>
    <row r="548" spans="1:18" x14ac:dyDescent="0.25">
      <c r="A548">
        <v>5</v>
      </c>
      <c r="B548">
        <v>0</v>
      </c>
      <c r="C548">
        <v>11</v>
      </c>
      <c r="D548">
        <v>24.9</v>
      </c>
      <c r="E548">
        <v>43</v>
      </c>
      <c r="F548">
        <v>2.9304180361511542E-2</v>
      </c>
      <c r="G548" t="str">
        <f t="shared" si="42"/>
        <v>Insert into BlueCreditTypeRainbow Values (5, 0, 11, 24.9, 43, 0.0293041803615115)</v>
      </c>
      <c r="N548" s="4">
        <v>545</v>
      </c>
      <c r="O548" s="8">
        <f>$B$7*COUNTIF(Sheet2!$B$1:$B$132,N548)</f>
        <v>0</v>
      </c>
      <c r="P548" s="8">
        <f t="shared" ca="1" si="40"/>
        <v>0</v>
      </c>
      <c r="Q548" s="8">
        <f ca="1">CEILING(R547*(IF(N548&lt;=IF($B$2=0,0,OFFSET(Sheet2!$B$1,Sheet1!$B$2-1,0)),$B$1/(365*100),$B$3/(365*100)))*100,1)/100</f>
        <v>345.49</v>
      </c>
      <c r="R548" s="9">
        <f t="shared" ca="1" si="41"/>
        <v>846673.7660994007</v>
      </c>
    </row>
    <row r="549" spans="1:18" x14ac:dyDescent="0.25">
      <c r="A549">
        <v>5</v>
      </c>
      <c r="B549">
        <v>0</v>
      </c>
      <c r="C549">
        <v>11</v>
      </c>
      <c r="D549">
        <v>24.9</v>
      </c>
      <c r="E549">
        <v>44</v>
      </c>
      <c r="F549">
        <v>2.8878051147843184E-2</v>
      </c>
      <c r="G549" t="str">
        <f t="shared" si="42"/>
        <v>Insert into BlueCreditTypeRainbow Values (5, 0, 11, 24.9, 44, 0.0288780511478432)</v>
      </c>
      <c r="N549" s="4">
        <v>546</v>
      </c>
      <c r="O549" s="8">
        <f>$B$7*COUNTIF(Sheet2!$B$1:$B$132,N549)</f>
        <v>0</v>
      </c>
      <c r="P549" s="8">
        <f t="shared" ca="1" si="40"/>
        <v>0</v>
      </c>
      <c r="Q549" s="8">
        <f ca="1">CEILING(R548*(IF(N549&lt;=IF($B$2=0,0,OFFSET(Sheet2!$B$1,Sheet1!$B$2-1,0)),$B$1/(365*100),$B$3/(365*100)))*100,1)/100</f>
        <v>345.63</v>
      </c>
      <c r="R549" s="9">
        <f t="shared" ca="1" si="41"/>
        <v>847019.39609940071</v>
      </c>
    </row>
    <row r="550" spans="1:18" x14ac:dyDescent="0.25">
      <c r="A550">
        <v>5</v>
      </c>
      <c r="B550">
        <v>0</v>
      </c>
      <c r="C550">
        <v>11</v>
      </c>
      <c r="D550">
        <v>24.9</v>
      </c>
      <c r="E550">
        <v>45</v>
      </c>
      <c r="F550">
        <v>2.8472672518221026E-2</v>
      </c>
      <c r="G550" t="str">
        <f t="shared" si="42"/>
        <v>Insert into BlueCreditTypeRainbow Values (5, 0, 11, 24.9, 45, 0.028472672518221)</v>
      </c>
      <c r="N550" s="4">
        <v>547</v>
      </c>
      <c r="O550" s="8">
        <f>$B$7*COUNTIF(Sheet2!$B$1:$B$132,N550)</f>
        <v>0</v>
      </c>
      <c r="P550" s="8">
        <f t="shared" ca="1" si="40"/>
        <v>0</v>
      </c>
      <c r="Q550" s="8">
        <f ca="1">CEILING(R549*(IF(N550&lt;=IF($B$2=0,0,OFFSET(Sheet2!$B$1,Sheet1!$B$2-1,0)),$B$1/(365*100),$B$3/(365*100)))*100,1)/100</f>
        <v>345.77</v>
      </c>
      <c r="R550" s="9">
        <f t="shared" ca="1" si="41"/>
        <v>847365.16609940073</v>
      </c>
    </row>
    <row r="551" spans="1:18" x14ac:dyDescent="0.25">
      <c r="A551">
        <v>5</v>
      </c>
      <c r="B551">
        <v>0</v>
      </c>
      <c r="C551">
        <v>11</v>
      </c>
      <c r="D551">
        <v>24.9</v>
      </c>
      <c r="E551">
        <v>46</v>
      </c>
      <c r="F551">
        <v>2.8086386086956565E-2</v>
      </c>
      <c r="G551" t="str">
        <f t="shared" si="42"/>
        <v>Insert into BlueCreditTypeRainbow Values (5, 0, 11, 24.9, 46, 0.0280863860869566)</v>
      </c>
      <c r="N551" s="4">
        <v>548</v>
      </c>
      <c r="O551" s="8">
        <f>$B$7*COUNTIF(Sheet2!$B$1:$B$132,N551)</f>
        <v>0</v>
      </c>
      <c r="P551" s="8">
        <f t="shared" ca="1" si="40"/>
        <v>0</v>
      </c>
      <c r="Q551" s="8">
        <f ca="1">CEILING(R550*(IF(N551&lt;=IF($B$2=0,0,OFFSET(Sheet2!$B$1,Sheet1!$B$2-1,0)),$B$1/(365*100),$B$3/(365*100)))*100,1)/100</f>
        <v>345.92</v>
      </c>
      <c r="R551" s="9">
        <f t="shared" ca="1" si="41"/>
        <v>847711.08609940077</v>
      </c>
    </row>
    <row r="552" spans="1:18" x14ac:dyDescent="0.25">
      <c r="A552">
        <v>5</v>
      </c>
      <c r="B552">
        <v>0</v>
      </c>
      <c r="C552">
        <v>11</v>
      </c>
      <c r="D552">
        <v>24.9</v>
      </c>
      <c r="E552">
        <v>47</v>
      </c>
      <c r="F552">
        <v>2.7718205006159752E-2</v>
      </c>
      <c r="G552" t="str">
        <f t="shared" si="42"/>
        <v>Insert into BlueCreditTypeRainbow Values (5, 0, 11, 24.9, 47, 0.0277182050061598)</v>
      </c>
      <c r="N552" s="4">
        <v>549</v>
      </c>
      <c r="O552" s="8">
        <f>$B$7*COUNTIF(Sheet2!$B$1:$B$132,N552)</f>
        <v>21157.10552356458</v>
      </c>
      <c r="P552" s="8">
        <f t="shared" ca="1" si="40"/>
        <v>20811.045523564579</v>
      </c>
      <c r="Q552" s="8">
        <f ca="1">CEILING(R551*(IF(N552&lt;=IF($B$2=0,0,OFFSET(Sheet2!$B$1,Sheet1!$B$2-1,0)),$B$1/(365*100),$B$3/(365*100)))*100,1)/100</f>
        <v>346.06</v>
      </c>
      <c r="R552" s="9">
        <f t="shared" ca="1" si="41"/>
        <v>826900.0405758362</v>
      </c>
    </row>
    <row r="553" spans="1:18" x14ac:dyDescent="0.25">
      <c r="A553">
        <v>5</v>
      </c>
      <c r="B553">
        <v>0</v>
      </c>
      <c r="C553">
        <v>11</v>
      </c>
      <c r="D553">
        <v>24.9</v>
      </c>
      <c r="E553">
        <v>48</v>
      </c>
      <c r="F553">
        <v>2.7366723127770186E-2</v>
      </c>
      <c r="G553" t="str">
        <f t="shared" si="42"/>
        <v>Insert into BlueCreditTypeRainbow Values (5, 0, 11, 24.9, 48, 0.0273667231277702)</v>
      </c>
      <c r="N553" s="4">
        <v>550</v>
      </c>
      <c r="O553" s="8">
        <f>$B$7*COUNTIF(Sheet2!$B$1:$B$132,N553)</f>
        <v>0</v>
      </c>
      <c r="P553" s="8">
        <f t="shared" ca="1" si="40"/>
        <v>0</v>
      </c>
      <c r="Q553" s="8">
        <f ca="1">CEILING(R552*(IF(N553&lt;=IF($B$2=0,0,OFFSET(Sheet2!$B$1,Sheet1!$B$2-1,0)),$B$1/(365*100),$B$3/(365*100)))*100,1)/100</f>
        <v>337.56</v>
      </c>
      <c r="R553" s="9">
        <f t="shared" ca="1" si="41"/>
        <v>827237.60057583626</v>
      </c>
    </row>
    <row r="554" spans="1:18" x14ac:dyDescent="0.25">
      <c r="A554">
        <v>5</v>
      </c>
      <c r="B554">
        <v>0</v>
      </c>
      <c r="C554">
        <v>11</v>
      </c>
      <c r="D554">
        <v>24.9</v>
      </c>
      <c r="E554">
        <v>49</v>
      </c>
      <c r="F554">
        <v>2.7031122866893621E-2</v>
      </c>
      <c r="G554" t="str">
        <f t="shared" si="42"/>
        <v>Insert into BlueCreditTypeRainbow Values (5, 0, 11, 24.9, 49, 0.0270311228668936)</v>
      </c>
      <c r="N554" s="4">
        <v>551</v>
      </c>
      <c r="O554" s="8">
        <f>$B$7*COUNTIF(Sheet2!$B$1:$B$132,N554)</f>
        <v>0</v>
      </c>
      <c r="P554" s="8">
        <f t="shared" ca="1" si="40"/>
        <v>0</v>
      </c>
      <c r="Q554" s="8">
        <f ca="1">CEILING(R553*(IF(N554&lt;=IF($B$2=0,0,OFFSET(Sheet2!$B$1,Sheet1!$B$2-1,0)),$B$1/(365*100),$B$3/(365*100)))*100,1)/100</f>
        <v>337.7</v>
      </c>
      <c r="R554" s="9">
        <f t="shared" ca="1" si="41"/>
        <v>827575.30057583621</v>
      </c>
    </row>
    <row r="555" spans="1:18" x14ac:dyDescent="0.25">
      <c r="A555">
        <v>5</v>
      </c>
      <c r="B555">
        <v>0</v>
      </c>
      <c r="C555">
        <v>11</v>
      </c>
      <c r="D555">
        <v>24.9</v>
      </c>
      <c r="E555">
        <v>50</v>
      </c>
      <c r="F555">
        <v>2.6710428415919012E-2</v>
      </c>
      <c r="G555" t="str">
        <f t="shared" si="42"/>
        <v>Insert into BlueCreditTypeRainbow Values (5, 0, 11, 24.9, 50, 0.026710428415919)</v>
      </c>
      <c r="N555" s="4">
        <v>552</v>
      </c>
      <c r="O555" s="8">
        <f>$B$7*COUNTIF(Sheet2!$B$1:$B$132,N555)</f>
        <v>0</v>
      </c>
      <c r="P555" s="8">
        <f t="shared" ca="1" si="40"/>
        <v>0</v>
      </c>
      <c r="Q555" s="8">
        <f ca="1">CEILING(R554*(IF(N555&lt;=IF($B$2=0,0,OFFSET(Sheet2!$B$1,Sheet1!$B$2-1,0)),$B$1/(365*100),$B$3/(365*100)))*100,1)/100</f>
        <v>337.84</v>
      </c>
      <c r="R555" s="9">
        <f t="shared" ca="1" si="41"/>
        <v>827913.14057583618</v>
      </c>
    </row>
    <row r="556" spans="1:18" x14ac:dyDescent="0.25">
      <c r="A556">
        <v>5</v>
      </c>
      <c r="B556">
        <v>0</v>
      </c>
      <c r="C556">
        <v>11</v>
      </c>
      <c r="D556">
        <v>24.9</v>
      </c>
      <c r="E556">
        <v>51</v>
      </c>
      <c r="F556">
        <v>2.6403519625668368E-2</v>
      </c>
      <c r="G556" t="str">
        <f t="shared" si="42"/>
        <v>Insert into BlueCreditTypeRainbow Values (5, 0, 11, 24.9, 51, 0.0264035196256684)</v>
      </c>
      <c r="N556" s="4">
        <v>553</v>
      </c>
      <c r="O556" s="8">
        <f>$B$7*COUNTIF(Sheet2!$B$1:$B$132,N556)</f>
        <v>0</v>
      </c>
      <c r="P556" s="8">
        <f t="shared" ca="1" si="40"/>
        <v>0</v>
      </c>
      <c r="Q556" s="8">
        <f ca="1">CEILING(R555*(IF(N556&lt;=IF($B$2=0,0,OFFSET(Sheet2!$B$1,Sheet1!$B$2-1,0)),$B$1/(365*100),$B$3/(365*100)))*100,1)/100</f>
        <v>337.98</v>
      </c>
      <c r="R556" s="9">
        <f t="shared" ca="1" si="41"/>
        <v>828251.12057583616</v>
      </c>
    </row>
    <row r="557" spans="1:18" x14ac:dyDescent="0.25">
      <c r="A557">
        <v>5</v>
      </c>
      <c r="B557">
        <v>0</v>
      </c>
      <c r="C557">
        <v>11</v>
      </c>
      <c r="D557">
        <v>24.9</v>
      </c>
      <c r="E557">
        <v>52</v>
      </c>
      <c r="F557">
        <v>2.6109782709812585E-2</v>
      </c>
      <c r="G557" t="str">
        <f t="shared" si="42"/>
        <v>Insert into BlueCreditTypeRainbow Values (5, 0, 11, 24.9, 52, 0.0261097827098126)</v>
      </c>
      <c r="N557" s="4">
        <v>554</v>
      </c>
      <c r="O557" s="8">
        <f>$B$7*COUNTIF(Sheet2!$B$1:$B$132,N557)</f>
        <v>0</v>
      </c>
      <c r="P557" s="8">
        <f t="shared" ca="1" si="40"/>
        <v>0</v>
      </c>
      <c r="Q557" s="8">
        <f ca="1">CEILING(R556*(IF(N557&lt;=IF($B$2=0,0,OFFSET(Sheet2!$B$1,Sheet1!$B$2-1,0)),$B$1/(365*100),$B$3/(365*100)))*100,1)/100</f>
        <v>338.11</v>
      </c>
      <c r="R557" s="9">
        <f t="shared" ca="1" si="41"/>
        <v>828589.23057583615</v>
      </c>
    </row>
    <row r="558" spans="1:18" x14ac:dyDescent="0.25">
      <c r="A558">
        <v>5</v>
      </c>
      <c r="B558">
        <v>0</v>
      </c>
      <c r="C558">
        <v>11</v>
      </c>
      <c r="D558">
        <v>24.9</v>
      </c>
      <c r="E558">
        <v>53</v>
      </c>
      <c r="F558">
        <v>2.5828270000685254E-2</v>
      </c>
      <c r="G558" t="str">
        <f t="shared" si="42"/>
        <v>Insert into BlueCreditTypeRainbow Values (5, 0, 11, 24.9, 53, 0.0258282700006853)</v>
      </c>
      <c r="N558" s="4">
        <v>555</v>
      </c>
      <c r="O558" s="8">
        <f>$B$7*COUNTIF(Sheet2!$B$1:$B$132,N558)</f>
        <v>0</v>
      </c>
      <c r="P558" s="8">
        <f t="shared" ca="1" si="40"/>
        <v>0</v>
      </c>
      <c r="Q558" s="8">
        <f ca="1">CEILING(R557*(IF(N558&lt;=IF($B$2=0,0,OFFSET(Sheet2!$B$1,Sheet1!$B$2-1,0)),$B$1/(365*100),$B$3/(365*100)))*100,1)/100</f>
        <v>338.25</v>
      </c>
      <c r="R558" s="9">
        <f t="shared" ca="1" si="41"/>
        <v>828927.48057583615</v>
      </c>
    </row>
    <row r="559" spans="1:18" x14ac:dyDescent="0.25">
      <c r="A559">
        <v>5</v>
      </c>
      <c r="B559">
        <v>0</v>
      </c>
      <c r="C559">
        <v>11</v>
      </c>
      <c r="D559">
        <v>24.9</v>
      </c>
      <c r="E559">
        <v>54</v>
      </c>
      <c r="F559">
        <v>2.5558284827272397E-2</v>
      </c>
      <c r="G559" t="str">
        <f t="shared" si="42"/>
        <v>Insert into BlueCreditTypeRainbow Values (5, 0, 11, 24.9, 54, 0.0255582848272724)</v>
      </c>
      <c r="N559" s="4">
        <v>556</v>
      </c>
      <c r="O559" s="8">
        <f>$B$7*COUNTIF(Sheet2!$B$1:$B$132,N559)</f>
        <v>0</v>
      </c>
      <c r="P559" s="8">
        <f t="shared" ca="1" si="40"/>
        <v>0</v>
      </c>
      <c r="Q559" s="8">
        <f ca="1">CEILING(R558*(IF(N559&lt;=IF($B$2=0,0,OFFSET(Sheet2!$B$1,Sheet1!$B$2-1,0)),$B$1/(365*100),$B$3/(365*100)))*100,1)/100</f>
        <v>338.39</v>
      </c>
      <c r="R559" s="9">
        <f t="shared" ca="1" si="41"/>
        <v>829265.87057583616</v>
      </c>
    </row>
    <row r="560" spans="1:18" x14ac:dyDescent="0.25">
      <c r="A560">
        <v>5</v>
      </c>
      <c r="B560">
        <v>0</v>
      </c>
      <c r="C560">
        <v>10</v>
      </c>
      <c r="D560">
        <v>24.9</v>
      </c>
      <c r="E560">
        <v>42</v>
      </c>
      <c r="F560">
        <v>3.0196025259705845E-2</v>
      </c>
      <c r="G560" t="str">
        <f t="shared" si="42"/>
        <v>Insert into BlueCreditTypeRainbow Values (5, 0, 10, 24.9, 42, 0.0301960252597058)</v>
      </c>
      <c r="N560" s="4">
        <v>557</v>
      </c>
      <c r="O560" s="8">
        <f>$B$7*COUNTIF(Sheet2!$B$1:$B$132,N560)</f>
        <v>0</v>
      </c>
      <c r="P560" s="8">
        <f t="shared" ca="1" si="40"/>
        <v>0</v>
      </c>
      <c r="Q560" s="8">
        <f ca="1">CEILING(R559*(IF(N560&lt;=IF($B$2=0,0,OFFSET(Sheet2!$B$1,Sheet1!$B$2-1,0)),$B$1/(365*100),$B$3/(365*100)))*100,1)/100</f>
        <v>338.53</v>
      </c>
      <c r="R560" s="9">
        <f t="shared" ca="1" si="41"/>
        <v>829604.40057583619</v>
      </c>
    </row>
    <row r="561" spans="1:18" x14ac:dyDescent="0.25">
      <c r="A561">
        <v>5</v>
      </c>
      <c r="B561">
        <v>0</v>
      </c>
      <c r="C561">
        <v>10</v>
      </c>
      <c r="D561">
        <v>24.9</v>
      </c>
      <c r="E561">
        <v>43</v>
      </c>
      <c r="F561">
        <v>2.974406015097621E-2</v>
      </c>
      <c r="G561" t="str">
        <f t="shared" si="42"/>
        <v>Insert into BlueCreditTypeRainbow Values (5, 0, 10, 24.9, 43, 0.0297440601509762)</v>
      </c>
      <c r="N561" s="4">
        <v>558</v>
      </c>
      <c r="O561" s="8">
        <f>$B$7*COUNTIF(Sheet2!$B$1:$B$132,N561)</f>
        <v>0</v>
      </c>
      <c r="P561" s="8">
        <f t="shared" ca="1" si="40"/>
        <v>0</v>
      </c>
      <c r="Q561" s="8">
        <f ca="1">CEILING(R560*(IF(N561&lt;=IF($B$2=0,0,OFFSET(Sheet2!$B$1,Sheet1!$B$2-1,0)),$B$1/(365*100),$B$3/(365*100)))*100,1)/100</f>
        <v>338.67</v>
      </c>
      <c r="R561" s="9">
        <f t="shared" ca="1" si="41"/>
        <v>829943.07057583623</v>
      </c>
    </row>
    <row r="562" spans="1:18" x14ac:dyDescent="0.25">
      <c r="A562">
        <v>5</v>
      </c>
      <c r="B562">
        <v>0</v>
      </c>
      <c r="C562">
        <v>10</v>
      </c>
      <c r="D562">
        <v>24.9</v>
      </c>
      <c r="E562">
        <v>44</v>
      </c>
      <c r="F562">
        <v>2.9314185227272759E-2</v>
      </c>
      <c r="G562" t="str">
        <f t="shared" si="42"/>
        <v>Insert into BlueCreditTypeRainbow Values (5, 0, 10, 24.9, 44, 0.0293141852272728)</v>
      </c>
      <c r="N562" s="4">
        <v>559</v>
      </c>
      <c r="O562" s="8">
        <f>$B$7*COUNTIF(Sheet2!$B$1:$B$132,N562)</f>
        <v>0</v>
      </c>
      <c r="P562" s="8">
        <f t="shared" ca="1" si="40"/>
        <v>0</v>
      </c>
      <c r="Q562" s="8">
        <f ca="1">CEILING(R561*(IF(N562&lt;=IF($B$2=0,0,OFFSET(Sheet2!$B$1,Sheet1!$B$2-1,0)),$B$1/(365*100),$B$3/(365*100)))*100,1)/100</f>
        <v>338.8</v>
      </c>
      <c r="R562" s="9">
        <f t="shared" ca="1" si="41"/>
        <v>830281.87057583628</v>
      </c>
    </row>
    <row r="563" spans="1:18" x14ac:dyDescent="0.25">
      <c r="A563">
        <v>5</v>
      </c>
      <c r="B563">
        <v>0</v>
      </c>
      <c r="C563">
        <v>10</v>
      </c>
      <c r="D563">
        <v>24.9</v>
      </c>
      <c r="E563">
        <v>45</v>
      </c>
      <c r="F563">
        <v>2.8905168532022799E-2</v>
      </c>
      <c r="G563" t="str">
        <f t="shared" si="42"/>
        <v>Insert into BlueCreditTypeRainbow Values (5, 0, 10, 24.9, 45, 0.0289051685320228)</v>
      </c>
      <c r="N563" s="4">
        <v>560</v>
      </c>
      <c r="O563" s="8">
        <f>$B$7*COUNTIF(Sheet2!$B$1:$B$132,N563)</f>
        <v>0</v>
      </c>
      <c r="P563" s="8">
        <f t="shared" ca="1" si="40"/>
        <v>0</v>
      </c>
      <c r="Q563" s="8">
        <f ca="1">CEILING(R562*(IF(N563&lt;=IF($B$2=0,0,OFFSET(Sheet2!$B$1,Sheet1!$B$2-1,0)),$B$1/(365*100),$B$3/(365*100)))*100,1)/100</f>
        <v>338.94</v>
      </c>
      <c r="R563" s="9">
        <f t="shared" ca="1" si="41"/>
        <v>830620.81057583622</v>
      </c>
    </row>
    <row r="564" spans="1:18" x14ac:dyDescent="0.25">
      <c r="A564">
        <v>5</v>
      </c>
      <c r="B564">
        <v>0</v>
      </c>
      <c r="C564">
        <v>10</v>
      </c>
      <c r="D564">
        <v>24.9</v>
      </c>
      <c r="E564">
        <v>46</v>
      </c>
      <c r="F564">
        <v>2.8515360673577739E-2</v>
      </c>
      <c r="G564" t="str">
        <f t="shared" si="42"/>
        <v>Insert into BlueCreditTypeRainbow Values (5, 0, 10, 24.9, 46, 0.0285153606735777)</v>
      </c>
      <c r="N564" s="4">
        <v>561</v>
      </c>
      <c r="O564" s="8">
        <f>$B$7*COUNTIF(Sheet2!$B$1:$B$132,N564)</f>
        <v>0</v>
      </c>
      <c r="P564" s="8">
        <f t="shared" ca="1" si="40"/>
        <v>0</v>
      </c>
      <c r="Q564" s="8">
        <f ca="1">CEILING(R563*(IF(N564&lt;=IF($B$2=0,0,OFFSET(Sheet2!$B$1,Sheet1!$B$2-1,0)),$B$1/(365*100),$B$3/(365*100)))*100,1)/100</f>
        <v>339.08</v>
      </c>
      <c r="R564" s="9">
        <f t="shared" ca="1" si="41"/>
        <v>830959.89057583618</v>
      </c>
    </row>
    <row r="565" spans="1:18" x14ac:dyDescent="0.25">
      <c r="A565">
        <v>5</v>
      </c>
      <c r="B565">
        <v>0</v>
      </c>
      <c r="C565">
        <v>10</v>
      </c>
      <c r="D565">
        <v>24.9</v>
      </c>
      <c r="E565">
        <v>47</v>
      </c>
      <c r="F565">
        <v>2.8143755319944293E-2</v>
      </c>
      <c r="G565" t="str">
        <f t="shared" si="42"/>
        <v>Insert into BlueCreditTypeRainbow Values (5, 0, 10, 24.9, 47, 0.0281437553199443)</v>
      </c>
      <c r="N565" s="4">
        <v>562</v>
      </c>
      <c r="O565" s="8">
        <f>$B$7*COUNTIF(Sheet2!$B$1:$B$132,N565)</f>
        <v>0</v>
      </c>
      <c r="P565" s="8">
        <f t="shared" ca="1" si="40"/>
        <v>0</v>
      </c>
      <c r="Q565" s="8">
        <f ca="1">CEILING(R564*(IF(N565&lt;=IF($B$2=0,0,OFFSET(Sheet2!$B$1,Sheet1!$B$2-1,0)),$B$1/(365*100),$B$3/(365*100)))*100,1)/100</f>
        <v>339.22</v>
      </c>
      <c r="R565" s="9">
        <f t="shared" ca="1" si="41"/>
        <v>831299.11057583615</v>
      </c>
    </row>
    <row r="566" spans="1:18" x14ac:dyDescent="0.25">
      <c r="A566">
        <v>5</v>
      </c>
      <c r="B566">
        <v>0</v>
      </c>
      <c r="C566">
        <v>10</v>
      </c>
      <c r="D566">
        <v>24.9</v>
      </c>
      <c r="E566">
        <v>48</v>
      </c>
      <c r="F566">
        <v>2.7788955530961019E-2</v>
      </c>
      <c r="G566" t="str">
        <f t="shared" si="42"/>
        <v>Insert into BlueCreditTypeRainbow Values (5, 0, 10, 24.9, 48, 0.027788955530961)</v>
      </c>
      <c r="N566" s="4">
        <v>563</v>
      </c>
      <c r="O566" s="8">
        <f>$B$7*COUNTIF(Sheet2!$B$1:$B$132,N566)</f>
        <v>0</v>
      </c>
      <c r="P566" s="8">
        <f t="shared" ca="1" si="40"/>
        <v>0</v>
      </c>
      <c r="Q566" s="8">
        <f ca="1">CEILING(R565*(IF(N566&lt;=IF($B$2=0,0,OFFSET(Sheet2!$B$1,Sheet1!$B$2-1,0)),$B$1/(365*100),$B$3/(365*100)))*100,1)/100</f>
        <v>339.36</v>
      </c>
      <c r="R566" s="9">
        <f t="shared" ca="1" si="41"/>
        <v>831638.47057583614</v>
      </c>
    </row>
    <row r="567" spans="1:18" x14ac:dyDescent="0.25">
      <c r="A567">
        <v>5</v>
      </c>
      <c r="B567">
        <v>0</v>
      </c>
      <c r="C567">
        <v>10</v>
      </c>
      <c r="D567">
        <v>24.9</v>
      </c>
      <c r="E567">
        <v>49</v>
      </c>
      <c r="F567">
        <v>2.7450131446085161E-2</v>
      </c>
      <c r="G567" t="str">
        <f t="shared" si="42"/>
        <v>Insert into BlueCreditTypeRainbow Values (5, 0, 10, 24.9, 49, 0.0274501314460852)</v>
      </c>
      <c r="N567" s="4">
        <v>564</v>
      </c>
      <c r="O567" s="8">
        <f>$B$7*COUNTIF(Sheet2!$B$1:$B$132,N567)</f>
        <v>0</v>
      </c>
      <c r="P567" s="8">
        <f t="shared" ca="1" si="40"/>
        <v>0</v>
      </c>
      <c r="Q567" s="8">
        <f ca="1">CEILING(R566*(IF(N567&lt;=IF($B$2=0,0,OFFSET(Sheet2!$B$1,Sheet1!$B$2-1,0)),$B$1/(365*100),$B$3/(365*100)))*100,1)/100</f>
        <v>339.5</v>
      </c>
      <c r="R567" s="9">
        <f t="shared" ca="1" si="41"/>
        <v>831977.97057583614</v>
      </c>
    </row>
    <row r="568" spans="1:18" x14ac:dyDescent="0.25">
      <c r="A568">
        <v>5</v>
      </c>
      <c r="B568">
        <v>0</v>
      </c>
      <c r="C568">
        <v>10</v>
      </c>
      <c r="D568">
        <v>24.9</v>
      </c>
      <c r="E568">
        <v>50</v>
      </c>
      <c r="F568">
        <v>2.7126311418944837E-2</v>
      </c>
      <c r="G568" t="str">
        <f t="shared" si="42"/>
        <v>Insert into BlueCreditTypeRainbow Values (5, 0, 10, 24.9, 50, 0.0271263114189448)</v>
      </c>
      <c r="N568" s="4">
        <v>565</v>
      </c>
      <c r="O568" s="8">
        <f>$B$7*COUNTIF(Sheet2!$B$1:$B$132,N568)</f>
        <v>0</v>
      </c>
      <c r="P568" s="8">
        <f t="shared" ca="1" si="40"/>
        <v>0</v>
      </c>
      <c r="Q568" s="8">
        <f ca="1">CEILING(R567*(IF(N568&lt;=IF($B$2=0,0,OFFSET(Sheet2!$B$1,Sheet1!$B$2-1,0)),$B$1/(365*100),$B$3/(365*100)))*100,1)/100</f>
        <v>339.63</v>
      </c>
      <c r="R568" s="9">
        <f t="shared" ca="1" si="41"/>
        <v>832317.60057583614</v>
      </c>
    </row>
    <row r="569" spans="1:18" x14ac:dyDescent="0.25">
      <c r="A569">
        <v>5</v>
      </c>
      <c r="B569">
        <v>0</v>
      </c>
      <c r="C569">
        <v>10</v>
      </c>
      <c r="D569">
        <v>24.9</v>
      </c>
      <c r="E569">
        <v>51</v>
      </c>
      <c r="F569">
        <v>2.6816371203698144E-2</v>
      </c>
      <c r="G569" t="str">
        <f t="shared" si="42"/>
        <v>Insert into BlueCreditTypeRainbow Values (5, 0, 10, 24.9, 51, 0.0268163712036981)</v>
      </c>
      <c r="N569" s="4">
        <v>566</v>
      </c>
      <c r="O569" s="8">
        <f>$B$7*COUNTIF(Sheet2!$B$1:$B$132,N569)</f>
        <v>0</v>
      </c>
      <c r="P569" s="8">
        <f t="shared" ca="1" si="40"/>
        <v>0</v>
      </c>
      <c r="Q569" s="8">
        <f ca="1">CEILING(R568*(IF(N569&lt;=IF($B$2=0,0,OFFSET(Sheet2!$B$1,Sheet1!$B$2-1,0)),$B$1/(365*100),$B$3/(365*100)))*100,1)/100</f>
        <v>339.77</v>
      </c>
      <c r="R569" s="9">
        <f t="shared" ca="1" si="41"/>
        <v>832657.37057583616</v>
      </c>
    </row>
    <row r="570" spans="1:18" x14ac:dyDescent="0.25">
      <c r="A570">
        <v>5</v>
      </c>
      <c r="B570">
        <v>0</v>
      </c>
      <c r="C570">
        <v>10</v>
      </c>
      <c r="D570">
        <v>24.9</v>
      </c>
      <c r="E570">
        <v>52</v>
      </c>
      <c r="F570">
        <v>2.6519699430918101E-2</v>
      </c>
      <c r="G570" t="str">
        <f t="shared" si="42"/>
        <v>Insert into BlueCreditTypeRainbow Values (5, 0, 10, 24.9, 52, 0.0265196994309181)</v>
      </c>
      <c r="N570" s="4">
        <v>567</v>
      </c>
      <c r="O570" s="8">
        <f>$B$7*COUNTIF(Sheet2!$B$1:$B$132,N570)</f>
        <v>0</v>
      </c>
      <c r="P570" s="8">
        <f t="shared" ca="1" si="40"/>
        <v>0</v>
      </c>
      <c r="Q570" s="8">
        <f ca="1">CEILING(R569*(IF(N570&lt;=IF($B$2=0,0,OFFSET(Sheet2!$B$1,Sheet1!$B$2-1,0)),$B$1/(365*100),$B$3/(365*100)))*100,1)/100</f>
        <v>339.91</v>
      </c>
      <c r="R570" s="9">
        <f t="shared" ca="1" si="41"/>
        <v>832997.28057583619</v>
      </c>
    </row>
    <row r="571" spans="1:18" x14ac:dyDescent="0.25">
      <c r="A571">
        <v>5</v>
      </c>
      <c r="B571">
        <v>0</v>
      </c>
      <c r="C571">
        <v>10</v>
      </c>
      <c r="D571">
        <v>24.9</v>
      </c>
      <c r="E571">
        <v>53</v>
      </c>
      <c r="F571">
        <v>2.6235335674974949E-2</v>
      </c>
      <c r="G571" t="str">
        <f t="shared" si="42"/>
        <v>Insert into BlueCreditTypeRainbow Values (5, 0, 10, 24.9, 53, 0.0262353356749749)</v>
      </c>
      <c r="N571" s="4">
        <v>568</v>
      </c>
      <c r="O571" s="8">
        <f>$B$7*COUNTIF(Sheet2!$B$1:$B$132,N571)</f>
        <v>0</v>
      </c>
      <c r="P571" s="8">
        <f t="shared" ca="1" si="40"/>
        <v>0</v>
      </c>
      <c r="Q571" s="8">
        <f ca="1">CEILING(R570*(IF(N571&lt;=IF($B$2=0,0,OFFSET(Sheet2!$B$1,Sheet1!$B$2-1,0)),$B$1/(365*100),$B$3/(365*100)))*100,1)/100</f>
        <v>340.05</v>
      </c>
      <c r="R571" s="9">
        <f t="shared" ca="1" si="41"/>
        <v>833337.33057583624</v>
      </c>
    </row>
    <row r="572" spans="1:18" x14ac:dyDescent="0.25">
      <c r="A572">
        <v>5</v>
      </c>
      <c r="B572">
        <v>0</v>
      </c>
      <c r="C572">
        <v>10</v>
      </c>
      <c r="D572">
        <v>24.9</v>
      </c>
      <c r="E572">
        <v>54</v>
      </c>
      <c r="F572">
        <v>2.5962588535531243E-2</v>
      </c>
      <c r="G572" t="str">
        <f t="shared" si="42"/>
        <v>Insert into BlueCreditTypeRainbow Values (5, 0, 10, 24.9, 54, 0.0259625885355312)</v>
      </c>
      <c r="N572" s="4">
        <v>569</v>
      </c>
      <c r="O572" s="8">
        <f>$B$7*COUNTIF(Sheet2!$B$1:$B$132,N572)</f>
        <v>0</v>
      </c>
      <c r="P572" s="8">
        <f t="shared" ca="1" si="40"/>
        <v>0</v>
      </c>
      <c r="Q572" s="8">
        <f ca="1">CEILING(R571*(IF(N572&lt;=IF($B$2=0,0,OFFSET(Sheet2!$B$1,Sheet1!$B$2-1,0)),$B$1/(365*100),$B$3/(365*100)))*100,1)/100</f>
        <v>340.19</v>
      </c>
      <c r="R572" s="9">
        <f t="shared" ca="1" si="41"/>
        <v>833677.52057583618</v>
      </c>
    </row>
    <row r="573" spans="1:18" x14ac:dyDescent="0.25">
      <c r="A573">
        <v>5</v>
      </c>
      <c r="B573">
        <v>0</v>
      </c>
      <c r="C573">
        <v>9</v>
      </c>
      <c r="D573">
        <v>24.9</v>
      </c>
      <c r="E573">
        <v>42</v>
      </c>
      <c r="F573">
        <v>3.0648004047619075E-2</v>
      </c>
      <c r="G573" t="str">
        <f t="shared" si="42"/>
        <v>Insert into BlueCreditTypeRainbow Values (5, 0, 9, 24.9, 42, 0.0306480040476191)</v>
      </c>
      <c r="N573" s="4">
        <v>570</v>
      </c>
      <c r="O573" s="8">
        <f>$B$7*COUNTIF(Sheet2!$B$1:$B$132,N573)</f>
        <v>0</v>
      </c>
      <c r="P573" s="8">
        <f t="shared" ca="1" si="40"/>
        <v>0</v>
      </c>
      <c r="Q573" s="8">
        <f ca="1">CEILING(R572*(IF(N573&lt;=IF($B$2=0,0,OFFSET(Sheet2!$B$1,Sheet1!$B$2-1,0)),$B$1/(365*100),$B$3/(365*100)))*100,1)/100</f>
        <v>340.33</v>
      </c>
      <c r="R573" s="9">
        <f t="shared" ca="1" si="41"/>
        <v>834017.85057583614</v>
      </c>
    </row>
    <row r="574" spans="1:18" x14ac:dyDescent="0.25">
      <c r="A574">
        <v>5</v>
      </c>
      <c r="B574">
        <v>0</v>
      </c>
      <c r="C574">
        <v>9</v>
      </c>
      <c r="D574">
        <v>24.9</v>
      </c>
      <c r="E574">
        <v>43</v>
      </c>
      <c r="F574">
        <v>3.0191803567956026E-2</v>
      </c>
      <c r="G574" t="str">
        <f t="shared" si="42"/>
        <v>Insert into BlueCreditTypeRainbow Values (5, 0, 9, 24.9, 43, 0.030191803567956)</v>
      </c>
      <c r="N574" s="4">
        <v>571</v>
      </c>
      <c r="O574" s="8">
        <f>$B$7*COUNTIF(Sheet2!$B$1:$B$132,N574)</f>
        <v>0</v>
      </c>
      <c r="P574" s="8">
        <f t="shared" ca="1" si="40"/>
        <v>0</v>
      </c>
      <c r="Q574" s="8">
        <f ca="1">CEILING(R573*(IF(N574&lt;=IF($B$2=0,0,OFFSET(Sheet2!$B$1,Sheet1!$B$2-1,0)),$B$1/(365*100),$B$3/(365*100)))*100,1)/100</f>
        <v>340.47</v>
      </c>
      <c r="R574" s="9">
        <f t="shared" ca="1" si="41"/>
        <v>834358.32057583611</v>
      </c>
    </row>
    <row r="575" spans="1:18" x14ac:dyDescent="0.25">
      <c r="A575">
        <v>5</v>
      </c>
      <c r="B575">
        <v>0</v>
      </c>
      <c r="C575">
        <v>9</v>
      </c>
      <c r="D575">
        <v>24.9</v>
      </c>
      <c r="E575">
        <v>44</v>
      </c>
      <c r="F575">
        <v>2.9757820784601818E-2</v>
      </c>
      <c r="G575" t="str">
        <f t="shared" si="42"/>
        <v>Insert into BlueCreditTypeRainbow Values (5, 0, 9, 24.9, 44, 0.0297578207846018)</v>
      </c>
      <c r="N575" s="4">
        <v>572</v>
      </c>
      <c r="O575" s="8">
        <f>$B$7*COUNTIF(Sheet2!$B$1:$B$132,N575)</f>
        <v>0</v>
      </c>
      <c r="P575" s="8">
        <f t="shared" ca="1" si="40"/>
        <v>0</v>
      </c>
      <c r="Q575" s="8">
        <f ca="1">CEILING(R574*(IF(N575&lt;=IF($B$2=0,0,OFFSET(Sheet2!$B$1,Sheet1!$B$2-1,0)),$B$1/(365*100),$B$3/(365*100)))*100,1)/100</f>
        <v>340.61</v>
      </c>
      <c r="R575" s="9">
        <f t="shared" ca="1" si="41"/>
        <v>834698.9305758361</v>
      </c>
    </row>
    <row r="576" spans="1:18" x14ac:dyDescent="0.25">
      <c r="A576">
        <v>5</v>
      </c>
      <c r="B576">
        <v>0</v>
      </c>
      <c r="C576">
        <v>9</v>
      </c>
      <c r="D576">
        <v>24.9</v>
      </c>
      <c r="E576">
        <v>45</v>
      </c>
      <c r="F576">
        <v>2.934483890684866E-2</v>
      </c>
      <c r="G576" t="str">
        <f t="shared" si="42"/>
        <v>Insert into BlueCreditTypeRainbow Values (5, 0, 9, 24.9, 45, 0.0293448389068487)</v>
      </c>
      <c r="N576" s="4">
        <v>573</v>
      </c>
      <c r="O576" s="8">
        <f>$B$7*COUNTIF(Sheet2!$B$1:$B$132,N576)</f>
        <v>0</v>
      </c>
      <c r="P576" s="8">
        <f t="shared" ca="1" si="40"/>
        <v>0</v>
      </c>
      <c r="Q576" s="8">
        <f ca="1">CEILING(R575*(IF(N576&lt;=IF($B$2=0,0,OFFSET(Sheet2!$B$1,Sheet1!$B$2-1,0)),$B$1/(365*100),$B$3/(365*100)))*100,1)/100</f>
        <v>340.75</v>
      </c>
      <c r="R576" s="9">
        <f t="shared" ca="1" si="41"/>
        <v>835039.6805758361</v>
      </c>
    </row>
    <row r="577" spans="1:18" x14ac:dyDescent="0.25">
      <c r="A577">
        <v>5</v>
      </c>
      <c r="B577">
        <v>0</v>
      </c>
      <c r="C577">
        <v>9</v>
      </c>
      <c r="D577">
        <v>24.9</v>
      </c>
      <c r="E577">
        <v>46</v>
      </c>
      <c r="F577">
        <v>2.8951184145239346E-2</v>
      </c>
      <c r="G577" t="str">
        <f t="shared" si="42"/>
        <v>Insert into BlueCreditTypeRainbow Values (5, 0, 9, 24.9, 46, 0.0289511841452393)</v>
      </c>
      <c r="N577" s="4">
        <v>574</v>
      </c>
      <c r="O577" s="8">
        <f>$B$7*COUNTIF(Sheet2!$B$1:$B$132,N577)</f>
        <v>0</v>
      </c>
      <c r="P577" s="8">
        <f t="shared" ca="1" si="40"/>
        <v>0</v>
      </c>
      <c r="Q577" s="8">
        <f ca="1">CEILING(R576*(IF(N577&lt;=IF($B$2=0,0,OFFSET(Sheet2!$B$1,Sheet1!$B$2-1,0)),$B$1/(365*100),$B$3/(365*100)))*100,1)/100</f>
        <v>340.88</v>
      </c>
      <c r="R577" s="9">
        <f t="shared" ca="1" si="41"/>
        <v>835380.56057583611</v>
      </c>
    </row>
    <row r="578" spans="1:18" x14ac:dyDescent="0.25">
      <c r="A578">
        <v>5</v>
      </c>
      <c r="B578">
        <v>0</v>
      </c>
      <c r="C578">
        <v>9</v>
      </c>
      <c r="D578">
        <v>24.9</v>
      </c>
      <c r="E578">
        <v>47</v>
      </c>
      <c r="F578">
        <v>2.8575870011517391E-2</v>
      </c>
      <c r="G578" t="str">
        <f t="shared" si="42"/>
        <v>Insert into BlueCreditTypeRainbow Values (5, 0, 9, 24.9, 47, 0.0285758700115174)</v>
      </c>
      <c r="N578" s="4">
        <v>575</v>
      </c>
      <c r="O578" s="8">
        <f>$B$7*COUNTIF(Sheet2!$B$1:$B$132,N578)</f>
        <v>0</v>
      </c>
      <c r="P578" s="8">
        <f t="shared" ca="1" si="40"/>
        <v>0</v>
      </c>
      <c r="Q578" s="8">
        <f ca="1">CEILING(R577*(IF(N578&lt;=IF($B$2=0,0,OFFSET(Sheet2!$B$1,Sheet1!$B$2-1,0)),$B$1/(365*100),$B$3/(365*100)))*100,1)/100</f>
        <v>341.02</v>
      </c>
      <c r="R578" s="9">
        <f t="shared" ca="1" si="41"/>
        <v>835721.58057583612</v>
      </c>
    </row>
    <row r="579" spans="1:18" x14ac:dyDescent="0.25">
      <c r="A579">
        <v>5</v>
      </c>
      <c r="B579">
        <v>0</v>
      </c>
      <c r="C579">
        <v>9</v>
      </c>
      <c r="D579">
        <v>24.9</v>
      </c>
      <c r="E579">
        <v>48</v>
      </c>
      <c r="F579">
        <v>2.8217468760480497E-2</v>
      </c>
      <c r="G579" t="str">
        <f t="shared" si="42"/>
        <v>Insert into BlueCreditTypeRainbow Values (5, 0, 9, 24.9, 48, 0.0282174687604805)</v>
      </c>
      <c r="N579" s="4">
        <v>576</v>
      </c>
      <c r="O579" s="8">
        <f>$B$7*COUNTIF(Sheet2!$B$1:$B$132,N579)</f>
        <v>0</v>
      </c>
      <c r="P579" s="8">
        <f t="shared" ca="1" si="40"/>
        <v>0</v>
      </c>
      <c r="Q579" s="8">
        <f ca="1">CEILING(R578*(IF(N579&lt;=IF($B$2=0,0,OFFSET(Sheet2!$B$1,Sheet1!$B$2-1,0)),$B$1/(365*100),$B$3/(365*100)))*100,1)/100</f>
        <v>341.16</v>
      </c>
      <c r="R579" s="9">
        <f t="shared" ca="1" si="41"/>
        <v>836062.74057583616</v>
      </c>
    </row>
    <row r="580" spans="1:18" x14ac:dyDescent="0.25">
      <c r="A580">
        <v>5</v>
      </c>
      <c r="B580">
        <v>0</v>
      </c>
      <c r="C580">
        <v>9</v>
      </c>
      <c r="D580">
        <v>24.9</v>
      </c>
      <c r="E580">
        <v>49</v>
      </c>
      <c r="F580">
        <v>2.7875172535377364E-2</v>
      </c>
      <c r="G580" t="str">
        <f t="shared" si="42"/>
        <v>Insert into BlueCreditTypeRainbow Values (5, 0, 9, 24.9, 49, 0.0278751725353774)</v>
      </c>
      <c r="N580" s="4">
        <v>577</v>
      </c>
      <c r="O580" s="8">
        <f>$B$7*COUNTIF(Sheet2!$B$1:$B$132,N580)</f>
        <v>0</v>
      </c>
      <c r="P580" s="8">
        <f t="shared" ca="1" si="40"/>
        <v>0</v>
      </c>
      <c r="Q580" s="8">
        <f ca="1">CEILING(R579*(IF(N580&lt;=IF($B$2=0,0,OFFSET(Sheet2!$B$1,Sheet1!$B$2-1,0)),$B$1/(365*100),$B$3/(365*100)))*100,1)/100</f>
        <v>341.3</v>
      </c>
      <c r="R580" s="9">
        <f t="shared" ca="1" si="41"/>
        <v>836404.0405758362</v>
      </c>
    </row>
    <row r="581" spans="1:18" x14ac:dyDescent="0.25">
      <c r="A581">
        <v>5</v>
      </c>
      <c r="B581">
        <v>0</v>
      </c>
      <c r="C581">
        <v>9</v>
      </c>
      <c r="D581">
        <v>24.9</v>
      </c>
      <c r="E581">
        <v>50</v>
      </c>
      <c r="F581">
        <v>2.7547986542837986E-2</v>
      </c>
      <c r="G581" t="str">
        <f t="shared" si="42"/>
        <v>Insert into BlueCreditTypeRainbow Values (5, 0, 9, 24.9, 50, 0.027547986542838)</v>
      </c>
      <c r="N581" s="4">
        <v>578</v>
      </c>
      <c r="O581" s="8">
        <f>$B$7*COUNTIF(Sheet2!$B$1:$B$132,N581)</f>
        <v>0</v>
      </c>
      <c r="P581" s="8">
        <f t="shared" ref="P581:P644" ca="1" si="43">IF(O581-Q581&gt; 0, O581-Q581, 0)</f>
        <v>0</v>
      </c>
      <c r="Q581" s="8">
        <f ca="1">CEILING(R580*(IF(N581&lt;=IF($B$2=0,0,OFFSET(Sheet2!$B$1,Sheet1!$B$2-1,0)),$B$1/(365*100),$B$3/(365*100)))*100,1)/100</f>
        <v>341.44</v>
      </c>
      <c r="R581" s="9">
        <f t="shared" ref="R581:R644" ca="1" si="44">R580+Q581-O581</f>
        <v>836745.48057583615</v>
      </c>
    </row>
    <row r="582" spans="1:18" x14ac:dyDescent="0.25">
      <c r="A582">
        <v>5</v>
      </c>
      <c r="B582">
        <v>0</v>
      </c>
      <c r="C582">
        <v>9</v>
      </c>
      <c r="D582">
        <v>24.9</v>
      </c>
      <c r="E582">
        <v>51</v>
      </c>
      <c r="F582">
        <v>2.7234793742501377E-2</v>
      </c>
      <c r="G582" t="str">
        <f t="shared" si="42"/>
        <v>Insert into BlueCreditTypeRainbow Values (5, 0, 9, 24.9, 51, 0.0272347937425014)</v>
      </c>
      <c r="N582" s="4">
        <v>579</v>
      </c>
      <c r="O582" s="8">
        <f>$B$7*COUNTIF(Sheet2!$B$1:$B$132,N582)</f>
        <v>21157.10552356458</v>
      </c>
      <c r="P582" s="8">
        <f t="shared" ca="1" si="43"/>
        <v>20815.525523564578</v>
      </c>
      <c r="Q582" s="8">
        <f ca="1">CEILING(R581*(IF(N582&lt;=IF($B$2=0,0,OFFSET(Sheet2!$B$1,Sheet1!$B$2-1,0)),$B$1/(365*100),$B$3/(365*100)))*100,1)/100</f>
        <v>341.58</v>
      </c>
      <c r="R582" s="9">
        <f t="shared" ca="1" si="44"/>
        <v>815929.95505227149</v>
      </c>
    </row>
    <row r="583" spans="1:18" x14ac:dyDescent="0.25">
      <c r="A583">
        <v>5</v>
      </c>
      <c r="B583">
        <v>0</v>
      </c>
      <c r="C583">
        <v>9</v>
      </c>
      <c r="D583">
        <v>24.9</v>
      </c>
      <c r="E583">
        <v>52</v>
      </c>
      <c r="F583">
        <v>2.6934973479101492E-2</v>
      </c>
      <c r="G583" t="str">
        <f t="shared" si="42"/>
        <v>Insert into BlueCreditTypeRainbow Values (5, 0, 9, 24.9, 52, 0.0269349734791015)</v>
      </c>
      <c r="N583" s="4">
        <v>580</v>
      </c>
      <c r="O583" s="8">
        <f>$B$7*COUNTIF(Sheet2!$B$1:$B$132,N583)</f>
        <v>0</v>
      </c>
      <c r="P583" s="8">
        <f t="shared" ca="1" si="43"/>
        <v>0</v>
      </c>
      <c r="Q583" s="8">
        <f ca="1">CEILING(R582*(IF(N583&lt;=IF($B$2=0,0,OFFSET(Sheet2!$B$1,Sheet1!$B$2-1,0)),$B$1/(365*100),$B$3/(365*100)))*100,1)/100</f>
        <v>333.08</v>
      </c>
      <c r="R583" s="9">
        <f t="shared" ca="1" si="44"/>
        <v>816263.03505227144</v>
      </c>
    </row>
    <row r="584" spans="1:18" x14ac:dyDescent="0.25">
      <c r="A584">
        <v>5</v>
      </c>
      <c r="B584">
        <v>0</v>
      </c>
      <c r="C584">
        <v>9</v>
      </c>
      <c r="D584">
        <v>24.9</v>
      </c>
      <c r="E584">
        <v>53</v>
      </c>
      <c r="F584">
        <v>2.6647558506958109E-2</v>
      </c>
      <c r="G584" t="str">
        <f t="shared" si="42"/>
        <v>Insert into BlueCreditTypeRainbow Values (5, 0, 9, 24.9, 53, 0.0266475585069581)</v>
      </c>
      <c r="N584" s="4">
        <v>581</v>
      </c>
      <c r="O584" s="8">
        <f>$B$7*COUNTIF(Sheet2!$B$1:$B$132,N584)</f>
        <v>0</v>
      </c>
      <c r="P584" s="8">
        <f t="shared" ca="1" si="43"/>
        <v>0</v>
      </c>
      <c r="Q584" s="8">
        <f ca="1">CEILING(R583*(IF(N584&lt;=IF($B$2=0,0,OFFSET(Sheet2!$B$1,Sheet1!$B$2-1,0)),$B$1/(365*100),$B$3/(365*100)))*100,1)/100</f>
        <v>333.22</v>
      </c>
      <c r="R584" s="9">
        <f t="shared" ca="1" si="44"/>
        <v>816596.25505227142</v>
      </c>
    </row>
    <row r="585" spans="1:18" x14ac:dyDescent="0.25">
      <c r="A585">
        <v>5</v>
      </c>
      <c r="B585">
        <v>0</v>
      </c>
      <c r="C585">
        <v>9</v>
      </c>
      <c r="D585">
        <v>24.9</v>
      </c>
      <c r="E585">
        <v>54</v>
      </c>
      <c r="F585">
        <v>2.6371852972316624E-2</v>
      </c>
      <c r="G585" t="str">
        <f t="shared" si="42"/>
        <v>Insert into BlueCreditTypeRainbow Values (5, 0, 9, 24.9, 54, 0.0263718529723166)</v>
      </c>
      <c r="N585" s="4">
        <v>582</v>
      </c>
      <c r="O585" s="8">
        <f>$B$7*COUNTIF(Sheet2!$B$1:$B$132,N585)</f>
        <v>0</v>
      </c>
      <c r="P585" s="8">
        <f t="shared" ca="1" si="43"/>
        <v>0</v>
      </c>
      <c r="Q585" s="8">
        <f ca="1">CEILING(R584*(IF(N585&lt;=IF($B$2=0,0,OFFSET(Sheet2!$B$1,Sheet1!$B$2-1,0)),$B$1/(365*100),$B$3/(365*100)))*100,1)/100</f>
        <v>333.36</v>
      </c>
      <c r="R585" s="9">
        <f t="shared" ca="1" si="44"/>
        <v>816929.6150522714</v>
      </c>
    </row>
    <row r="586" spans="1:18" x14ac:dyDescent="0.25">
      <c r="A586">
        <v>5</v>
      </c>
      <c r="B586">
        <v>0</v>
      </c>
      <c r="C586">
        <v>8</v>
      </c>
      <c r="D586">
        <v>24.9</v>
      </c>
      <c r="E586">
        <v>42</v>
      </c>
      <c r="F586">
        <v>3.112376191677052E-2</v>
      </c>
      <c r="G586" t="str">
        <f t="shared" si="42"/>
        <v>Insert into BlueCreditTypeRainbow Values (5, 0, 8, 24.9, 42, 0.0311237619167705)</v>
      </c>
      <c r="N586" s="4">
        <v>583</v>
      </c>
      <c r="O586" s="8">
        <f>$B$7*COUNTIF(Sheet2!$B$1:$B$132,N586)</f>
        <v>0</v>
      </c>
      <c r="P586" s="8">
        <f t="shared" ca="1" si="43"/>
        <v>0</v>
      </c>
      <c r="Q586" s="8">
        <f ca="1">CEILING(R585*(IF(N586&lt;=IF($B$2=0,0,OFFSET(Sheet2!$B$1,Sheet1!$B$2-1,0)),$B$1/(365*100),$B$3/(365*100)))*100,1)/100</f>
        <v>333.49</v>
      </c>
      <c r="R586" s="9">
        <f t="shared" ca="1" si="44"/>
        <v>817263.10505227139</v>
      </c>
    </row>
    <row r="587" spans="1:18" x14ac:dyDescent="0.25">
      <c r="A587">
        <v>5</v>
      </c>
      <c r="B587">
        <v>0</v>
      </c>
      <c r="C587">
        <v>8</v>
      </c>
      <c r="D587">
        <v>24.9</v>
      </c>
      <c r="E587">
        <v>43</v>
      </c>
      <c r="F587">
        <v>3.0662777453579232E-2</v>
      </c>
      <c r="G587" t="str">
        <f t="shared" si="42"/>
        <v>Insert into BlueCreditTypeRainbow Values (5, 0, 8, 24.9, 43, 0.0306627774535792)</v>
      </c>
      <c r="N587" s="4">
        <v>584</v>
      </c>
      <c r="O587" s="8">
        <f>$B$7*COUNTIF(Sheet2!$B$1:$B$132,N587)</f>
        <v>0</v>
      </c>
      <c r="P587" s="8">
        <f t="shared" ca="1" si="43"/>
        <v>0</v>
      </c>
      <c r="Q587" s="8">
        <f ca="1">CEILING(R586*(IF(N587&lt;=IF($B$2=0,0,OFFSET(Sheet2!$B$1,Sheet1!$B$2-1,0)),$B$1/(365*100),$B$3/(365*100)))*100,1)/100</f>
        <v>333.63</v>
      </c>
      <c r="R587" s="9">
        <f t="shared" ca="1" si="44"/>
        <v>817596.7350522714</v>
      </c>
    </row>
    <row r="588" spans="1:18" x14ac:dyDescent="0.25">
      <c r="A588">
        <v>5</v>
      </c>
      <c r="B588">
        <v>0</v>
      </c>
      <c r="C588">
        <v>8</v>
      </c>
      <c r="D588">
        <v>24.9</v>
      </c>
      <c r="E588">
        <v>44</v>
      </c>
      <c r="F588">
        <v>3.0224183411968253E-2</v>
      </c>
      <c r="G588" t="str">
        <f t="shared" si="42"/>
        <v>Insert into BlueCreditTypeRainbow Values (5, 0, 8, 24.9, 44, 0.0302241834119683)</v>
      </c>
      <c r="N588" s="4">
        <v>585</v>
      </c>
      <c r="O588" s="8">
        <f>$B$7*COUNTIF(Sheet2!$B$1:$B$132,N588)</f>
        <v>0</v>
      </c>
      <c r="P588" s="8">
        <f t="shared" ca="1" si="43"/>
        <v>0</v>
      </c>
      <c r="Q588" s="8">
        <f ca="1">CEILING(R587*(IF(N588&lt;=IF($B$2=0,0,OFFSET(Sheet2!$B$1,Sheet1!$B$2-1,0)),$B$1/(365*100),$B$3/(365*100)))*100,1)/100</f>
        <v>333.76</v>
      </c>
      <c r="R588" s="9">
        <f t="shared" ca="1" si="44"/>
        <v>817930.49505227141</v>
      </c>
    </row>
    <row r="589" spans="1:18" x14ac:dyDescent="0.25">
      <c r="A589">
        <v>5</v>
      </c>
      <c r="B589">
        <v>0</v>
      </c>
      <c r="C589">
        <v>8</v>
      </c>
      <c r="D589">
        <v>24.9</v>
      </c>
      <c r="E589">
        <v>45</v>
      </c>
      <c r="F589">
        <v>2.9806748666666702E-2</v>
      </c>
      <c r="G589" t="str">
        <f t="shared" si="42"/>
        <v>Insert into BlueCreditTypeRainbow Values (5, 0, 8, 24.9, 45, 0.0298067486666667)</v>
      </c>
      <c r="N589" s="4">
        <v>586</v>
      </c>
      <c r="O589" s="8">
        <f>$B$7*COUNTIF(Sheet2!$B$1:$B$132,N589)</f>
        <v>0</v>
      </c>
      <c r="P589" s="8">
        <f t="shared" ca="1" si="43"/>
        <v>0</v>
      </c>
      <c r="Q589" s="8">
        <f ca="1">CEILING(R588*(IF(N589&lt;=IF($B$2=0,0,OFFSET(Sheet2!$B$1,Sheet1!$B$2-1,0)),$B$1/(365*100),$B$3/(365*100)))*100,1)/100</f>
        <v>333.9</v>
      </c>
      <c r="R589" s="9">
        <f t="shared" ca="1" si="44"/>
        <v>818264.39505227143</v>
      </c>
    </row>
    <row r="590" spans="1:18" x14ac:dyDescent="0.25">
      <c r="A590">
        <v>5</v>
      </c>
      <c r="B590">
        <v>0</v>
      </c>
      <c r="C590">
        <v>8</v>
      </c>
      <c r="D590">
        <v>24.9</v>
      </c>
      <c r="E590">
        <v>46</v>
      </c>
      <c r="F590">
        <v>2.9408804586735223E-2</v>
      </c>
      <c r="G590" t="str">
        <f t="shared" si="42"/>
        <v>Insert into BlueCreditTypeRainbow Values (5, 0, 8, 24.9, 46, 0.0294088045867352)</v>
      </c>
      <c r="N590" s="4">
        <v>587</v>
      </c>
      <c r="O590" s="8">
        <f>$B$7*COUNTIF(Sheet2!$B$1:$B$132,N590)</f>
        <v>0</v>
      </c>
      <c r="P590" s="8">
        <f t="shared" ca="1" si="43"/>
        <v>0</v>
      </c>
      <c r="Q590" s="8">
        <f ca="1">CEILING(R589*(IF(N590&lt;=IF($B$2=0,0,OFFSET(Sheet2!$B$1,Sheet1!$B$2-1,0)),$B$1/(365*100),$B$3/(365*100)))*100,1)/100</f>
        <v>334.04</v>
      </c>
      <c r="R590" s="9">
        <f t="shared" ca="1" si="44"/>
        <v>818598.43505227147</v>
      </c>
    </row>
    <row r="591" spans="1:18" x14ac:dyDescent="0.25">
      <c r="A591">
        <v>5</v>
      </c>
      <c r="B591">
        <v>0</v>
      </c>
      <c r="C591">
        <v>8</v>
      </c>
      <c r="D591">
        <v>24.9</v>
      </c>
      <c r="E591">
        <v>47</v>
      </c>
      <c r="F591">
        <v>2.9029348277484962E-2</v>
      </c>
      <c r="G591" t="str">
        <f t="shared" ref="G591:G654" si="45">CONCATENATE("Insert into BlueCreditTypeRainbow Values (",A591,", ",B591,", ",C591,", ",D591,", ",E591,", ",F591,")")</f>
        <v>Insert into BlueCreditTypeRainbow Values (5, 0, 8, 24.9, 47, 0.029029348277485)</v>
      </c>
      <c r="N591" s="4">
        <v>588</v>
      </c>
      <c r="O591" s="8">
        <f>$B$7*COUNTIF(Sheet2!$B$1:$B$132,N591)</f>
        <v>0</v>
      </c>
      <c r="P591" s="8">
        <f t="shared" ca="1" si="43"/>
        <v>0</v>
      </c>
      <c r="Q591" s="8">
        <f ca="1">CEILING(R590*(IF(N591&lt;=IF($B$2=0,0,OFFSET(Sheet2!$B$1,Sheet1!$B$2-1,0)),$B$1/(365*100),$B$3/(365*100)))*100,1)/100</f>
        <v>334.17</v>
      </c>
      <c r="R591" s="9">
        <f t="shared" ca="1" si="44"/>
        <v>818932.60505227151</v>
      </c>
    </row>
    <row r="592" spans="1:18" x14ac:dyDescent="0.25">
      <c r="A592">
        <v>5</v>
      </c>
      <c r="B592">
        <v>0</v>
      </c>
      <c r="C592">
        <v>8</v>
      </c>
      <c r="D592">
        <v>24.9</v>
      </c>
      <c r="E592">
        <v>48</v>
      </c>
      <c r="F592">
        <v>2.8666954186719443E-2</v>
      </c>
      <c r="G592" t="str">
        <f t="shared" si="45"/>
        <v>Insert into BlueCreditTypeRainbow Values (5, 0, 8, 24.9, 48, 0.0286669541867194)</v>
      </c>
      <c r="N592" s="4">
        <v>589</v>
      </c>
      <c r="O592" s="8">
        <f>$B$7*COUNTIF(Sheet2!$B$1:$B$132,N592)</f>
        <v>0</v>
      </c>
      <c r="P592" s="8">
        <f t="shared" ca="1" si="43"/>
        <v>0</v>
      </c>
      <c r="Q592" s="8">
        <f ca="1">CEILING(R591*(IF(N592&lt;=IF($B$2=0,0,OFFSET(Sheet2!$B$1,Sheet1!$B$2-1,0)),$B$1/(365*100),$B$3/(365*100)))*100,1)/100</f>
        <v>334.31</v>
      </c>
      <c r="R592" s="9">
        <f t="shared" ca="1" si="44"/>
        <v>819266.91505227156</v>
      </c>
    </row>
    <row r="593" spans="1:18" x14ac:dyDescent="0.25">
      <c r="A593">
        <v>5</v>
      </c>
      <c r="B593">
        <v>0</v>
      </c>
      <c r="C593">
        <v>8</v>
      </c>
      <c r="D593">
        <v>24.9</v>
      </c>
      <c r="E593">
        <v>49</v>
      </c>
      <c r="F593">
        <v>2.8320799489799871E-2</v>
      </c>
      <c r="G593" t="str">
        <f t="shared" si="45"/>
        <v>Insert into BlueCreditTypeRainbow Values (5, 0, 8, 24.9, 49, 0.0283207994897999)</v>
      </c>
      <c r="N593" s="4">
        <v>590</v>
      </c>
      <c r="O593" s="8">
        <f>$B$7*COUNTIF(Sheet2!$B$1:$B$132,N593)</f>
        <v>0</v>
      </c>
      <c r="P593" s="8">
        <f t="shared" ca="1" si="43"/>
        <v>0</v>
      </c>
      <c r="Q593" s="8">
        <f ca="1">CEILING(R592*(IF(N593&lt;=IF($B$2=0,0,OFFSET(Sheet2!$B$1,Sheet1!$B$2-1,0)),$B$1/(365*100),$B$3/(365*100)))*100,1)/100</f>
        <v>334.45</v>
      </c>
      <c r="R593" s="9">
        <f t="shared" ca="1" si="44"/>
        <v>819601.36505227152</v>
      </c>
    </row>
    <row r="594" spans="1:18" x14ac:dyDescent="0.25">
      <c r="A594">
        <v>5</v>
      </c>
      <c r="B594">
        <v>0</v>
      </c>
      <c r="C594">
        <v>8</v>
      </c>
      <c r="D594">
        <v>24.9</v>
      </c>
      <c r="E594">
        <v>50</v>
      </c>
      <c r="F594">
        <v>2.7989890806302133E-2</v>
      </c>
      <c r="G594" t="str">
        <f t="shared" si="45"/>
        <v>Insert into BlueCreditTypeRainbow Values (5, 0, 8, 24.9, 50, 0.0279898908063021)</v>
      </c>
      <c r="N594" s="4">
        <v>591</v>
      </c>
      <c r="O594" s="8">
        <f>$B$7*COUNTIF(Sheet2!$B$1:$B$132,N594)</f>
        <v>0</v>
      </c>
      <c r="P594" s="8">
        <f t="shared" ca="1" si="43"/>
        <v>0</v>
      </c>
      <c r="Q594" s="8">
        <f ca="1">CEILING(R593*(IF(N594&lt;=IF($B$2=0,0,OFFSET(Sheet2!$B$1,Sheet1!$B$2-1,0)),$B$1/(365*100),$B$3/(365*100)))*100,1)/100</f>
        <v>334.58</v>
      </c>
      <c r="R594" s="9">
        <f t="shared" ca="1" si="44"/>
        <v>819935.94505227148</v>
      </c>
    </row>
    <row r="595" spans="1:18" x14ac:dyDescent="0.25">
      <c r="A595">
        <v>5</v>
      </c>
      <c r="B595">
        <v>0</v>
      </c>
      <c r="C595">
        <v>8</v>
      </c>
      <c r="D595">
        <v>24.9</v>
      </c>
      <c r="E595">
        <v>51</v>
      </c>
      <c r="F595">
        <v>2.7673100342795409E-2</v>
      </c>
      <c r="G595" t="str">
        <f t="shared" si="45"/>
        <v>Insert into BlueCreditTypeRainbow Values (5, 0, 8, 24.9, 51, 0.0276731003427954)</v>
      </c>
      <c r="N595" s="4">
        <v>592</v>
      </c>
      <c r="O595" s="8">
        <f>$B$7*COUNTIF(Sheet2!$B$1:$B$132,N595)</f>
        <v>0</v>
      </c>
      <c r="P595" s="8">
        <f t="shared" ca="1" si="43"/>
        <v>0</v>
      </c>
      <c r="Q595" s="8">
        <f ca="1">CEILING(R594*(IF(N595&lt;=IF($B$2=0,0,OFFSET(Sheet2!$B$1,Sheet1!$B$2-1,0)),$B$1/(365*100),$B$3/(365*100)))*100,1)/100</f>
        <v>334.72</v>
      </c>
      <c r="R595" s="9">
        <f t="shared" ca="1" si="44"/>
        <v>820270.66505227145</v>
      </c>
    </row>
    <row r="596" spans="1:18" x14ac:dyDescent="0.25">
      <c r="A596">
        <v>5</v>
      </c>
      <c r="B596">
        <v>0</v>
      </c>
      <c r="C596">
        <v>8</v>
      </c>
      <c r="D596">
        <v>24.9</v>
      </c>
      <c r="E596">
        <v>52</v>
      </c>
      <c r="F596">
        <v>2.7369808095544769E-2</v>
      </c>
      <c r="G596" t="str">
        <f t="shared" si="45"/>
        <v>Insert into BlueCreditTypeRainbow Values (5, 0, 8, 24.9, 52, 0.0273698080955448)</v>
      </c>
      <c r="N596" s="4">
        <v>593</v>
      </c>
      <c r="O596" s="8">
        <f>$B$7*COUNTIF(Sheet2!$B$1:$B$132,N596)</f>
        <v>0</v>
      </c>
      <c r="P596" s="8">
        <f t="shared" ca="1" si="43"/>
        <v>0</v>
      </c>
      <c r="Q596" s="8">
        <f ca="1">CEILING(R595*(IF(N596&lt;=IF($B$2=0,0,OFFSET(Sheet2!$B$1,Sheet1!$B$2-1,0)),$B$1/(365*100),$B$3/(365*100)))*100,1)/100</f>
        <v>334.86</v>
      </c>
      <c r="R596" s="9">
        <f t="shared" ca="1" si="44"/>
        <v>820605.52505227143</v>
      </c>
    </row>
    <row r="597" spans="1:18" x14ac:dyDescent="0.25">
      <c r="A597">
        <v>5</v>
      </c>
      <c r="B597">
        <v>0</v>
      </c>
      <c r="C597">
        <v>8</v>
      </c>
      <c r="D597">
        <v>24.9</v>
      </c>
      <c r="E597">
        <v>53</v>
      </c>
      <c r="F597">
        <v>2.7079033018867896E-2</v>
      </c>
      <c r="G597" t="str">
        <f t="shared" si="45"/>
        <v>Insert into BlueCreditTypeRainbow Values (5, 0, 8, 24.9, 53, 0.0270790330188679)</v>
      </c>
      <c r="N597" s="4">
        <v>594</v>
      </c>
      <c r="O597" s="8">
        <f>$B$7*COUNTIF(Sheet2!$B$1:$B$132,N597)</f>
        <v>0</v>
      </c>
      <c r="P597" s="8">
        <f t="shared" ca="1" si="43"/>
        <v>0</v>
      </c>
      <c r="Q597" s="8">
        <f ca="1">CEILING(R596*(IF(N597&lt;=IF($B$2=0,0,OFFSET(Sheet2!$B$1,Sheet1!$B$2-1,0)),$B$1/(365*100),$B$3/(365*100)))*100,1)/100</f>
        <v>334.99</v>
      </c>
      <c r="R597" s="9">
        <f t="shared" ca="1" si="44"/>
        <v>820940.51505227142</v>
      </c>
    </row>
    <row r="598" spans="1:18" x14ac:dyDescent="0.25">
      <c r="A598">
        <v>5</v>
      </c>
      <c r="B598">
        <v>0</v>
      </c>
      <c r="C598">
        <v>8</v>
      </c>
      <c r="D598">
        <v>24.9</v>
      </c>
      <c r="E598">
        <v>54</v>
      </c>
      <c r="F598">
        <v>2.680007594341936E-2</v>
      </c>
      <c r="G598" t="str">
        <f t="shared" si="45"/>
        <v>Insert into BlueCreditTypeRainbow Values (5, 0, 8, 24.9, 54, 0.0268000759434194)</v>
      </c>
      <c r="N598" s="4">
        <v>595</v>
      </c>
      <c r="O598" s="8">
        <f>$B$7*COUNTIF(Sheet2!$B$1:$B$132,N598)</f>
        <v>0</v>
      </c>
      <c r="P598" s="8">
        <f t="shared" ca="1" si="43"/>
        <v>0</v>
      </c>
      <c r="Q598" s="8">
        <f ca="1">CEILING(R597*(IF(N598&lt;=IF($B$2=0,0,OFFSET(Sheet2!$B$1,Sheet1!$B$2-1,0)),$B$1/(365*100),$B$3/(365*100)))*100,1)/100</f>
        <v>335.13</v>
      </c>
      <c r="R598" s="9">
        <f t="shared" ca="1" si="44"/>
        <v>821275.64505227143</v>
      </c>
    </row>
    <row r="599" spans="1:18" x14ac:dyDescent="0.25">
      <c r="A599">
        <v>5</v>
      </c>
      <c r="B599">
        <v>0</v>
      </c>
      <c r="C599">
        <v>7</v>
      </c>
      <c r="D599">
        <v>24.9</v>
      </c>
      <c r="E599">
        <v>42</v>
      </c>
      <c r="F599">
        <v>3.1624659546756535E-2</v>
      </c>
      <c r="G599" t="str">
        <f t="shared" si="45"/>
        <v>Insert into BlueCreditTypeRainbow Values (5, 0, 7, 24.9, 42, 0.0316246595467565)</v>
      </c>
      <c r="N599" s="4">
        <v>596</v>
      </c>
      <c r="O599" s="8">
        <f>$B$7*COUNTIF(Sheet2!$B$1:$B$132,N599)</f>
        <v>0</v>
      </c>
      <c r="P599" s="8">
        <f t="shared" ca="1" si="43"/>
        <v>0</v>
      </c>
      <c r="Q599" s="8">
        <f ca="1">CEILING(R598*(IF(N599&lt;=IF($B$2=0,0,OFFSET(Sheet2!$B$1,Sheet1!$B$2-1,0)),$B$1/(365*100),$B$3/(365*100)))*100,1)/100</f>
        <v>335.27</v>
      </c>
      <c r="R599" s="9">
        <f t="shared" ca="1" si="44"/>
        <v>821610.91505227145</v>
      </c>
    </row>
    <row r="600" spans="1:18" x14ac:dyDescent="0.25">
      <c r="A600">
        <v>5</v>
      </c>
      <c r="B600">
        <v>0</v>
      </c>
      <c r="C600">
        <v>7</v>
      </c>
      <c r="D600">
        <v>24.9</v>
      </c>
      <c r="E600">
        <v>43</v>
      </c>
      <c r="F600">
        <v>3.1158328139534914E-2</v>
      </c>
      <c r="G600" t="str">
        <f t="shared" si="45"/>
        <v>Insert into BlueCreditTypeRainbow Values (5, 0, 7, 24.9, 43, 0.0311583281395349)</v>
      </c>
      <c r="N600" s="4">
        <v>597</v>
      </c>
      <c r="O600" s="8">
        <f>$B$7*COUNTIF(Sheet2!$B$1:$B$132,N600)</f>
        <v>0</v>
      </c>
      <c r="P600" s="8">
        <f t="shared" ca="1" si="43"/>
        <v>0</v>
      </c>
      <c r="Q600" s="8">
        <f ca="1">CEILING(R599*(IF(N600&lt;=IF($B$2=0,0,OFFSET(Sheet2!$B$1,Sheet1!$B$2-1,0)),$B$1/(365*100),$B$3/(365*100)))*100,1)/100</f>
        <v>335.4</v>
      </c>
      <c r="R600" s="9">
        <f t="shared" ca="1" si="44"/>
        <v>821946.31505227147</v>
      </c>
    </row>
    <row r="601" spans="1:18" x14ac:dyDescent="0.25">
      <c r="A601">
        <v>5</v>
      </c>
      <c r="B601">
        <v>0</v>
      </c>
      <c r="C601">
        <v>7</v>
      </c>
      <c r="D601">
        <v>24.9</v>
      </c>
      <c r="E601">
        <v>44</v>
      </c>
      <c r="F601">
        <v>3.0714587976320019E-2</v>
      </c>
      <c r="G601" t="str">
        <f t="shared" si="45"/>
        <v>Insert into BlueCreditTypeRainbow Values (5, 0, 7, 24.9, 44, 0.03071458797632)</v>
      </c>
      <c r="N601" s="4">
        <v>598</v>
      </c>
      <c r="O601" s="8">
        <f>$B$7*COUNTIF(Sheet2!$B$1:$B$132,N601)</f>
        <v>0</v>
      </c>
      <c r="P601" s="8">
        <f t="shared" ca="1" si="43"/>
        <v>0</v>
      </c>
      <c r="Q601" s="8">
        <f ca="1">CEILING(R600*(IF(N601&lt;=IF($B$2=0,0,OFFSET(Sheet2!$B$1,Sheet1!$B$2-1,0)),$B$1/(365*100),$B$3/(365*100)))*100,1)/100</f>
        <v>335.54</v>
      </c>
      <c r="R601" s="9">
        <f t="shared" ca="1" si="44"/>
        <v>822281.85505227151</v>
      </c>
    </row>
    <row r="602" spans="1:18" x14ac:dyDescent="0.25">
      <c r="A602">
        <v>5</v>
      </c>
      <c r="B602">
        <v>0</v>
      </c>
      <c r="C602">
        <v>7</v>
      </c>
      <c r="D602">
        <v>24.9</v>
      </c>
      <c r="E602">
        <v>45</v>
      </c>
      <c r="F602">
        <v>3.0292203563276575E-2</v>
      </c>
      <c r="G602" t="str">
        <f t="shared" si="45"/>
        <v>Insert into BlueCreditTypeRainbow Values (5, 0, 7, 24.9, 45, 0.0302922035632766)</v>
      </c>
      <c r="N602" s="4">
        <v>599</v>
      </c>
      <c r="O602" s="8">
        <f>$B$7*COUNTIF(Sheet2!$B$1:$B$132,N602)</f>
        <v>0</v>
      </c>
      <c r="P602" s="8">
        <f t="shared" ca="1" si="43"/>
        <v>0</v>
      </c>
      <c r="Q602" s="8">
        <f ca="1">CEILING(R601*(IF(N602&lt;=IF($B$2=0,0,OFFSET(Sheet2!$B$1,Sheet1!$B$2-1,0)),$B$1/(365*100),$B$3/(365*100)))*100,1)/100</f>
        <v>335.68</v>
      </c>
      <c r="R602" s="9">
        <f t="shared" ca="1" si="44"/>
        <v>822617.53505227156</v>
      </c>
    </row>
    <row r="603" spans="1:18" x14ac:dyDescent="0.25">
      <c r="A603">
        <v>5</v>
      </c>
      <c r="B603">
        <v>0</v>
      </c>
      <c r="C603">
        <v>7</v>
      </c>
      <c r="D603">
        <v>24.9</v>
      </c>
      <c r="E603">
        <v>46</v>
      </c>
      <c r="F603">
        <v>2.9889494389924009E-2</v>
      </c>
      <c r="G603" t="str">
        <f t="shared" si="45"/>
        <v>Insert into BlueCreditTypeRainbow Values (5, 0, 7, 24.9, 46, 0.029889494389924)</v>
      </c>
      <c r="N603" s="4">
        <v>600</v>
      </c>
      <c r="O603" s="8">
        <f>$B$7*COUNTIF(Sheet2!$B$1:$B$132,N603)</f>
        <v>0</v>
      </c>
      <c r="P603" s="8">
        <f t="shared" ca="1" si="43"/>
        <v>0</v>
      </c>
      <c r="Q603" s="8">
        <f ca="1">CEILING(R602*(IF(N603&lt;=IF($B$2=0,0,OFFSET(Sheet2!$B$1,Sheet1!$B$2-1,0)),$B$1/(365*100),$B$3/(365*100)))*100,1)/100</f>
        <v>335.81</v>
      </c>
      <c r="R603" s="9">
        <f t="shared" ca="1" si="44"/>
        <v>822953.34505227162</v>
      </c>
    </row>
    <row r="604" spans="1:18" x14ac:dyDescent="0.25">
      <c r="A604">
        <v>5</v>
      </c>
      <c r="B604">
        <v>0</v>
      </c>
      <c r="C604">
        <v>7</v>
      </c>
      <c r="D604">
        <v>24.9</v>
      </c>
      <c r="E604">
        <v>47</v>
      </c>
      <c r="F604">
        <v>2.9505444913299123E-2</v>
      </c>
      <c r="G604" t="str">
        <f t="shared" si="45"/>
        <v>Insert into BlueCreditTypeRainbow Values (5, 0, 7, 24.9, 47, 0.0295054449132991)</v>
      </c>
      <c r="N604" s="4">
        <v>601</v>
      </c>
      <c r="O604" s="8">
        <f>$B$7*COUNTIF(Sheet2!$B$1:$B$132,N604)</f>
        <v>0</v>
      </c>
      <c r="P604" s="8">
        <f t="shared" ca="1" si="43"/>
        <v>0</v>
      </c>
      <c r="Q604" s="8">
        <f ca="1">CEILING(R603*(IF(N604&lt;=IF($B$2=0,0,OFFSET(Sheet2!$B$1,Sheet1!$B$2-1,0)),$B$1/(365*100),$B$3/(365*100)))*100,1)/100</f>
        <v>335.95</v>
      </c>
      <c r="R604" s="9">
        <f t="shared" ca="1" si="44"/>
        <v>823289.29505227157</v>
      </c>
    </row>
    <row r="605" spans="1:18" x14ac:dyDescent="0.25">
      <c r="A605">
        <v>5</v>
      </c>
      <c r="B605">
        <v>0</v>
      </c>
      <c r="C605">
        <v>7</v>
      </c>
      <c r="D605">
        <v>24.9</v>
      </c>
      <c r="E605">
        <v>48</v>
      </c>
      <c r="F605">
        <v>2.9138632301733899E-2</v>
      </c>
      <c r="G605" t="str">
        <f t="shared" si="45"/>
        <v>Insert into BlueCreditTypeRainbow Values (5, 0, 7, 24.9, 48, 0.0291386323017339)</v>
      </c>
      <c r="N605" s="4">
        <v>602</v>
      </c>
      <c r="O605" s="8">
        <f>$B$7*COUNTIF(Sheet2!$B$1:$B$132,N605)</f>
        <v>0</v>
      </c>
      <c r="P605" s="8">
        <f t="shared" ca="1" si="43"/>
        <v>0</v>
      </c>
      <c r="Q605" s="8">
        <f ca="1">CEILING(R604*(IF(N605&lt;=IF($B$2=0,0,OFFSET(Sheet2!$B$1,Sheet1!$B$2-1,0)),$B$1/(365*100),$B$3/(365*100)))*100,1)/100</f>
        <v>336.09</v>
      </c>
      <c r="R605" s="9">
        <f t="shared" ca="1" si="44"/>
        <v>823625.38505227154</v>
      </c>
    </row>
    <row r="606" spans="1:18" x14ac:dyDescent="0.25">
      <c r="A606">
        <v>5</v>
      </c>
      <c r="B606">
        <v>0</v>
      </c>
      <c r="C606">
        <v>7</v>
      </c>
      <c r="D606">
        <v>24.9</v>
      </c>
      <c r="E606">
        <v>49</v>
      </c>
      <c r="F606">
        <v>2.8788213673469329E-2</v>
      </c>
      <c r="G606" t="str">
        <f t="shared" si="45"/>
        <v>Insert into BlueCreditTypeRainbow Values (5, 0, 7, 24.9, 49, 0.0287882136734693)</v>
      </c>
      <c r="N606" s="4">
        <v>603</v>
      </c>
      <c r="O606" s="8">
        <f>$B$7*COUNTIF(Sheet2!$B$1:$B$132,N606)</f>
        <v>0</v>
      </c>
      <c r="P606" s="8">
        <f t="shared" ca="1" si="43"/>
        <v>0</v>
      </c>
      <c r="Q606" s="8">
        <f ca="1">CEILING(R605*(IF(N606&lt;=IF($B$2=0,0,OFFSET(Sheet2!$B$1,Sheet1!$B$2-1,0)),$B$1/(365*100),$B$3/(365*100)))*100,1)/100</f>
        <v>336.22</v>
      </c>
      <c r="R606" s="9">
        <f t="shared" ca="1" si="44"/>
        <v>823961.60505227151</v>
      </c>
    </row>
    <row r="607" spans="1:18" x14ac:dyDescent="0.25">
      <c r="A607">
        <v>5</v>
      </c>
      <c r="B607">
        <v>0</v>
      </c>
      <c r="C607">
        <v>7</v>
      </c>
      <c r="D607">
        <v>24.9</v>
      </c>
      <c r="E607">
        <v>50</v>
      </c>
      <c r="F607">
        <v>2.8453202400000047E-2</v>
      </c>
      <c r="G607" t="str">
        <f t="shared" si="45"/>
        <v>Insert into BlueCreditTypeRainbow Values (5, 0, 7, 24.9, 50, 0.0284532024)</v>
      </c>
      <c r="N607" s="4">
        <v>604</v>
      </c>
      <c r="O607" s="8">
        <f>$B$7*COUNTIF(Sheet2!$B$1:$B$132,N607)</f>
        <v>0</v>
      </c>
      <c r="P607" s="8">
        <f t="shared" ca="1" si="43"/>
        <v>0</v>
      </c>
      <c r="Q607" s="8">
        <f ca="1">CEILING(R606*(IF(N607&lt;=IF($B$2=0,0,OFFSET(Sheet2!$B$1,Sheet1!$B$2-1,0)),$B$1/(365*100),$B$3/(365*100)))*100,1)/100</f>
        <v>336.36</v>
      </c>
      <c r="R607" s="9">
        <f t="shared" ca="1" si="44"/>
        <v>824297.96505227149</v>
      </c>
    </row>
    <row r="608" spans="1:18" x14ac:dyDescent="0.25">
      <c r="A608">
        <v>5</v>
      </c>
      <c r="B608">
        <v>0</v>
      </c>
      <c r="C608">
        <v>7</v>
      </c>
      <c r="D608">
        <v>24.9</v>
      </c>
      <c r="E608">
        <v>51</v>
      </c>
      <c r="F608">
        <v>2.8132451979872835E-2</v>
      </c>
      <c r="G608" t="str">
        <f t="shared" si="45"/>
        <v>Insert into BlueCreditTypeRainbow Values (5, 0, 7, 24.9, 51, 0.0281324519798728)</v>
      </c>
      <c r="N608" s="4">
        <v>605</v>
      </c>
      <c r="O608" s="8">
        <f>$B$7*COUNTIF(Sheet2!$B$1:$B$132,N608)</f>
        <v>0</v>
      </c>
      <c r="P608" s="8">
        <f t="shared" ca="1" si="43"/>
        <v>0</v>
      </c>
      <c r="Q608" s="8">
        <f ca="1">CEILING(R607*(IF(N608&lt;=IF($B$2=0,0,OFFSET(Sheet2!$B$1,Sheet1!$B$2-1,0)),$B$1/(365*100),$B$3/(365*100)))*100,1)/100</f>
        <v>336.5</v>
      </c>
      <c r="R608" s="9">
        <f t="shared" ca="1" si="44"/>
        <v>824634.46505227149</v>
      </c>
    </row>
    <row r="609" spans="1:18" x14ac:dyDescent="0.25">
      <c r="A609">
        <v>5</v>
      </c>
      <c r="B609">
        <v>0</v>
      </c>
      <c r="C609">
        <v>7</v>
      </c>
      <c r="D609">
        <v>24.9</v>
      </c>
      <c r="E609">
        <v>52</v>
      </c>
      <c r="F609">
        <v>2.7825339630523332E-2</v>
      </c>
      <c r="G609" t="str">
        <f t="shared" si="45"/>
        <v>Insert into BlueCreditTypeRainbow Values (5, 0, 7, 24.9, 52, 0.0278253396305233)</v>
      </c>
      <c r="N609" s="4">
        <v>606</v>
      </c>
      <c r="O609" s="8">
        <f>$B$7*COUNTIF(Sheet2!$B$1:$B$132,N609)</f>
        <v>0</v>
      </c>
      <c r="P609" s="8">
        <f t="shared" ca="1" si="43"/>
        <v>0</v>
      </c>
      <c r="Q609" s="8">
        <f ca="1">CEILING(R608*(IF(N609&lt;=IF($B$2=0,0,OFFSET(Sheet2!$B$1,Sheet1!$B$2-1,0)),$B$1/(365*100),$B$3/(365*100)))*100,1)/100</f>
        <v>336.64</v>
      </c>
      <c r="R609" s="9">
        <f t="shared" ca="1" si="44"/>
        <v>824971.10505227151</v>
      </c>
    </row>
    <row r="610" spans="1:18" x14ac:dyDescent="0.25">
      <c r="A610">
        <v>5</v>
      </c>
      <c r="B610">
        <v>0</v>
      </c>
      <c r="C610">
        <v>7</v>
      </c>
      <c r="D610">
        <v>24.9</v>
      </c>
      <c r="E610">
        <v>53</v>
      </c>
      <c r="F610">
        <v>2.753088114152023E-2</v>
      </c>
      <c r="G610" t="str">
        <f t="shared" si="45"/>
        <v>Insert into BlueCreditTypeRainbow Values (5, 0, 7, 24.9, 53, 0.0275308811415202)</v>
      </c>
      <c r="N610" s="4">
        <v>607</v>
      </c>
      <c r="O610" s="8">
        <f>$B$7*COUNTIF(Sheet2!$B$1:$B$132,N610)</f>
        <v>0</v>
      </c>
      <c r="P610" s="8">
        <f t="shared" ca="1" si="43"/>
        <v>0</v>
      </c>
      <c r="Q610" s="8">
        <f ca="1">CEILING(R609*(IF(N610&lt;=IF($B$2=0,0,OFFSET(Sheet2!$B$1,Sheet1!$B$2-1,0)),$B$1/(365*100),$B$3/(365*100)))*100,1)/100</f>
        <v>336.77</v>
      </c>
      <c r="R610" s="9">
        <f t="shared" ca="1" si="44"/>
        <v>825307.87505227153</v>
      </c>
    </row>
    <row r="611" spans="1:18" x14ac:dyDescent="0.25">
      <c r="A611">
        <v>5</v>
      </c>
      <c r="B611">
        <v>0</v>
      </c>
      <c r="C611">
        <v>7</v>
      </c>
      <c r="D611">
        <v>24.9</v>
      </c>
      <c r="E611">
        <v>54</v>
      </c>
      <c r="F611">
        <v>2.7248363721761478E-2</v>
      </c>
      <c r="G611" t="str">
        <f t="shared" si="45"/>
        <v>Insert into BlueCreditTypeRainbow Values (5, 0, 7, 24.9, 54, 0.0272483637217615)</v>
      </c>
      <c r="N611" s="4">
        <v>608</v>
      </c>
      <c r="O611" s="8">
        <f>$B$7*COUNTIF(Sheet2!$B$1:$B$132,N611)</f>
        <v>0</v>
      </c>
      <c r="P611" s="8">
        <f t="shared" ca="1" si="43"/>
        <v>0</v>
      </c>
      <c r="Q611" s="8">
        <f ca="1">CEILING(R610*(IF(N611&lt;=IF($B$2=0,0,OFFSET(Sheet2!$B$1,Sheet1!$B$2-1,0)),$B$1/(365*100),$B$3/(365*100)))*100,1)/100</f>
        <v>336.91</v>
      </c>
      <c r="R611" s="9">
        <f t="shared" ca="1" si="44"/>
        <v>825644.78505227156</v>
      </c>
    </row>
    <row r="612" spans="1:18" x14ac:dyDescent="0.25">
      <c r="A612">
        <v>5</v>
      </c>
      <c r="B612">
        <v>0</v>
      </c>
      <c r="C612">
        <v>6</v>
      </c>
      <c r="D612">
        <v>24.9</v>
      </c>
      <c r="E612">
        <v>42</v>
      </c>
      <c r="F612">
        <v>3.2169930556191349E-2</v>
      </c>
      <c r="G612" t="str">
        <f t="shared" si="45"/>
        <v>Insert into BlueCreditTypeRainbow Values (5, 0, 6, 24.9, 42, 0.0321699305561913)</v>
      </c>
      <c r="N612" s="4">
        <v>609</v>
      </c>
      <c r="O612" s="8">
        <f>$B$7*COUNTIF(Sheet2!$B$1:$B$132,N612)</f>
        <v>21157.10552356458</v>
      </c>
      <c r="P612" s="8">
        <f t="shared" ca="1" si="43"/>
        <v>20820.055523564581</v>
      </c>
      <c r="Q612" s="8">
        <f ca="1">CEILING(R611*(IF(N612&lt;=IF($B$2=0,0,OFFSET(Sheet2!$B$1,Sheet1!$B$2-1,0)),$B$1/(365*100),$B$3/(365*100)))*100,1)/100</f>
        <v>337.05</v>
      </c>
      <c r="R612" s="9">
        <f t="shared" ca="1" si="44"/>
        <v>804824.72952870699</v>
      </c>
    </row>
    <row r="613" spans="1:18" x14ac:dyDescent="0.25">
      <c r="A613">
        <v>5</v>
      </c>
      <c r="B613">
        <v>0</v>
      </c>
      <c r="C613">
        <v>6</v>
      </c>
      <c r="D613">
        <v>24.9</v>
      </c>
      <c r="E613">
        <v>43</v>
      </c>
      <c r="F613">
        <v>3.1697446254648119E-2</v>
      </c>
      <c r="G613" t="str">
        <f t="shared" si="45"/>
        <v>Insert into BlueCreditTypeRainbow Values (5, 0, 6, 24.9, 43, 0.0316974462546481)</v>
      </c>
      <c r="N613" s="4">
        <v>610</v>
      </c>
      <c r="O613" s="8">
        <f>$B$7*COUNTIF(Sheet2!$B$1:$B$132,N613)</f>
        <v>0</v>
      </c>
      <c r="P613" s="8">
        <f t="shared" ca="1" si="43"/>
        <v>0</v>
      </c>
      <c r="Q613" s="8">
        <f ca="1">CEILING(R612*(IF(N613&lt;=IF($B$2=0,0,OFFSET(Sheet2!$B$1,Sheet1!$B$2-1,0)),$B$1/(365*100),$B$3/(365*100)))*100,1)/100</f>
        <v>328.55</v>
      </c>
      <c r="R613" s="9">
        <f t="shared" ca="1" si="44"/>
        <v>805153.27952870703</v>
      </c>
    </row>
    <row r="614" spans="1:18" x14ac:dyDescent="0.25">
      <c r="A614">
        <v>5</v>
      </c>
      <c r="B614">
        <v>0</v>
      </c>
      <c r="C614">
        <v>6</v>
      </c>
      <c r="D614">
        <v>24.9</v>
      </c>
      <c r="E614">
        <v>44</v>
      </c>
      <c r="F614">
        <v>3.1247794360298255E-2</v>
      </c>
      <c r="G614" t="str">
        <f t="shared" si="45"/>
        <v>Insert into BlueCreditTypeRainbow Values (5, 0, 6, 24.9, 44, 0.0312477943602983)</v>
      </c>
      <c r="N614" s="4">
        <v>611</v>
      </c>
      <c r="O614" s="8">
        <f>$B$7*COUNTIF(Sheet2!$B$1:$B$132,N614)</f>
        <v>0</v>
      </c>
      <c r="P614" s="8">
        <f t="shared" ca="1" si="43"/>
        <v>0</v>
      </c>
      <c r="Q614" s="8">
        <f ca="1">CEILING(R613*(IF(N614&lt;=IF($B$2=0,0,OFFSET(Sheet2!$B$1,Sheet1!$B$2-1,0)),$B$1/(365*100),$B$3/(365*100)))*100,1)/100</f>
        <v>328.68</v>
      </c>
      <c r="R614" s="9">
        <f t="shared" ca="1" si="44"/>
        <v>805481.95952870708</v>
      </c>
    </row>
    <row r="615" spans="1:18" x14ac:dyDescent="0.25">
      <c r="A615">
        <v>5</v>
      </c>
      <c r="B615">
        <v>0</v>
      </c>
      <c r="C615">
        <v>6</v>
      </c>
      <c r="D615">
        <v>24.9</v>
      </c>
      <c r="E615">
        <v>45</v>
      </c>
      <c r="F615">
        <v>3.0819738466562958E-2</v>
      </c>
      <c r="G615" t="str">
        <f t="shared" si="45"/>
        <v>Insert into BlueCreditTypeRainbow Values (5, 0, 6, 24.9, 45, 0.030819738466563)</v>
      </c>
      <c r="N615" s="4">
        <v>612</v>
      </c>
      <c r="O615" s="8">
        <f>$B$7*COUNTIF(Sheet2!$B$1:$B$132,N615)</f>
        <v>0</v>
      </c>
      <c r="P615" s="8">
        <f t="shared" ca="1" si="43"/>
        <v>0</v>
      </c>
      <c r="Q615" s="8">
        <f ca="1">CEILING(R614*(IF(N615&lt;=IF($B$2=0,0,OFFSET(Sheet2!$B$1,Sheet1!$B$2-1,0)),$B$1/(365*100),$B$3/(365*100)))*100,1)/100</f>
        <v>328.82</v>
      </c>
      <c r="R615" s="9">
        <f t="shared" ca="1" si="44"/>
        <v>805810.77952870703</v>
      </c>
    </row>
    <row r="616" spans="1:18" x14ac:dyDescent="0.25">
      <c r="A616">
        <v>5</v>
      </c>
      <c r="B616">
        <v>0</v>
      </c>
      <c r="C616">
        <v>6</v>
      </c>
      <c r="D616">
        <v>24.9</v>
      </c>
      <c r="E616">
        <v>46</v>
      </c>
      <c r="F616">
        <v>3.041157900312361E-2</v>
      </c>
      <c r="G616" t="str">
        <f t="shared" si="45"/>
        <v>Insert into BlueCreditTypeRainbow Values (5, 0, 6, 24.9, 46, 0.0304115790031236)</v>
      </c>
      <c r="N616" s="4">
        <v>613</v>
      </c>
      <c r="O616" s="8">
        <f>$B$7*COUNTIF(Sheet2!$B$1:$B$132,N616)</f>
        <v>0</v>
      </c>
      <c r="P616" s="8">
        <f t="shared" ca="1" si="43"/>
        <v>0</v>
      </c>
      <c r="Q616" s="8">
        <f ca="1">CEILING(R615*(IF(N616&lt;=IF($B$2=0,0,OFFSET(Sheet2!$B$1,Sheet1!$B$2-1,0)),$B$1/(365*100),$B$3/(365*100)))*100,1)/100</f>
        <v>328.95</v>
      </c>
      <c r="R616" s="9">
        <f t="shared" ca="1" si="44"/>
        <v>806139.72952870699</v>
      </c>
    </row>
    <row r="617" spans="1:18" x14ac:dyDescent="0.25">
      <c r="A617">
        <v>5</v>
      </c>
      <c r="B617">
        <v>0</v>
      </c>
      <c r="C617">
        <v>6</v>
      </c>
      <c r="D617">
        <v>24.9</v>
      </c>
      <c r="E617">
        <v>47</v>
      </c>
      <c r="F617">
        <v>3.0022292383310452E-2</v>
      </c>
      <c r="G617" t="str">
        <f t="shared" si="45"/>
        <v>Insert into BlueCreditTypeRainbow Values (5, 0, 6, 24.9, 47, 0.0300222923833105)</v>
      </c>
      <c r="N617" s="4">
        <v>614</v>
      </c>
      <c r="O617" s="8">
        <f>$B$7*COUNTIF(Sheet2!$B$1:$B$132,N617)</f>
        <v>0</v>
      </c>
      <c r="P617" s="8">
        <f t="shared" ca="1" si="43"/>
        <v>0</v>
      </c>
      <c r="Q617" s="8">
        <f ca="1">CEILING(R616*(IF(N617&lt;=IF($B$2=0,0,OFFSET(Sheet2!$B$1,Sheet1!$B$2-1,0)),$B$1/(365*100),$B$3/(365*100)))*100,1)/100</f>
        <v>329.09</v>
      </c>
      <c r="R617" s="9">
        <f t="shared" ca="1" si="44"/>
        <v>806468.81952870695</v>
      </c>
    </row>
    <row r="618" spans="1:18" x14ac:dyDescent="0.25">
      <c r="A618">
        <v>5</v>
      </c>
      <c r="B618">
        <v>0</v>
      </c>
      <c r="C618">
        <v>6</v>
      </c>
      <c r="D618">
        <v>24.9</v>
      </c>
      <c r="E618">
        <v>48</v>
      </c>
      <c r="F618">
        <v>2.9650443884110936E-2</v>
      </c>
      <c r="G618" t="str">
        <f t="shared" si="45"/>
        <v>Insert into BlueCreditTypeRainbow Values (5, 0, 6, 24.9, 48, 0.0296504438841109)</v>
      </c>
      <c r="N618" s="4">
        <v>615</v>
      </c>
      <c r="O618" s="8">
        <f>$B$7*COUNTIF(Sheet2!$B$1:$B$132,N618)</f>
        <v>0</v>
      </c>
      <c r="P618" s="8">
        <f t="shared" ca="1" si="43"/>
        <v>0</v>
      </c>
      <c r="Q618" s="8">
        <f ca="1">CEILING(R617*(IF(N618&lt;=IF($B$2=0,0,OFFSET(Sheet2!$B$1,Sheet1!$B$2-1,0)),$B$1/(365*100),$B$3/(365*100)))*100,1)/100</f>
        <v>329.22</v>
      </c>
      <c r="R618" s="9">
        <f t="shared" ca="1" si="44"/>
        <v>806798.03952870693</v>
      </c>
    </row>
    <row r="619" spans="1:18" x14ac:dyDescent="0.25">
      <c r="A619">
        <v>5</v>
      </c>
      <c r="B619">
        <v>0</v>
      </c>
      <c r="C619">
        <v>6</v>
      </c>
      <c r="D619">
        <v>24.9</v>
      </c>
      <c r="E619">
        <v>49</v>
      </c>
      <c r="F619">
        <v>2.9295188458025718E-2</v>
      </c>
      <c r="G619" t="str">
        <f t="shared" si="45"/>
        <v>Insert into BlueCreditTypeRainbow Values (5, 0, 6, 24.9, 49, 0.0292951884580257)</v>
      </c>
      <c r="N619" s="4">
        <v>616</v>
      </c>
      <c r="O619" s="8">
        <f>$B$7*COUNTIF(Sheet2!$B$1:$B$132,N619)</f>
        <v>0</v>
      </c>
      <c r="P619" s="8">
        <f t="shared" ca="1" si="43"/>
        <v>0</v>
      </c>
      <c r="Q619" s="8">
        <f ca="1">CEILING(R618*(IF(N619&lt;=IF($B$2=0,0,OFFSET(Sheet2!$B$1,Sheet1!$B$2-1,0)),$B$1/(365*100),$B$3/(365*100)))*100,1)/100</f>
        <v>329.36</v>
      </c>
      <c r="R619" s="9">
        <f t="shared" ca="1" si="44"/>
        <v>807127.39952870691</v>
      </c>
    </row>
    <row r="620" spans="1:18" x14ac:dyDescent="0.25">
      <c r="A620">
        <v>5</v>
      </c>
      <c r="B620">
        <v>0</v>
      </c>
      <c r="C620">
        <v>6</v>
      </c>
      <c r="D620">
        <v>24.9</v>
      </c>
      <c r="E620">
        <v>50</v>
      </c>
      <c r="F620">
        <v>2.8955512200000023E-2</v>
      </c>
      <c r="G620" t="str">
        <f t="shared" si="45"/>
        <v>Insert into BlueCreditTypeRainbow Values (5, 0, 6, 24.9, 50, 0.0289555122)</v>
      </c>
      <c r="N620" s="4">
        <v>617</v>
      </c>
      <c r="O620" s="8">
        <f>$B$7*COUNTIF(Sheet2!$B$1:$B$132,N620)</f>
        <v>0</v>
      </c>
      <c r="P620" s="8">
        <f t="shared" ca="1" si="43"/>
        <v>0</v>
      </c>
      <c r="Q620" s="8">
        <f ca="1">CEILING(R619*(IF(N620&lt;=IF($B$2=0,0,OFFSET(Sheet2!$B$1,Sheet1!$B$2-1,0)),$B$1/(365*100),$B$3/(365*100)))*100,1)/100</f>
        <v>329.49</v>
      </c>
      <c r="R620" s="9">
        <f t="shared" ca="1" si="44"/>
        <v>807456.8895287069</v>
      </c>
    </row>
    <row r="621" spans="1:18" x14ac:dyDescent="0.25">
      <c r="A621">
        <v>5</v>
      </c>
      <c r="B621">
        <v>0</v>
      </c>
      <c r="C621">
        <v>6</v>
      </c>
      <c r="D621">
        <v>24.9</v>
      </c>
      <c r="E621">
        <v>51</v>
      </c>
      <c r="F621">
        <v>2.8630271848894741E-2</v>
      </c>
      <c r="G621" t="str">
        <f t="shared" si="45"/>
        <v>Insert into BlueCreditTypeRainbow Values (5, 0, 6, 24.9, 51, 0.0286302718488947)</v>
      </c>
      <c r="N621" s="4">
        <v>618</v>
      </c>
      <c r="O621" s="8">
        <f>$B$7*COUNTIF(Sheet2!$B$1:$B$132,N621)</f>
        <v>0</v>
      </c>
      <c r="P621" s="8">
        <f t="shared" ca="1" si="43"/>
        <v>0</v>
      </c>
      <c r="Q621" s="8">
        <f ca="1">CEILING(R620*(IF(N621&lt;=IF($B$2=0,0,OFFSET(Sheet2!$B$1,Sheet1!$B$2-1,0)),$B$1/(365*100),$B$3/(365*100)))*100,1)/100</f>
        <v>329.62</v>
      </c>
      <c r="R621" s="9">
        <f t="shared" ca="1" si="44"/>
        <v>807786.5095287069</v>
      </c>
    </row>
    <row r="622" spans="1:18" x14ac:dyDescent="0.25">
      <c r="A622">
        <v>5</v>
      </c>
      <c r="B622">
        <v>0</v>
      </c>
      <c r="C622">
        <v>6</v>
      </c>
      <c r="D622">
        <v>24.9</v>
      </c>
      <c r="E622">
        <v>52</v>
      </c>
      <c r="F622">
        <v>2.8318835752239625E-2</v>
      </c>
      <c r="G622" t="str">
        <f t="shared" si="45"/>
        <v>Insert into BlueCreditTypeRainbow Values (5, 0, 6, 24.9, 52, 0.0283188357522396)</v>
      </c>
      <c r="N622" s="4">
        <v>619</v>
      </c>
      <c r="O622" s="8">
        <f>$B$7*COUNTIF(Sheet2!$B$1:$B$132,N622)</f>
        <v>0</v>
      </c>
      <c r="P622" s="8">
        <f t="shared" ca="1" si="43"/>
        <v>0</v>
      </c>
      <c r="Q622" s="8">
        <f ca="1">CEILING(R621*(IF(N622&lt;=IF($B$2=0,0,OFFSET(Sheet2!$B$1,Sheet1!$B$2-1,0)),$B$1/(365*100),$B$3/(365*100)))*100,1)/100</f>
        <v>329.76</v>
      </c>
      <c r="R622" s="9">
        <f t="shared" ca="1" si="44"/>
        <v>808116.26952870691</v>
      </c>
    </row>
    <row r="623" spans="1:18" x14ac:dyDescent="0.25">
      <c r="A623">
        <v>5</v>
      </c>
      <c r="B623">
        <v>0</v>
      </c>
      <c r="C623">
        <v>6</v>
      </c>
      <c r="D623">
        <v>24.9</v>
      </c>
      <c r="E623">
        <v>53</v>
      </c>
      <c r="F623">
        <v>2.8020209345965979E-2</v>
      </c>
      <c r="G623" t="str">
        <f t="shared" si="45"/>
        <v>Insert into BlueCreditTypeRainbow Values (5, 0, 6, 24.9, 53, 0.028020209345966)</v>
      </c>
      <c r="N623" s="4">
        <v>620</v>
      </c>
      <c r="O623" s="8">
        <f>$B$7*COUNTIF(Sheet2!$B$1:$B$132,N623)</f>
        <v>0</v>
      </c>
      <c r="P623" s="8">
        <f t="shared" ca="1" si="43"/>
        <v>0</v>
      </c>
      <c r="Q623" s="8">
        <f ca="1">CEILING(R622*(IF(N623&lt;=IF($B$2=0,0,OFFSET(Sheet2!$B$1,Sheet1!$B$2-1,0)),$B$1/(365*100),$B$3/(365*100)))*100,1)/100</f>
        <v>329.89</v>
      </c>
      <c r="R623" s="9">
        <f t="shared" ca="1" si="44"/>
        <v>808446.15952870692</v>
      </c>
    </row>
    <row r="624" spans="1:18" x14ac:dyDescent="0.25">
      <c r="A624">
        <v>5</v>
      </c>
      <c r="B624">
        <v>0</v>
      </c>
      <c r="C624">
        <v>6</v>
      </c>
      <c r="D624">
        <v>24.9</v>
      </c>
      <c r="E624">
        <v>54</v>
      </c>
      <c r="F624">
        <v>2.7733674270044782E-2</v>
      </c>
      <c r="G624" t="str">
        <f t="shared" si="45"/>
        <v>Insert into BlueCreditTypeRainbow Values (5, 0, 6, 24.9, 54, 0.0277336742700448)</v>
      </c>
      <c r="N624" s="4">
        <v>621</v>
      </c>
      <c r="O624" s="8">
        <f>$B$7*COUNTIF(Sheet2!$B$1:$B$132,N624)</f>
        <v>0</v>
      </c>
      <c r="P624" s="8">
        <f t="shared" ca="1" si="43"/>
        <v>0</v>
      </c>
      <c r="Q624" s="8">
        <f ca="1">CEILING(R623*(IF(N624&lt;=IF($B$2=0,0,OFFSET(Sheet2!$B$1,Sheet1!$B$2-1,0)),$B$1/(365*100),$B$3/(365*100)))*100,1)/100</f>
        <v>330.03</v>
      </c>
      <c r="R624" s="9">
        <f t="shared" ca="1" si="44"/>
        <v>808776.18952870695</v>
      </c>
    </row>
    <row r="625" spans="1:18" x14ac:dyDescent="0.25">
      <c r="A625">
        <v>5</v>
      </c>
      <c r="B625">
        <v>0</v>
      </c>
      <c r="C625">
        <v>5</v>
      </c>
      <c r="D625">
        <v>24.9</v>
      </c>
      <c r="E625">
        <v>42</v>
      </c>
      <c r="F625">
        <v>3.27447342917698E-2</v>
      </c>
      <c r="G625" t="str">
        <f t="shared" si="45"/>
        <v>Insert into BlueCreditTypeRainbow Values (5, 0, 5, 24.9, 42, 0.0327447342917698)</v>
      </c>
      <c r="N625" s="4">
        <v>622</v>
      </c>
      <c r="O625" s="8">
        <f>$B$7*COUNTIF(Sheet2!$B$1:$B$132,N625)</f>
        <v>0</v>
      </c>
      <c r="P625" s="8">
        <f t="shared" ca="1" si="43"/>
        <v>0</v>
      </c>
      <c r="Q625" s="8">
        <f ca="1">CEILING(R624*(IF(N625&lt;=IF($B$2=0,0,OFFSET(Sheet2!$B$1,Sheet1!$B$2-1,0)),$B$1/(365*100),$B$3/(365*100)))*100,1)/100</f>
        <v>330.16</v>
      </c>
      <c r="R625" s="9">
        <f t="shared" ca="1" si="44"/>
        <v>809106.34952870698</v>
      </c>
    </row>
    <row r="626" spans="1:18" x14ac:dyDescent="0.25">
      <c r="A626">
        <v>5</v>
      </c>
      <c r="B626">
        <v>0</v>
      </c>
      <c r="C626">
        <v>5</v>
      </c>
      <c r="D626">
        <v>24.9</v>
      </c>
      <c r="E626">
        <v>43</v>
      </c>
      <c r="F626">
        <v>3.2265428139534945E-2</v>
      </c>
      <c r="G626" t="str">
        <f t="shared" si="45"/>
        <v>Insert into BlueCreditTypeRainbow Values (5, 0, 5, 24.9, 43, 0.0322654281395349)</v>
      </c>
      <c r="N626" s="4">
        <v>623</v>
      </c>
      <c r="O626" s="8">
        <f>$B$7*COUNTIF(Sheet2!$B$1:$B$132,N626)</f>
        <v>0</v>
      </c>
      <c r="P626" s="8">
        <f t="shared" ca="1" si="43"/>
        <v>0</v>
      </c>
      <c r="Q626" s="8">
        <f ca="1">CEILING(R625*(IF(N626&lt;=IF($B$2=0,0,OFFSET(Sheet2!$B$1,Sheet1!$B$2-1,0)),$B$1/(365*100),$B$3/(365*100)))*100,1)/100</f>
        <v>330.3</v>
      </c>
      <c r="R626" s="9">
        <f t="shared" ca="1" si="44"/>
        <v>809436.64952870703</v>
      </c>
    </row>
    <row r="627" spans="1:18" x14ac:dyDescent="0.25">
      <c r="A627">
        <v>5</v>
      </c>
      <c r="B627">
        <v>0</v>
      </c>
      <c r="C627">
        <v>5</v>
      </c>
      <c r="D627">
        <v>24.9</v>
      </c>
      <c r="E627">
        <v>44</v>
      </c>
      <c r="F627">
        <v>3.1809246109236904E-2</v>
      </c>
      <c r="G627" t="str">
        <f t="shared" si="45"/>
        <v>Insert into BlueCreditTypeRainbow Values (5, 0, 5, 24.9, 44, 0.0318092461092369)</v>
      </c>
      <c r="N627" s="4">
        <v>624</v>
      </c>
      <c r="O627" s="8">
        <f>$B$7*COUNTIF(Sheet2!$B$1:$B$132,N627)</f>
        <v>0</v>
      </c>
      <c r="P627" s="8">
        <f t="shared" ca="1" si="43"/>
        <v>0</v>
      </c>
      <c r="Q627" s="8">
        <f ca="1">CEILING(R626*(IF(N627&lt;=IF($B$2=0,0,OFFSET(Sheet2!$B$1,Sheet1!$B$2-1,0)),$B$1/(365*100),$B$3/(365*100)))*100,1)/100</f>
        <v>330.43</v>
      </c>
      <c r="R627" s="9">
        <f t="shared" ca="1" si="44"/>
        <v>809767.07952870708</v>
      </c>
    </row>
    <row r="628" spans="1:18" x14ac:dyDescent="0.25">
      <c r="A628">
        <v>5</v>
      </c>
      <c r="B628">
        <v>0</v>
      </c>
      <c r="C628">
        <v>5</v>
      </c>
      <c r="D628">
        <v>24.9</v>
      </c>
      <c r="E628">
        <v>45</v>
      </c>
      <c r="F628">
        <v>3.1374931355274714E-2</v>
      </c>
      <c r="G628" t="str">
        <f t="shared" si="45"/>
        <v>Insert into BlueCreditTypeRainbow Values (5, 0, 5, 24.9, 45, 0.0313749313552747)</v>
      </c>
      <c r="N628" s="4">
        <v>625</v>
      </c>
      <c r="O628" s="8">
        <f>$B$7*COUNTIF(Sheet2!$B$1:$B$132,N628)</f>
        <v>0</v>
      </c>
      <c r="P628" s="8">
        <f t="shared" ca="1" si="43"/>
        <v>0</v>
      </c>
      <c r="Q628" s="8">
        <f ca="1">CEILING(R627*(IF(N628&lt;=IF($B$2=0,0,OFFSET(Sheet2!$B$1,Sheet1!$B$2-1,0)),$B$1/(365*100),$B$3/(365*100)))*100,1)/100</f>
        <v>330.57</v>
      </c>
      <c r="R628" s="9">
        <f t="shared" ca="1" si="44"/>
        <v>810097.64952870703</v>
      </c>
    </row>
    <row r="629" spans="1:18" x14ac:dyDescent="0.25">
      <c r="A629">
        <v>5</v>
      </c>
      <c r="B629">
        <v>0</v>
      </c>
      <c r="C629">
        <v>5</v>
      </c>
      <c r="D629">
        <v>24.9</v>
      </c>
      <c r="E629">
        <v>46</v>
      </c>
      <c r="F629">
        <v>3.096076478260874E-2</v>
      </c>
      <c r="G629" t="str">
        <f t="shared" si="45"/>
        <v>Insert into BlueCreditTypeRainbow Values (5, 0, 5, 24.9, 46, 0.0309607647826087)</v>
      </c>
      <c r="N629" s="4">
        <v>626</v>
      </c>
      <c r="O629" s="8">
        <f>$B$7*COUNTIF(Sheet2!$B$1:$B$132,N629)</f>
        <v>0</v>
      </c>
      <c r="P629" s="8">
        <f t="shared" ca="1" si="43"/>
        <v>0</v>
      </c>
      <c r="Q629" s="8">
        <f ca="1">CEILING(R628*(IF(N629&lt;=IF($B$2=0,0,OFFSET(Sheet2!$B$1,Sheet1!$B$2-1,0)),$B$1/(365*100),$B$3/(365*100)))*100,1)/100</f>
        <v>330.7</v>
      </c>
      <c r="R629" s="9">
        <f t="shared" ca="1" si="44"/>
        <v>810428.34952870698</v>
      </c>
    </row>
    <row r="630" spans="1:18" x14ac:dyDescent="0.25">
      <c r="A630">
        <v>5</v>
      </c>
      <c r="B630">
        <v>0</v>
      </c>
      <c r="C630">
        <v>5</v>
      </c>
      <c r="D630">
        <v>24.9</v>
      </c>
      <c r="E630">
        <v>47</v>
      </c>
      <c r="F630">
        <v>3.0565719574468131E-2</v>
      </c>
      <c r="G630" t="str">
        <f t="shared" si="45"/>
        <v>Insert into BlueCreditTypeRainbow Values (5, 0, 5, 24.9, 47, 0.0305657195744681)</v>
      </c>
      <c r="N630" s="4">
        <v>627</v>
      </c>
      <c r="O630" s="8">
        <f>$B$7*COUNTIF(Sheet2!$B$1:$B$132,N630)</f>
        <v>0</v>
      </c>
      <c r="P630" s="8">
        <f t="shared" ca="1" si="43"/>
        <v>0</v>
      </c>
      <c r="Q630" s="8">
        <f ca="1">CEILING(R629*(IF(N630&lt;=IF($B$2=0,0,OFFSET(Sheet2!$B$1,Sheet1!$B$2-1,0)),$B$1/(365*100),$B$3/(365*100)))*100,1)/100</f>
        <v>330.84</v>
      </c>
      <c r="R630" s="9">
        <f t="shared" ca="1" si="44"/>
        <v>810759.18952870695</v>
      </c>
    </row>
    <row r="631" spans="1:18" x14ac:dyDescent="0.25">
      <c r="A631">
        <v>5</v>
      </c>
      <c r="B631">
        <v>0</v>
      </c>
      <c r="C631">
        <v>5</v>
      </c>
      <c r="D631">
        <v>24.9</v>
      </c>
      <c r="E631">
        <v>48</v>
      </c>
      <c r="F631">
        <v>3.018833227459403E-2</v>
      </c>
      <c r="G631" t="str">
        <f t="shared" si="45"/>
        <v>Insert into BlueCreditTypeRainbow Values (5, 0, 5, 24.9, 48, 0.030188332274594)</v>
      </c>
      <c r="N631" s="4">
        <v>628</v>
      </c>
      <c r="O631" s="8">
        <f>$B$7*COUNTIF(Sheet2!$B$1:$B$132,N631)</f>
        <v>0</v>
      </c>
      <c r="P631" s="8">
        <f t="shared" ca="1" si="43"/>
        <v>0</v>
      </c>
      <c r="Q631" s="8">
        <f ca="1">CEILING(R630*(IF(N631&lt;=IF($B$2=0,0,OFFSET(Sheet2!$B$1,Sheet1!$B$2-1,0)),$B$1/(365*100),$B$3/(365*100)))*100,1)/100</f>
        <v>330.97</v>
      </c>
      <c r="R631" s="9">
        <f t="shared" ca="1" si="44"/>
        <v>811090.15952870692</v>
      </c>
    </row>
    <row r="632" spans="1:18" x14ac:dyDescent="0.25">
      <c r="A632">
        <v>5</v>
      </c>
      <c r="B632">
        <v>0</v>
      </c>
      <c r="C632">
        <v>5</v>
      </c>
      <c r="D632">
        <v>24.9</v>
      </c>
      <c r="E632">
        <v>49</v>
      </c>
      <c r="F632">
        <v>2.982775258955819E-2</v>
      </c>
      <c r="G632" t="str">
        <f t="shared" si="45"/>
        <v>Insert into BlueCreditTypeRainbow Values (5, 0, 5, 24.9, 49, 0.0298277525895582)</v>
      </c>
      <c r="N632" s="4">
        <v>629</v>
      </c>
      <c r="O632" s="8">
        <f>$B$7*COUNTIF(Sheet2!$B$1:$B$132,N632)</f>
        <v>0</v>
      </c>
      <c r="P632" s="8">
        <f t="shared" ca="1" si="43"/>
        <v>0</v>
      </c>
      <c r="Q632" s="8">
        <f ca="1">CEILING(R631*(IF(N632&lt;=IF($B$2=0,0,OFFSET(Sheet2!$B$1,Sheet1!$B$2-1,0)),$B$1/(365*100),$B$3/(365*100)))*100,1)/100</f>
        <v>331.11</v>
      </c>
      <c r="R632" s="9">
        <f t="shared" ca="1" si="44"/>
        <v>811421.26952870691</v>
      </c>
    </row>
    <row r="633" spans="1:18" x14ac:dyDescent="0.25">
      <c r="A633">
        <v>5</v>
      </c>
      <c r="B633">
        <v>0</v>
      </c>
      <c r="C633">
        <v>5</v>
      </c>
      <c r="D633">
        <v>24.9</v>
      </c>
      <c r="E633">
        <v>50</v>
      </c>
      <c r="F633">
        <v>2.9482975418292662E-2</v>
      </c>
      <c r="G633" t="str">
        <f t="shared" si="45"/>
        <v>Insert into BlueCreditTypeRainbow Values (5, 0, 5, 24.9, 50, 0.0294829754182927)</v>
      </c>
      <c r="N633" s="4">
        <v>630</v>
      </c>
      <c r="O633" s="8">
        <f>$B$7*COUNTIF(Sheet2!$B$1:$B$132,N633)</f>
        <v>0</v>
      </c>
      <c r="P633" s="8">
        <f t="shared" ca="1" si="43"/>
        <v>0</v>
      </c>
      <c r="Q633" s="8">
        <f ca="1">CEILING(R632*(IF(N633&lt;=IF($B$2=0,0,OFFSET(Sheet2!$B$1,Sheet1!$B$2-1,0)),$B$1/(365*100),$B$3/(365*100)))*100,1)/100</f>
        <v>331.24</v>
      </c>
      <c r="R633" s="9">
        <f t="shared" ca="1" si="44"/>
        <v>811752.5095287069</v>
      </c>
    </row>
    <row r="634" spans="1:18" x14ac:dyDescent="0.25">
      <c r="A634">
        <v>5</v>
      </c>
      <c r="B634">
        <v>0</v>
      </c>
      <c r="C634">
        <v>5</v>
      </c>
      <c r="D634">
        <v>24.9</v>
      </c>
      <c r="E634">
        <v>51</v>
      </c>
      <c r="F634">
        <v>2.9152818247840148E-2</v>
      </c>
      <c r="G634" t="str">
        <f t="shared" si="45"/>
        <v>Insert into BlueCreditTypeRainbow Values (5, 0, 5, 24.9, 51, 0.0291528182478401)</v>
      </c>
      <c r="N634" s="4">
        <v>631</v>
      </c>
      <c r="O634" s="8">
        <f>$B$7*COUNTIF(Sheet2!$B$1:$B$132,N634)</f>
        <v>0</v>
      </c>
      <c r="P634" s="8">
        <f t="shared" ca="1" si="43"/>
        <v>0</v>
      </c>
      <c r="Q634" s="8">
        <f ca="1">CEILING(R633*(IF(N634&lt;=IF($B$2=0,0,OFFSET(Sheet2!$B$1,Sheet1!$B$2-1,0)),$B$1/(365*100),$B$3/(365*100)))*100,1)/100</f>
        <v>331.38</v>
      </c>
      <c r="R634" s="9">
        <f t="shared" ca="1" si="44"/>
        <v>812083.8895287069</v>
      </c>
    </row>
    <row r="635" spans="1:18" x14ac:dyDescent="0.25">
      <c r="A635">
        <v>5</v>
      </c>
      <c r="B635">
        <v>0</v>
      </c>
      <c r="C635">
        <v>5</v>
      </c>
      <c r="D635">
        <v>24.9</v>
      </c>
      <c r="E635">
        <v>52</v>
      </c>
      <c r="F635">
        <v>2.8836651538461558E-2</v>
      </c>
      <c r="G635" t="str">
        <f t="shared" si="45"/>
        <v>Insert into BlueCreditTypeRainbow Values (5, 0, 5, 24.9, 52, 0.0288366515384616)</v>
      </c>
      <c r="N635" s="4">
        <v>632</v>
      </c>
      <c r="O635" s="8">
        <f>$B$7*COUNTIF(Sheet2!$B$1:$B$132,N635)</f>
        <v>0</v>
      </c>
      <c r="P635" s="8">
        <f t="shared" ca="1" si="43"/>
        <v>0</v>
      </c>
      <c r="Q635" s="8">
        <f ca="1">CEILING(R634*(IF(N635&lt;=IF($B$2=0,0,OFFSET(Sheet2!$B$1,Sheet1!$B$2-1,0)),$B$1/(365*100),$B$3/(365*100)))*100,1)/100</f>
        <v>331.51</v>
      </c>
      <c r="R635" s="9">
        <f t="shared" ca="1" si="44"/>
        <v>812415.39952870691</v>
      </c>
    </row>
    <row r="636" spans="1:18" x14ac:dyDescent="0.25">
      <c r="A636">
        <v>5</v>
      </c>
      <c r="B636">
        <v>0</v>
      </c>
      <c r="C636">
        <v>5</v>
      </c>
      <c r="D636">
        <v>24.9</v>
      </c>
      <c r="E636">
        <v>53</v>
      </c>
      <c r="F636">
        <v>2.8533473884337291E-2</v>
      </c>
      <c r="G636" t="str">
        <f t="shared" si="45"/>
        <v>Insert into BlueCreditTypeRainbow Values (5, 0, 5, 24.9, 53, 0.0285334738843373)</v>
      </c>
      <c r="N636" s="4">
        <v>633</v>
      </c>
      <c r="O636" s="8">
        <f>$B$7*COUNTIF(Sheet2!$B$1:$B$132,N636)</f>
        <v>0</v>
      </c>
      <c r="P636" s="8">
        <f t="shared" ca="1" si="43"/>
        <v>0</v>
      </c>
      <c r="Q636" s="8">
        <f ca="1">CEILING(R635*(IF(N636&lt;=IF($B$2=0,0,OFFSET(Sheet2!$B$1,Sheet1!$B$2-1,0)),$B$1/(365*100),$B$3/(365*100)))*100,1)/100</f>
        <v>331.65</v>
      </c>
      <c r="R636" s="9">
        <f t="shared" ca="1" si="44"/>
        <v>812747.04952870694</v>
      </c>
    </row>
    <row r="637" spans="1:18" x14ac:dyDescent="0.25">
      <c r="A637">
        <v>5</v>
      </c>
      <c r="B637">
        <v>0</v>
      </c>
      <c r="C637">
        <v>5</v>
      </c>
      <c r="D637">
        <v>24.9</v>
      </c>
      <c r="E637">
        <v>54</v>
      </c>
      <c r="F637">
        <v>2.8242553888888858E-2</v>
      </c>
      <c r="G637" t="str">
        <f t="shared" si="45"/>
        <v>Insert into BlueCreditTypeRainbow Values (5, 0, 5, 24.9, 54, 0.0282425538888889)</v>
      </c>
      <c r="N637" s="4">
        <v>634</v>
      </c>
      <c r="O637" s="8">
        <f>$B$7*COUNTIF(Sheet2!$B$1:$B$132,N637)</f>
        <v>0</v>
      </c>
      <c r="P637" s="8">
        <f t="shared" ca="1" si="43"/>
        <v>0</v>
      </c>
      <c r="Q637" s="8">
        <f ca="1">CEILING(R636*(IF(N637&lt;=IF($B$2=0,0,OFFSET(Sheet2!$B$1,Sheet1!$B$2-1,0)),$B$1/(365*100),$B$3/(365*100)))*100,1)/100</f>
        <v>331.78</v>
      </c>
      <c r="R637" s="9">
        <f t="shared" ca="1" si="44"/>
        <v>813078.82952870696</v>
      </c>
    </row>
    <row r="638" spans="1:18" x14ac:dyDescent="0.25">
      <c r="A638">
        <v>5</v>
      </c>
      <c r="B638">
        <v>0</v>
      </c>
      <c r="C638">
        <v>4</v>
      </c>
      <c r="D638">
        <v>24.9</v>
      </c>
      <c r="E638">
        <v>42</v>
      </c>
      <c r="F638">
        <v>3.33313135714286E-2</v>
      </c>
      <c r="G638" t="str">
        <f t="shared" si="45"/>
        <v>Insert into BlueCreditTypeRainbow Values (5, 0, 4, 24.9, 42, 0.0333313135714286)</v>
      </c>
      <c r="N638" s="4">
        <v>635</v>
      </c>
      <c r="O638" s="8">
        <f>$B$7*COUNTIF(Sheet2!$B$1:$B$132,N638)</f>
        <v>0</v>
      </c>
      <c r="P638" s="8">
        <f t="shared" ca="1" si="43"/>
        <v>0</v>
      </c>
      <c r="Q638" s="8">
        <f ca="1">CEILING(R637*(IF(N638&lt;=IF($B$2=0,0,OFFSET(Sheet2!$B$1,Sheet1!$B$2-1,0)),$B$1/(365*100),$B$3/(365*100)))*100,1)/100</f>
        <v>331.92</v>
      </c>
      <c r="R638" s="9">
        <f t="shared" ca="1" si="44"/>
        <v>813410.74952870701</v>
      </c>
    </row>
    <row r="639" spans="1:18" x14ac:dyDescent="0.25">
      <c r="A639">
        <v>5</v>
      </c>
      <c r="B639">
        <v>0</v>
      </c>
      <c r="C639">
        <v>4</v>
      </c>
      <c r="D639">
        <v>24.9</v>
      </c>
      <c r="E639">
        <v>43</v>
      </c>
      <c r="F639">
        <v>3.2844721886062828E-2</v>
      </c>
      <c r="G639" t="str">
        <f t="shared" si="45"/>
        <v>Insert into BlueCreditTypeRainbow Values (5, 0, 4, 24.9, 43, 0.0328447218860628)</v>
      </c>
      <c r="N639" s="4">
        <v>636</v>
      </c>
      <c r="O639" s="8">
        <f>$B$7*COUNTIF(Sheet2!$B$1:$B$132,N639)</f>
        <v>0</v>
      </c>
      <c r="P639" s="8">
        <f t="shared" ca="1" si="43"/>
        <v>0</v>
      </c>
      <c r="Q639" s="8">
        <f ca="1">CEILING(R638*(IF(N639&lt;=IF($B$2=0,0,OFFSET(Sheet2!$B$1,Sheet1!$B$2-1,0)),$B$1/(365*100),$B$3/(365*100)))*100,1)/100</f>
        <v>332.05</v>
      </c>
      <c r="R639" s="9">
        <f t="shared" ca="1" si="44"/>
        <v>813742.79952870705</v>
      </c>
    </row>
    <row r="640" spans="1:18" x14ac:dyDescent="0.25">
      <c r="A640">
        <v>5</v>
      </c>
      <c r="B640">
        <v>0</v>
      </c>
      <c r="C640">
        <v>4</v>
      </c>
      <c r="D640">
        <v>24.9</v>
      </c>
      <c r="E640">
        <v>44</v>
      </c>
      <c r="F640">
        <v>3.2381568657240373E-2</v>
      </c>
      <c r="G640" t="str">
        <f t="shared" si="45"/>
        <v>Insert into BlueCreditTypeRainbow Values (5, 0, 4, 24.9, 44, 0.0323815686572404)</v>
      </c>
      <c r="N640" s="4">
        <v>637</v>
      </c>
      <c r="O640" s="8">
        <f>$B$7*COUNTIF(Sheet2!$B$1:$B$132,N640)</f>
        <v>0</v>
      </c>
      <c r="P640" s="8">
        <f t="shared" ca="1" si="43"/>
        <v>0</v>
      </c>
      <c r="Q640" s="8">
        <f ca="1">CEILING(R639*(IF(N640&lt;=IF($B$2=0,0,OFFSET(Sheet2!$B$1,Sheet1!$B$2-1,0)),$B$1/(365*100),$B$3/(365*100)))*100,1)/100</f>
        <v>332.19</v>
      </c>
      <c r="R640" s="9">
        <f t="shared" ca="1" si="44"/>
        <v>814074.989528707</v>
      </c>
    </row>
    <row r="641" spans="1:18" x14ac:dyDescent="0.25">
      <c r="A641">
        <v>5</v>
      </c>
      <c r="B641">
        <v>0</v>
      </c>
      <c r="C641">
        <v>4</v>
      </c>
      <c r="D641">
        <v>24.9</v>
      </c>
      <c r="E641">
        <v>45</v>
      </c>
      <c r="F641">
        <v>3.1940586583047492E-2</v>
      </c>
      <c r="G641" t="str">
        <f t="shared" si="45"/>
        <v>Insert into BlueCreditTypeRainbow Values (5, 0, 4, 24.9, 45, 0.0319405865830475)</v>
      </c>
      <c r="N641" s="4">
        <v>638</v>
      </c>
      <c r="O641" s="8">
        <f>$B$7*COUNTIF(Sheet2!$B$1:$B$132,N641)</f>
        <v>0</v>
      </c>
      <c r="P641" s="8">
        <f t="shared" ca="1" si="43"/>
        <v>0</v>
      </c>
      <c r="Q641" s="8">
        <f ca="1">CEILING(R640*(IF(N641&lt;=IF($B$2=0,0,OFFSET(Sheet2!$B$1,Sheet1!$B$2-1,0)),$B$1/(365*100),$B$3/(365*100)))*100,1)/100</f>
        <v>332.33</v>
      </c>
      <c r="R641" s="9">
        <f t="shared" ca="1" si="44"/>
        <v>814407.31952870695</v>
      </c>
    </row>
    <row r="642" spans="1:18" x14ac:dyDescent="0.25">
      <c r="A642">
        <v>5</v>
      </c>
      <c r="B642">
        <v>0</v>
      </c>
      <c r="C642">
        <v>4</v>
      </c>
      <c r="D642">
        <v>24.9</v>
      </c>
      <c r="E642">
        <v>46</v>
      </c>
      <c r="F642">
        <v>3.1520027837016504E-2</v>
      </c>
      <c r="G642" t="str">
        <f t="shared" si="45"/>
        <v>Insert into BlueCreditTypeRainbow Values (5, 0, 4, 24.9, 46, 0.0315200278370165)</v>
      </c>
      <c r="N642" s="4">
        <v>639</v>
      </c>
      <c r="O642" s="8">
        <f>$B$7*COUNTIF(Sheet2!$B$1:$B$132,N642)</f>
        <v>0</v>
      </c>
      <c r="P642" s="8">
        <f t="shared" ca="1" si="43"/>
        <v>0</v>
      </c>
      <c r="Q642" s="8">
        <f ca="1">CEILING(R641*(IF(N642&lt;=IF($B$2=0,0,OFFSET(Sheet2!$B$1,Sheet1!$B$2-1,0)),$B$1/(365*100),$B$3/(365*100)))*100,1)/100</f>
        <v>332.46</v>
      </c>
      <c r="R642" s="9">
        <f t="shared" ca="1" si="44"/>
        <v>814739.77952870692</v>
      </c>
    </row>
    <row r="643" spans="1:18" x14ac:dyDescent="0.25">
      <c r="A643">
        <v>5</v>
      </c>
      <c r="B643">
        <v>0</v>
      </c>
      <c r="C643">
        <v>4</v>
      </c>
      <c r="D643">
        <v>24.9</v>
      </c>
      <c r="E643">
        <v>47</v>
      </c>
      <c r="F643">
        <v>3.1118859594967931E-2</v>
      </c>
      <c r="G643" t="str">
        <f t="shared" si="45"/>
        <v>Insert into BlueCreditTypeRainbow Values (5, 0, 4, 24.9, 47, 0.0311188595949679)</v>
      </c>
      <c r="N643" s="4">
        <v>640</v>
      </c>
      <c r="O643" s="8">
        <f>$B$7*COUNTIF(Sheet2!$B$1:$B$132,N643)</f>
        <v>21157.10552356458</v>
      </c>
      <c r="P643" s="8">
        <f t="shared" ca="1" si="43"/>
        <v>20824.505523564581</v>
      </c>
      <c r="Q643" s="8">
        <f ca="1">CEILING(R642*(IF(N643&lt;=IF($B$2=0,0,OFFSET(Sheet2!$B$1,Sheet1!$B$2-1,0)),$B$1/(365*100),$B$3/(365*100)))*100,1)/100</f>
        <v>332.6</v>
      </c>
      <c r="R643" s="9">
        <f t="shared" ca="1" si="44"/>
        <v>793915.27400514227</v>
      </c>
    </row>
    <row r="644" spans="1:18" x14ac:dyDescent="0.25">
      <c r="A644">
        <v>5</v>
      </c>
      <c r="B644">
        <v>0</v>
      </c>
      <c r="C644">
        <v>4</v>
      </c>
      <c r="D644">
        <v>24.9</v>
      </c>
      <c r="E644">
        <v>48</v>
      </c>
      <c r="F644">
        <v>3.0735594599115634E-2</v>
      </c>
      <c r="G644" t="str">
        <f t="shared" si="45"/>
        <v>Insert into BlueCreditTypeRainbow Values (5, 0, 4, 24.9, 48, 0.0307355945991156)</v>
      </c>
      <c r="N644" s="4">
        <v>641</v>
      </c>
      <c r="O644" s="8">
        <f>$B$7*COUNTIF(Sheet2!$B$1:$B$132,N644)</f>
        <v>0</v>
      </c>
      <c r="P644" s="8">
        <f t="shared" ca="1" si="43"/>
        <v>0</v>
      </c>
      <c r="Q644" s="8">
        <f ca="1">CEILING(R643*(IF(N644&lt;=IF($B$2=0,0,OFFSET(Sheet2!$B$1,Sheet1!$B$2-1,0)),$B$1/(365*100),$B$3/(365*100)))*100,1)/100</f>
        <v>324.10000000000002</v>
      </c>
      <c r="R644" s="9">
        <f t="shared" ca="1" si="44"/>
        <v>794239.37400514225</v>
      </c>
    </row>
    <row r="645" spans="1:18" x14ac:dyDescent="0.25">
      <c r="A645">
        <v>5</v>
      </c>
      <c r="B645">
        <v>0</v>
      </c>
      <c r="C645">
        <v>4</v>
      </c>
      <c r="D645">
        <v>24.9</v>
      </c>
      <c r="E645">
        <v>49</v>
      </c>
      <c r="F645">
        <v>3.0369388980553854E-2</v>
      </c>
      <c r="G645" t="str">
        <f t="shared" si="45"/>
        <v>Insert into BlueCreditTypeRainbow Values (5, 0, 4, 24.9, 49, 0.0303693889805539)</v>
      </c>
      <c r="N645" s="4">
        <v>642</v>
      </c>
      <c r="O645" s="8">
        <f>$B$7*COUNTIF(Sheet2!$B$1:$B$132,N645)</f>
        <v>0</v>
      </c>
      <c r="P645" s="8">
        <f t="shared" ref="P645:P708" ca="1" si="46">IF(O645-Q645&gt; 0, O645-Q645, 0)</f>
        <v>0</v>
      </c>
      <c r="Q645" s="8">
        <f ca="1">CEILING(R644*(IF(N645&lt;=IF($B$2=0,0,OFFSET(Sheet2!$B$1,Sheet1!$B$2-1,0)),$B$1/(365*100),$B$3/(365*100)))*100,1)/100</f>
        <v>324.23</v>
      </c>
      <c r="R645" s="9">
        <f t="shared" ref="R645:R708" ca="1" si="47">R644+Q645-O645</f>
        <v>794563.60400514223</v>
      </c>
    </row>
    <row r="646" spans="1:18" x14ac:dyDescent="0.25">
      <c r="A646">
        <v>5</v>
      </c>
      <c r="B646">
        <v>0</v>
      </c>
      <c r="C646">
        <v>4</v>
      </c>
      <c r="D646">
        <v>24.9</v>
      </c>
      <c r="E646">
        <v>50</v>
      </c>
      <c r="F646">
        <v>3.0019198607001436E-2</v>
      </c>
      <c r="G646" t="str">
        <f t="shared" si="45"/>
        <v>Insert into BlueCreditTypeRainbow Values (5, 0, 4, 24.9, 50, 0.0300191986070014)</v>
      </c>
      <c r="N646" s="4">
        <v>643</v>
      </c>
      <c r="O646" s="8">
        <f>$B$7*COUNTIF(Sheet2!$B$1:$B$132,N646)</f>
        <v>0</v>
      </c>
      <c r="P646" s="8">
        <f t="shared" ca="1" si="46"/>
        <v>0</v>
      </c>
      <c r="Q646" s="8">
        <f ca="1">CEILING(R645*(IF(N646&lt;=IF($B$2=0,0,OFFSET(Sheet2!$B$1,Sheet1!$B$2-1,0)),$B$1/(365*100),$B$3/(365*100)))*100,1)/100</f>
        <v>324.36</v>
      </c>
      <c r="R646" s="9">
        <f t="shared" ca="1" si="47"/>
        <v>794887.96400514222</v>
      </c>
    </row>
    <row r="647" spans="1:18" x14ac:dyDescent="0.25">
      <c r="A647">
        <v>5</v>
      </c>
      <c r="B647">
        <v>0</v>
      </c>
      <c r="C647">
        <v>4</v>
      </c>
      <c r="D647">
        <v>24.9</v>
      </c>
      <c r="E647">
        <v>51</v>
      </c>
      <c r="F647">
        <v>2.9683846263062443E-2</v>
      </c>
      <c r="G647" t="str">
        <f t="shared" si="45"/>
        <v>Insert into BlueCreditTypeRainbow Values (5, 0, 4, 24.9, 51, 0.0296838462630624)</v>
      </c>
      <c r="N647" s="4">
        <v>644</v>
      </c>
      <c r="O647" s="8">
        <f>$B$7*COUNTIF(Sheet2!$B$1:$B$132,N647)</f>
        <v>0</v>
      </c>
      <c r="P647" s="8">
        <f t="shared" ca="1" si="46"/>
        <v>0</v>
      </c>
      <c r="Q647" s="8">
        <f ca="1">CEILING(R646*(IF(N647&lt;=IF($B$2=0,0,OFFSET(Sheet2!$B$1,Sheet1!$B$2-1,0)),$B$1/(365*100),$B$3/(365*100)))*100,1)/100</f>
        <v>324.49</v>
      </c>
      <c r="R647" s="9">
        <f t="shared" ca="1" si="47"/>
        <v>795212.45400514221</v>
      </c>
    </row>
    <row r="648" spans="1:18" x14ac:dyDescent="0.25">
      <c r="A648">
        <v>5</v>
      </c>
      <c r="B648">
        <v>0</v>
      </c>
      <c r="C648">
        <v>4</v>
      </c>
      <c r="D648">
        <v>24.9</v>
      </c>
      <c r="E648">
        <v>52</v>
      </c>
      <c r="F648">
        <v>2.936268611622957E-2</v>
      </c>
      <c r="G648" t="str">
        <f t="shared" si="45"/>
        <v>Insert into BlueCreditTypeRainbow Values (5, 0, 4, 24.9, 52, 0.0293626861162296)</v>
      </c>
      <c r="N648" s="4">
        <v>645</v>
      </c>
      <c r="O648" s="8">
        <f>$B$7*COUNTIF(Sheet2!$B$1:$B$132,N648)</f>
        <v>0</v>
      </c>
      <c r="P648" s="8">
        <f t="shared" ca="1" si="46"/>
        <v>0</v>
      </c>
      <c r="Q648" s="8">
        <f ca="1">CEILING(R647*(IF(N648&lt;=IF($B$2=0,0,OFFSET(Sheet2!$B$1,Sheet1!$B$2-1,0)),$B$1/(365*100),$B$3/(365*100)))*100,1)/100</f>
        <v>324.63</v>
      </c>
      <c r="R648" s="9">
        <f t="shared" ca="1" si="47"/>
        <v>795537.08400514221</v>
      </c>
    </row>
    <row r="649" spans="1:18" x14ac:dyDescent="0.25">
      <c r="A649">
        <v>5</v>
      </c>
      <c r="B649">
        <v>0</v>
      </c>
      <c r="C649">
        <v>4</v>
      </c>
      <c r="D649">
        <v>24.9</v>
      </c>
      <c r="E649">
        <v>53</v>
      </c>
      <c r="F649">
        <v>2.9054704358154677E-2</v>
      </c>
      <c r="G649" t="str">
        <f t="shared" si="45"/>
        <v>Insert into BlueCreditTypeRainbow Values (5, 0, 4, 24.9, 53, 0.0290547043581547)</v>
      </c>
      <c r="N649" s="4">
        <v>646</v>
      </c>
      <c r="O649" s="8">
        <f>$B$7*COUNTIF(Sheet2!$B$1:$B$132,N649)</f>
        <v>0</v>
      </c>
      <c r="P649" s="8">
        <f t="shared" ca="1" si="46"/>
        <v>0</v>
      </c>
      <c r="Q649" s="8">
        <f ca="1">CEILING(R648*(IF(N649&lt;=IF($B$2=0,0,OFFSET(Sheet2!$B$1,Sheet1!$B$2-1,0)),$B$1/(365*100),$B$3/(365*100)))*100,1)/100</f>
        <v>324.76</v>
      </c>
      <c r="R649" s="9">
        <f t="shared" ca="1" si="47"/>
        <v>795861.84400514222</v>
      </c>
    </row>
    <row r="650" spans="1:18" x14ac:dyDescent="0.25">
      <c r="A650">
        <v>5</v>
      </c>
      <c r="B650">
        <v>0</v>
      </c>
      <c r="C650">
        <v>4</v>
      </c>
      <c r="D650">
        <v>24.9</v>
      </c>
      <c r="E650">
        <v>54</v>
      </c>
      <c r="F650">
        <v>2.8759157409626798E-2</v>
      </c>
      <c r="G650" t="str">
        <f t="shared" si="45"/>
        <v>Insert into BlueCreditTypeRainbow Values (5, 0, 4, 24.9, 54, 0.0287591574096268)</v>
      </c>
      <c r="N650" s="4">
        <v>647</v>
      </c>
      <c r="O650" s="8">
        <f>$B$7*COUNTIF(Sheet2!$B$1:$B$132,N650)</f>
        <v>0</v>
      </c>
      <c r="P650" s="8">
        <f t="shared" ca="1" si="46"/>
        <v>0</v>
      </c>
      <c r="Q650" s="8">
        <f ca="1">CEILING(R649*(IF(N650&lt;=IF($B$2=0,0,OFFSET(Sheet2!$B$1,Sheet1!$B$2-1,0)),$B$1/(365*100),$B$3/(365*100)))*100,1)/100</f>
        <v>324.89</v>
      </c>
      <c r="R650" s="9">
        <f t="shared" ca="1" si="47"/>
        <v>796186.73400514224</v>
      </c>
    </row>
    <row r="651" spans="1:18" x14ac:dyDescent="0.25">
      <c r="A651">
        <v>5</v>
      </c>
      <c r="B651">
        <v>0</v>
      </c>
      <c r="C651">
        <v>3</v>
      </c>
      <c r="D651">
        <v>24.9</v>
      </c>
      <c r="E651">
        <v>42</v>
      </c>
      <c r="F651">
        <v>3.3970894285714336E-2</v>
      </c>
      <c r="G651" t="str">
        <f t="shared" si="45"/>
        <v>Insert into BlueCreditTypeRainbow Values (5, 0, 3, 24.9, 42, 0.0339708942857143)</v>
      </c>
      <c r="N651" s="4">
        <v>648</v>
      </c>
      <c r="O651" s="8">
        <f>$B$7*COUNTIF(Sheet2!$B$1:$B$132,N651)</f>
        <v>0</v>
      </c>
      <c r="P651" s="8">
        <f t="shared" ca="1" si="46"/>
        <v>0</v>
      </c>
      <c r="Q651" s="8">
        <f ca="1">CEILING(R650*(IF(N651&lt;=IF($B$2=0,0,OFFSET(Sheet2!$B$1,Sheet1!$B$2-1,0)),$B$1/(365*100),$B$3/(365*100)))*100,1)/100</f>
        <v>325.02</v>
      </c>
      <c r="R651" s="9">
        <f t="shared" ca="1" si="47"/>
        <v>796511.75400514225</v>
      </c>
    </row>
    <row r="652" spans="1:18" x14ac:dyDescent="0.25">
      <c r="A652">
        <v>5</v>
      </c>
      <c r="B652">
        <v>0</v>
      </c>
      <c r="C652">
        <v>3</v>
      </c>
      <c r="D652">
        <v>24.9</v>
      </c>
      <c r="E652">
        <v>43</v>
      </c>
      <c r="F652">
        <v>3.3475999730349947E-2</v>
      </c>
      <c r="G652" t="str">
        <f t="shared" si="45"/>
        <v>Insert into BlueCreditTypeRainbow Values (5, 0, 3, 24.9, 43, 0.0334759997303499)</v>
      </c>
      <c r="N652" s="4">
        <v>649</v>
      </c>
      <c r="O652" s="8">
        <f>$B$7*COUNTIF(Sheet2!$B$1:$B$132,N652)</f>
        <v>0</v>
      </c>
      <c r="P652" s="8">
        <f t="shared" ca="1" si="46"/>
        <v>0</v>
      </c>
      <c r="Q652" s="8">
        <f ca="1">CEILING(R651*(IF(N652&lt;=IF($B$2=0,0,OFFSET(Sheet2!$B$1,Sheet1!$B$2-1,0)),$B$1/(365*100),$B$3/(365*100)))*100,1)/100</f>
        <v>325.16000000000003</v>
      </c>
      <c r="R652" s="9">
        <f t="shared" ca="1" si="47"/>
        <v>796836.91400514229</v>
      </c>
    </row>
    <row r="653" spans="1:18" x14ac:dyDescent="0.25">
      <c r="A653">
        <v>5</v>
      </c>
      <c r="B653">
        <v>0</v>
      </c>
      <c r="C653">
        <v>3</v>
      </c>
      <c r="D653">
        <v>24.9</v>
      </c>
      <c r="E653">
        <v>44</v>
      </c>
      <c r="F653">
        <v>3.3004925681818231E-2</v>
      </c>
      <c r="G653" t="str">
        <f t="shared" si="45"/>
        <v>Insert into BlueCreditTypeRainbow Values (5, 0, 3, 24.9, 44, 0.0330049256818182)</v>
      </c>
      <c r="N653" s="4">
        <v>650</v>
      </c>
      <c r="O653" s="8">
        <f>$B$7*COUNTIF(Sheet2!$B$1:$B$132,N653)</f>
        <v>0</v>
      </c>
      <c r="P653" s="8">
        <f t="shared" ca="1" si="46"/>
        <v>0</v>
      </c>
      <c r="Q653" s="8">
        <f ca="1">CEILING(R652*(IF(N653&lt;=IF($B$2=0,0,OFFSET(Sheet2!$B$1,Sheet1!$B$2-1,0)),$B$1/(365*100),$B$3/(365*100)))*100,1)/100</f>
        <v>325.29000000000002</v>
      </c>
      <c r="R653" s="9">
        <f t="shared" ca="1" si="47"/>
        <v>797162.20400514232</v>
      </c>
    </row>
    <row r="654" spans="1:18" x14ac:dyDescent="0.25">
      <c r="A654">
        <v>5</v>
      </c>
      <c r="B654">
        <v>0</v>
      </c>
      <c r="C654">
        <v>3</v>
      </c>
      <c r="D654">
        <v>24.9</v>
      </c>
      <c r="E654">
        <v>45</v>
      </c>
      <c r="F654">
        <v>3.2556365798764128E-2</v>
      </c>
      <c r="G654" t="str">
        <f t="shared" si="45"/>
        <v>Insert into BlueCreditTypeRainbow Values (5, 0, 3, 24.9, 45, 0.0325563657987641)</v>
      </c>
      <c r="N654" s="4">
        <v>651</v>
      </c>
      <c r="O654" s="8">
        <f>$B$7*COUNTIF(Sheet2!$B$1:$B$132,N654)</f>
        <v>0</v>
      </c>
      <c r="P654" s="8">
        <f t="shared" ca="1" si="46"/>
        <v>0</v>
      </c>
      <c r="Q654" s="8">
        <f ca="1">CEILING(R653*(IF(N654&lt;=IF($B$2=0,0,OFFSET(Sheet2!$B$1,Sheet1!$B$2-1,0)),$B$1/(365*100),$B$3/(365*100)))*100,1)/100</f>
        <v>325.42</v>
      </c>
      <c r="R654" s="9">
        <f t="shared" ca="1" si="47"/>
        <v>797487.62400514237</v>
      </c>
    </row>
    <row r="655" spans="1:18" x14ac:dyDescent="0.25">
      <c r="A655">
        <v>5</v>
      </c>
      <c r="B655">
        <v>0</v>
      </c>
      <c r="C655">
        <v>3</v>
      </c>
      <c r="D655">
        <v>24.9</v>
      </c>
      <c r="E655">
        <v>46</v>
      </c>
      <c r="F655">
        <v>3.2128568496675315E-2</v>
      </c>
      <c r="G655" t="str">
        <f t="shared" ref="G655:G718" si="48">CONCATENATE("Insert into BlueCreditTypeRainbow Values (",A655,", ",B655,", ",C655,", ",D655,", ",E655,", ",F655,")")</f>
        <v>Insert into BlueCreditTypeRainbow Values (5, 0, 3, 24.9, 46, 0.0321285684966753)</v>
      </c>
      <c r="N655" s="4">
        <v>652</v>
      </c>
      <c r="O655" s="8">
        <f>$B$7*COUNTIF(Sheet2!$B$1:$B$132,N655)</f>
        <v>0</v>
      </c>
      <c r="P655" s="8">
        <f t="shared" ca="1" si="46"/>
        <v>0</v>
      </c>
      <c r="Q655" s="8">
        <f ca="1">CEILING(R654*(IF(N655&lt;=IF($B$2=0,0,OFFSET(Sheet2!$B$1,Sheet1!$B$2-1,0)),$B$1/(365*100),$B$3/(365*100)))*100,1)/100</f>
        <v>325.55</v>
      </c>
      <c r="R655" s="9">
        <f t="shared" ca="1" si="47"/>
        <v>797813.17400514241</v>
      </c>
    </row>
    <row r="656" spans="1:18" x14ac:dyDescent="0.25">
      <c r="A656">
        <v>5</v>
      </c>
      <c r="B656">
        <v>0</v>
      </c>
      <c r="C656">
        <v>3</v>
      </c>
      <c r="D656">
        <v>24.9</v>
      </c>
      <c r="E656">
        <v>47</v>
      </c>
      <c r="F656">
        <v>3.1720472934595491E-2</v>
      </c>
      <c r="G656" t="str">
        <f t="shared" si="48"/>
        <v>Insert into BlueCreditTypeRainbow Values (5, 0, 3, 24.9, 47, 0.0317204729345955)</v>
      </c>
      <c r="N656" s="4">
        <v>653</v>
      </c>
      <c r="O656" s="8">
        <f>$B$7*COUNTIF(Sheet2!$B$1:$B$132,N656)</f>
        <v>0</v>
      </c>
      <c r="P656" s="8">
        <f t="shared" ca="1" si="46"/>
        <v>0</v>
      </c>
      <c r="Q656" s="8">
        <f ca="1">CEILING(R655*(IF(N656&lt;=IF($B$2=0,0,OFFSET(Sheet2!$B$1,Sheet1!$B$2-1,0)),$B$1/(365*100),$B$3/(365*100)))*100,1)/100</f>
        <v>325.69</v>
      </c>
      <c r="R656" s="9">
        <f t="shared" ca="1" si="47"/>
        <v>798138.86400514236</v>
      </c>
    </row>
    <row r="657" spans="1:18" x14ac:dyDescent="0.25">
      <c r="A657">
        <v>5</v>
      </c>
      <c r="B657">
        <v>0</v>
      </c>
      <c r="C657">
        <v>3</v>
      </c>
      <c r="D657">
        <v>24.9</v>
      </c>
      <c r="E657">
        <v>48</v>
      </c>
      <c r="F657">
        <v>3.1330568778142852E-2</v>
      </c>
      <c r="G657" t="str">
        <f t="shared" si="48"/>
        <v>Insert into BlueCreditTypeRainbow Values (5, 0, 3, 24.9, 48, 0.0313305687781429)</v>
      </c>
      <c r="N657" s="4">
        <v>654</v>
      </c>
      <c r="O657" s="8">
        <f>$B$7*COUNTIF(Sheet2!$B$1:$B$132,N657)</f>
        <v>0</v>
      </c>
      <c r="P657" s="8">
        <f t="shared" ca="1" si="46"/>
        <v>0</v>
      </c>
      <c r="Q657" s="8">
        <f ca="1">CEILING(R656*(IF(N657&lt;=IF($B$2=0,0,OFFSET(Sheet2!$B$1,Sheet1!$B$2-1,0)),$B$1/(365*100),$B$3/(365*100)))*100,1)/100</f>
        <v>325.82</v>
      </c>
      <c r="R657" s="9">
        <f t="shared" ca="1" si="47"/>
        <v>798464.68400514231</v>
      </c>
    </row>
    <row r="658" spans="1:18" x14ac:dyDescent="0.25">
      <c r="A658">
        <v>5</v>
      </c>
      <c r="B658">
        <v>0</v>
      </c>
      <c r="C658">
        <v>3</v>
      </c>
      <c r="D658">
        <v>24.9</v>
      </c>
      <c r="E658">
        <v>49</v>
      </c>
      <c r="F658">
        <v>3.0957996142001423E-2</v>
      </c>
      <c r="G658" t="str">
        <f t="shared" si="48"/>
        <v>Insert into BlueCreditTypeRainbow Values (5, 0, 3, 24.9, 49, 0.0309579961420014)</v>
      </c>
      <c r="N658" s="4">
        <v>655</v>
      </c>
      <c r="O658" s="8">
        <f>$B$7*COUNTIF(Sheet2!$B$1:$B$132,N658)</f>
        <v>0</v>
      </c>
      <c r="P658" s="8">
        <f t="shared" ca="1" si="46"/>
        <v>0</v>
      </c>
      <c r="Q658" s="8">
        <f ca="1">CEILING(R657*(IF(N658&lt;=IF($B$2=0,0,OFFSET(Sheet2!$B$1,Sheet1!$B$2-1,0)),$B$1/(365*100),$B$3/(365*100)))*100,1)/100</f>
        <v>325.95</v>
      </c>
      <c r="R658" s="9">
        <f t="shared" ca="1" si="47"/>
        <v>798790.63400514226</v>
      </c>
    </row>
    <row r="659" spans="1:18" x14ac:dyDescent="0.25">
      <c r="A659">
        <v>5</v>
      </c>
      <c r="B659">
        <v>0</v>
      </c>
      <c r="C659">
        <v>3</v>
      </c>
      <c r="D659">
        <v>24.9</v>
      </c>
      <c r="E659">
        <v>50</v>
      </c>
      <c r="F659">
        <v>3.0601703903614486E-2</v>
      </c>
      <c r="G659" t="str">
        <f t="shared" si="48"/>
        <v>Insert into BlueCreditTypeRainbow Values (5, 0, 3, 24.9, 50, 0.0306017039036145)</v>
      </c>
      <c r="N659" s="4">
        <v>656</v>
      </c>
      <c r="O659" s="8">
        <f>$B$7*COUNTIF(Sheet2!$B$1:$B$132,N659)</f>
        <v>0</v>
      </c>
      <c r="P659" s="8">
        <f t="shared" ca="1" si="46"/>
        <v>0</v>
      </c>
      <c r="Q659" s="8">
        <f ca="1">CEILING(R658*(IF(N659&lt;=IF($B$2=0,0,OFFSET(Sheet2!$B$1,Sheet1!$B$2-1,0)),$B$1/(365*100),$B$3/(365*100)))*100,1)/100</f>
        <v>326.08999999999997</v>
      </c>
      <c r="R659" s="9">
        <f t="shared" ca="1" si="47"/>
        <v>799116.72400514223</v>
      </c>
    </row>
    <row r="660" spans="1:18" x14ac:dyDescent="0.25">
      <c r="A660">
        <v>5</v>
      </c>
      <c r="B660">
        <v>0</v>
      </c>
      <c r="C660">
        <v>3</v>
      </c>
      <c r="D660">
        <v>24.9</v>
      </c>
      <c r="E660">
        <v>51</v>
      </c>
      <c r="F660">
        <v>3.0260491204819003E-2</v>
      </c>
      <c r="G660" t="str">
        <f t="shared" si="48"/>
        <v>Insert into BlueCreditTypeRainbow Values (5, 0, 3, 24.9, 51, 0.030260491204819)</v>
      </c>
      <c r="N660" s="4">
        <v>657</v>
      </c>
      <c r="O660" s="8">
        <f>$B$7*COUNTIF(Sheet2!$B$1:$B$132,N660)</f>
        <v>0</v>
      </c>
      <c r="P660" s="8">
        <f t="shared" ca="1" si="46"/>
        <v>0</v>
      </c>
      <c r="Q660" s="8">
        <f ca="1">CEILING(R659*(IF(N660&lt;=IF($B$2=0,0,OFFSET(Sheet2!$B$1,Sheet1!$B$2-1,0)),$B$1/(365*100),$B$3/(365*100)))*100,1)/100</f>
        <v>326.22000000000003</v>
      </c>
      <c r="R660" s="9">
        <f t="shared" ca="1" si="47"/>
        <v>799442.9440051422</v>
      </c>
    </row>
    <row r="661" spans="1:18" x14ac:dyDescent="0.25">
      <c r="A661">
        <v>5</v>
      </c>
      <c r="B661">
        <v>0</v>
      </c>
      <c r="C661">
        <v>3</v>
      </c>
      <c r="D661">
        <v>24.9</v>
      </c>
      <c r="E661">
        <v>52</v>
      </c>
      <c r="F661">
        <v>2.9933713089996043E-2</v>
      </c>
      <c r="G661" t="str">
        <f t="shared" si="48"/>
        <v>Insert into BlueCreditTypeRainbow Values (5, 0, 3, 24.9, 52, 0.029933713089996)</v>
      </c>
      <c r="N661" s="4">
        <v>658</v>
      </c>
      <c r="O661" s="8">
        <f>$B$7*COUNTIF(Sheet2!$B$1:$B$132,N661)</f>
        <v>0</v>
      </c>
      <c r="P661" s="8">
        <f t="shared" ca="1" si="46"/>
        <v>0</v>
      </c>
      <c r="Q661" s="8">
        <f ca="1">CEILING(R660*(IF(N661&lt;=IF($B$2=0,0,OFFSET(Sheet2!$B$1,Sheet1!$B$2-1,0)),$B$1/(365*100),$B$3/(365*100)))*100,1)/100</f>
        <v>326.35000000000002</v>
      </c>
      <c r="R661" s="9">
        <f t="shared" ca="1" si="47"/>
        <v>799769.29400514218</v>
      </c>
    </row>
    <row r="662" spans="1:18" x14ac:dyDescent="0.25">
      <c r="A662">
        <v>5</v>
      </c>
      <c r="B662">
        <v>0</v>
      </c>
      <c r="C662">
        <v>3</v>
      </c>
      <c r="D662">
        <v>24.9</v>
      </c>
      <c r="E662">
        <v>53</v>
      </c>
      <c r="F662">
        <v>2.9620317735887563E-2</v>
      </c>
      <c r="G662" t="str">
        <f t="shared" si="48"/>
        <v>Insert into BlueCreditTypeRainbow Values (5, 0, 3, 24.9, 53, 0.0296203177358876)</v>
      </c>
      <c r="N662" s="4">
        <v>659</v>
      </c>
      <c r="O662" s="8">
        <f>$B$7*COUNTIF(Sheet2!$B$1:$B$132,N662)</f>
        <v>0</v>
      </c>
      <c r="P662" s="8">
        <f t="shared" ca="1" si="46"/>
        <v>0</v>
      </c>
      <c r="Q662" s="8">
        <f ca="1">CEILING(R661*(IF(N662&lt;=IF($B$2=0,0,OFFSET(Sheet2!$B$1,Sheet1!$B$2-1,0)),$B$1/(365*100),$B$3/(365*100)))*100,1)/100</f>
        <v>326.49</v>
      </c>
      <c r="R662" s="9">
        <f t="shared" ca="1" si="47"/>
        <v>800095.78400514217</v>
      </c>
    </row>
    <row r="663" spans="1:18" x14ac:dyDescent="0.25">
      <c r="A663">
        <v>5</v>
      </c>
      <c r="B663">
        <v>0</v>
      </c>
      <c r="C663">
        <v>3</v>
      </c>
      <c r="D663">
        <v>24.9</v>
      </c>
      <c r="E663">
        <v>54</v>
      </c>
      <c r="F663">
        <v>2.931957963055579E-2</v>
      </c>
      <c r="G663" t="str">
        <f t="shared" si="48"/>
        <v>Insert into BlueCreditTypeRainbow Values (5, 0, 3, 24.9, 54, 0.0293195796305558)</v>
      </c>
      <c r="N663" s="4">
        <v>660</v>
      </c>
      <c r="O663" s="8">
        <f>$B$7*COUNTIF(Sheet2!$B$1:$B$132,N663)</f>
        <v>0</v>
      </c>
      <c r="P663" s="8">
        <f t="shared" ca="1" si="46"/>
        <v>0</v>
      </c>
      <c r="Q663" s="8">
        <f ca="1">CEILING(R662*(IF(N663&lt;=IF($B$2=0,0,OFFSET(Sheet2!$B$1,Sheet1!$B$2-1,0)),$B$1/(365*100),$B$3/(365*100)))*100,1)/100</f>
        <v>326.62</v>
      </c>
      <c r="R663" s="9">
        <f t="shared" ca="1" si="47"/>
        <v>800422.40400514216</v>
      </c>
    </row>
    <row r="664" spans="1:18" x14ac:dyDescent="0.25">
      <c r="A664">
        <v>5</v>
      </c>
      <c r="B664">
        <v>0</v>
      </c>
      <c r="C664">
        <v>2</v>
      </c>
      <c r="D664">
        <v>24.9</v>
      </c>
      <c r="E664">
        <v>42</v>
      </c>
      <c r="F664">
        <v>3.4624435714285771E-2</v>
      </c>
      <c r="G664" t="str">
        <f t="shared" si="48"/>
        <v>Insert into BlueCreditTypeRainbow Values (5, 0, 2, 24.9, 42, 0.0346244357142858)</v>
      </c>
      <c r="N664" s="4">
        <v>661</v>
      </c>
      <c r="O664" s="8">
        <f>$B$7*COUNTIF(Sheet2!$B$1:$B$132,N664)</f>
        <v>0</v>
      </c>
      <c r="P664" s="8">
        <f t="shared" ca="1" si="46"/>
        <v>0</v>
      </c>
      <c r="Q664" s="8">
        <f ca="1">CEILING(R663*(IF(N664&lt;=IF($B$2=0,0,OFFSET(Sheet2!$B$1,Sheet1!$B$2-1,0)),$B$1/(365*100),$B$3/(365*100)))*100,1)/100</f>
        <v>326.75</v>
      </c>
      <c r="R664" s="9">
        <f t="shared" ca="1" si="47"/>
        <v>800749.15400514216</v>
      </c>
    </row>
    <row r="665" spans="1:18" x14ac:dyDescent="0.25">
      <c r="A665">
        <v>5</v>
      </c>
      <c r="B665">
        <v>0</v>
      </c>
      <c r="C665">
        <v>2</v>
      </c>
      <c r="D665">
        <v>24.9</v>
      </c>
      <c r="E665">
        <v>43</v>
      </c>
      <c r="F665">
        <v>3.4120718857318336E-2</v>
      </c>
      <c r="G665" t="str">
        <f t="shared" si="48"/>
        <v>Insert into BlueCreditTypeRainbow Values (5, 0, 2, 24.9, 43, 0.0341207188573183)</v>
      </c>
      <c r="N665" s="4">
        <v>662</v>
      </c>
      <c r="O665" s="8">
        <f>$B$7*COUNTIF(Sheet2!$B$1:$B$132,N665)</f>
        <v>0</v>
      </c>
      <c r="P665" s="8">
        <f t="shared" ca="1" si="46"/>
        <v>0</v>
      </c>
      <c r="Q665" s="8">
        <f ca="1">CEILING(R664*(IF(N665&lt;=IF($B$2=0,0,OFFSET(Sheet2!$B$1,Sheet1!$B$2-1,0)),$B$1/(365*100),$B$3/(365*100)))*100,1)/100</f>
        <v>326.89</v>
      </c>
      <c r="R665" s="9">
        <f t="shared" ca="1" si="47"/>
        <v>801076.04400514218</v>
      </c>
    </row>
    <row r="666" spans="1:18" x14ac:dyDescent="0.25">
      <c r="A666">
        <v>5</v>
      </c>
      <c r="B666">
        <v>0</v>
      </c>
      <c r="C666">
        <v>2</v>
      </c>
      <c r="D666">
        <v>24.9</v>
      </c>
      <c r="E666">
        <v>44</v>
      </c>
      <c r="F666">
        <v>3.3641223102527741E-2</v>
      </c>
      <c r="G666" t="str">
        <f t="shared" si="48"/>
        <v>Insert into BlueCreditTypeRainbow Values (5, 0, 2, 24.9, 44, 0.0336412231025277)</v>
      </c>
      <c r="N666" s="4">
        <v>663</v>
      </c>
      <c r="O666" s="8">
        <f>$B$7*COUNTIF(Sheet2!$B$1:$B$132,N666)</f>
        <v>0</v>
      </c>
      <c r="P666" s="8">
        <f t="shared" ca="1" si="46"/>
        <v>0</v>
      </c>
      <c r="Q666" s="8">
        <f ca="1">CEILING(R665*(IF(N666&lt;=IF($B$2=0,0,OFFSET(Sheet2!$B$1,Sheet1!$B$2-1,0)),$B$1/(365*100),$B$3/(365*100)))*100,1)/100</f>
        <v>327.02</v>
      </c>
      <c r="R666" s="9">
        <f t="shared" ca="1" si="47"/>
        <v>801403.06400514219</v>
      </c>
    </row>
    <row r="667" spans="1:18" x14ac:dyDescent="0.25">
      <c r="A667">
        <v>5</v>
      </c>
      <c r="B667">
        <v>0</v>
      </c>
      <c r="C667">
        <v>2</v>
      </c>
      <c r="D667">
        <v>24.9</v>
      </c>
      <c r="E667">
        <v>45</v>
      </c>
      <c r="F667">
        <v>3.3184630907630491E-2</v>
      </c>
      <c r="G667" t="str">
        <f t="shared" si="48"/>
        <v>Insert into BlueCreditTypeRainbow Values (5, 0, 2, 24.9, 45, 0.0331846309076305)</v>
      </c>
      <c r="N667" s="4">
        <v>664</v>
      </c>
      <c r="O667" s="8">
        <f>$B$7*COUNTIF(Sheet2!$B$1:$B$132,N667)</f>
        <v>0</v>
      </c>
      <c r="P667" s="8">
        <f t="shared" ca="1" si="46"/>
        <v>0</v>
      </c>
      <c r="Q667" s="8">
        <f ca="1">CEILING(R666*(IF(N667&lt;=IF($B$2=0,0,OFFSET(Sheet2!$B$1,Sheet1!$B$2-1,0)),$B$1/(365*100),$B$3/(365*100)))*100,1)/100</f>
        <v>327.14999999999998</v>
      </c>
      <c r="R667" s="9">
        <f t="shared" ca="1" si="47"/>
        <v>801730.21400514222</v>
      </c>
    </row>
    <row r="668" spans="1:18" x14ac:dyDescent="0.25">
      <c r="A668">
        <v>5</v>
      </c>
      <c r="B668">
        <v>0</v>
      </c>
      <c r="C668">
        <v>2</v>
      </c>
      <c r="D668">
        <v>24.9</v>
      </c>
      <c r="E668">
        <v>46</v>
      </c>
      <c r="F668">
        <v>3.274915539357421E-2</v>
      </c>
      <c r="G668" t="str">
        <f t="shared" si="48"/>
        <v>Insert into BlueCreditTypeRainbow Values (5, 0, 2, 24.9, 46, 0.0327491553935742)</v>
      </c>
      <c r="N668" s="4">
        <v>665</v>
      </c>
      <c r="O668" s="8">
        <f>$B$7*COUNTIF(Sheet2!$B$1:$B$132,N668)</f>
        <v>0</v>
      </c>
      <c r="P668" s="8">
        <f t="shared" ca="1" si="46"/>
        <v>0</v>
      </c>
      <c r="Q668" s="8">
        <f ca="1">CEILING(R667*(IF(N668&lt;=IF($B$2=0,0,OFFSET(Sheet2!$B$1,Sheet1!$B$2-1,0)),$B$1/(365*100),$B$3/(365*100)))*100,1)/100</f>
        <v>327.29000000000002</v>
      </c>
      <c r="R668" s="9">
        <f t="shared" ca="1" si="47"/>
        <v>802057.50400514225</v>
      </c>
    </row>
    <row r="669" spans="1:18" x14ac:dyDescent="0.25">
      <c r="A669">
        <v>5</v>
      </c>
      <c r="B669">
        <v>0</v>
      </c>
      <c r="C669">
        <v>2</v>
      </c>
      <c r="D669">
        <v>24.9</v>
      </c>
      <c r="E669">
        <v>47</v>
      </c>
      <c r="F669">
        <v>3.2333714683885642E-2</v>
      </c>
      <c r="G669" t="str">
        <f t="shared" si="48"/>
        <v>Insert into BlueCreditTypeRainbow Values (5, 0, 2, 24.9, 47, 0.0323337146838856)</v>
      </c>
      <c r="N669" s="4">
        <v>666</v>
      </c>
      <c r="O669" s="8">
        <f>$B$7*COUNTIF(Sheet2!$B$1:$B$132,N669)</f>
        <v>0</v>
      </c>
      <c r="P669" s="8">
        <f t="shared" ca="1" si="46"/>
        <v>0</v>
      </c>
      <c r="Q669" s="8">
        <f ca="1">CEILING(R668*(IF(N669&lt;=IF($B$2=0,0,OFFSET(Sheet2!$B$1,Sheet1!$B$2-1,0)),$B$1/(365*100),$B$3/(365*100)))*100,1)/100</f>
        <v>327.42</v>
      </c>
      <c r="R669" s="9">
        <f t="shared" ca="1" si="47"/>
        <v>802384.9240051423</v>
      </c>
    </row>
    <row r="670" spans="1:18" x14ac:dyDescent="0.25">
      <c r="A670">
        <v>5</v>
      </c>
      <c r="B670">
        <v>0</v>
      </c>
      <c r="C670">
        <v>2</v>
      </c>
      <c r="D670">
        <v>24.9</v>
      </c>
      <c r="E670">
        <v>48</v>
      </c>
      <c r="F670">
        <v>3.1936788561222978E-2</v>
      </c>
      <c r="G670" t="str">
        <f t="shared" si="48"/>
        <v>Insert into BlueCreditTypeRainbow Values (5, 0, 2, 24.9, 48, 0.031936788561223)</v>
      </c>
      <c r="N670" s="4">
        <v>667</v>
      </c>
      <c r="O670" s="8">
        <f>$B$7*COUNTIF(Sheet2!$B$1:$B$132,N670)</f>
        <v>0</v>
      </c>
      <c r="P670" s="8">
        <f t="shared" ca="1" si="46"/>
        <v>0</v>
      </c>
      <c r="Q670" s="8">
        <f ca="1">CEILING(R669*(IF(N670&lt;=IF($B$2=0,0,OFFSET(Sheet2!$B$1,Sheet1!$B$2-1,0)),$B$1/(365*100),$B$3/(365*100)))*100,1)/100</f>
        <v>327.55</v>
      </c>
      <c r="R670" s="9">
        <f t="shared" ca="1" si="47"/>
        <v>802712.47400514234</v>
      </c>
    </row>
    <row r="671" spans="1:18" x14ac:dyDescent="0.25">
      <c r="A671">
        <v>5</v>
      </c>
      <c r="B671">
        <v>0</v>
      </c>
      <c r="C671">
        <v>2</v>
      </c>
      <c r="D671">
        <v>24.9</v>
      </c>
      <c r="E671">
        <v>49</v>
      </c>
      <c r="F671">
        <v>3.1557493239715087E-2</v>
      </c>
      <c r="G671" t="str">
        <f t="shared" si="48"/>
        <v>Insert into BlueCreditTypeRainbow Values (5, 0, 2, 24.9, 49, 0.0315574932397151)</v>
      </c>
      <c r="N671" s="4">
        <v>668</v>
      </c>
      <c r="O671" s="8">
        <f>$B$7*COUNTIF(Sheet2!$B$1:$B$132,N671)</f>
        <v>0</v>
      </c>
      <c r="P671" s="8">
        <f t="shared" ca="1" si="46"/>
        <v>0</v>
      </c>
      <c r="Q671" s="8">
        <f ca="1">CEILING(R670*(IF(N671&lt;=IF($B$2=0,0,OFFSET(Sheet2!$B$1,Sheet1!$B$2-1,0)),$B$1/(365*100),$B$3/(365*100)))*100,1)/100</f>
        <v>327.69</v>
      </c>
      <c r="R671" s="9">
        <f t="shared" ca="1" si="47"/>
        <v>803040.16400514229</v>
      </c>
    </row>
    <row r="672" spans="1:18" x14ac:dyDescent="0.25">
      <c r="A672">
        <v>5</v>
      </c>
      <c r="B672">
        <v>0</v>
      </c>
      <c r="C672">
        <v>2</v>
      </c>
      <c r="D672">
        <v>24.9</v>
      </c>
      <c r="E672">
        <v>50</v>
      </c>
      <c r="F672">
        <v>3.119475881668245E-2</v>
      </c>
      <c r="G672" t="str">
        <f t="shared" si="48"/>
        <v>Insert into BlueCreditTypeRainbow Values (5, 0, 2, 24.9, 50, 0.0311947588166825)</v>
      </c>
      <c r="N672" s="4">
        <v>669</v>
      </c>
      <c r="O672" s="8">
        <f>$B$7*COUNTIF(Sheet2!$B$1:$B$132,N672)</f>
        <v>0</v>
      </c>
      <c r="P672" s="8">
        <f t="shared" ca="1" si="46"/>
        <v>0</v>
      </c>
      <c r="Q672" s="8">
        <f ca="1">CEILING(R671*(IF(N672&lt;=IF($B$2=0,0,OFFSET(Sheet2!$B$1,Sheet1!$B$2-1,0)),$B$1/(365*100),$B$3/(365*100)))*100,1)/100</f>
        <v>327.82</v>
      </c>
      <c r="R672" s="9">
        <f t="shared" ca="1" si="47"/>
        <v>803367.98400514224</v>
      </c>
    </row>
    <row r="673" spans="1:18" x14ac:dyDescent="0.25">
      <c r="A673">
        <v>5</v>
      </c>
      <c r="B673">
        <v>0</v>
      </c>
      <c r="C673">
        <v>2</v>
      </c>
      <c r="D673">
        <v>24.9</v>
      </c>
      <c r="E673">
        <v>51</v>
      </c>
      <c r="F673">
        <v>3.0847377647058871E-2</v>
      </c>
      <c r="G673" t="str">
        <f t="shared" si="48"/>
        <v>Insert into BlueCreditTypeRainbow Values (5, 0, 2, 24.9, 51, 0.0308473776470589)</v>
      </c>
      <c r="N673" s="4">
        <v>670</v>
      </c>
      <c r="O673" s="8">
        <f>$B$7*COUNTIF(Sheet2!$B$1:$B$132,N673)</f>
        <v>21157.10552356458</v>
      </c>
      <c r="P673" s="8">
        <f t="shared" ca="1" si="46"/>
        <v>20829.145523564581</v>
      </c>
      <c r="Q673" s="8">
        <f ca="1">CEILING(R672*(IF(N673&lt;=IF($B$2=0,0,OFFSET(Sheet2!$B$1,Sheet1!$B$2-1,0)),$B$1/(365*100),$B$3/(365*100)))*100,1)/100</f>
        <v>327.96</v>
      </c>
      <c r="R673" s="9">
        <f t="shared" ca="1" si="47"/>
        <v>782538.83848157758</v>
      </c>
    </row>
    <row r="674" spans="1:18" x14ac:dyDescent="0.25">
      <c r="A674">
        <v>5</v>
      </c>
      <c r="B674">
        <v>0</v>
      </c>
      <c r="C674">
        <v>2</v>
      </c>
      <c r="D674">
        <v>24.9</v>
      </c>
      <c r="E674">
        <v>52</v>
      </c>
      <c r="F674">
        <v>3.0514669230769231E-2</v>
      </c>
      <c r="G674" t="str">
        <f t="shared" si="48"/>
        <v>Insert into BlueCreditTypeRainbow Values (5, 0, 2, 24.9, 52, 0.0305146692307692)</v>
      </c>
      <c r="N674" s="4">
        <v>671</v>
      </c>
      <c r="O674" s="8">
        <f>$B$7*COUNTIF(Sheet2!$B$1:$B$132,N674)</f>
        <v>0</v>
      </c>
      <c r="P674" s="8">
        <f t="shared" ca="1" si="46"/>
        <v>0</v>
      </c>
      <c r="Q674" s="8">
        <f ca="1">CEILING(R673*(IF(N674&lt;=IF($B$2=0,0,OFFSET(Sheet2!$B$1,Sheet1!$B$2-1,0)),$B$1/(365*100),$B$3/(365*100)))*100,1)/100</f>
        <v>319.45</v>
      </c>
      <c r="R674" s="9">
        <f t="shared" ca="1" si="47"/>
        <v>782858.28848157753</v>
      </c>
    </row>
    <row r="675" spans="1:18" x14ac:dyDescent="0.25">
      <c r="A675">
        <v>5</v>
      </c>
      <c r="B675">
        <v>0</v>
      </c>
      <c r="C675">
        <v>2</v>
      </c>
      <c r="D675">
        <v>24.9</v>
      </c>
      <c r="E675">
        <v>53</v>
      </c>
      <c r="F675">
        <v>3.019558733374067E-2</v>
      </c>
      <c r="G675" t="str">
        <f t="shared" si="48"/>
        <v>Insert into BlueCreditTypeRainbow Values (5, 0, 2, 24.9, 53, 0.0301955873337407)</v>
      </c>
      <c r="N675" s="4">
        <v>672</v>
      </c>
      <c r="O675" s="8">
        <f>$B$7*COUNTIF(Sheet2!$B$1:$B$132,N675)</f>
        <v>0</v>
      </c>
      <c r="P675" s="8">
        <f t="shared" ca="1" si="46"/>
        <v>0</v>
      </c>
      <c r="Q675" s="8">
        <f ca="1">CEILING(R674*(IF(N675&lt;=IF($B$2=0,0,OFFSET(Sheet2!$B$1,Sheet1!$B$2-1,0)),$B$1/(365*100),$B$3/(365*100)))*100,1)/100</f>
        <v>319.58</v>
      </c>
      <c r="R675" s="9">
        <f t="shared" ca="1" si="47"/>
        <v>783177.86848157749</v>
      </c>
    </row>
    <row r="676" spans="1:18" x14ac:dyDescent="0.25">
      <c r="A676">
        <v>5</v>
      </c>
      <c r="B676">
        <v>0</v>
      </c>
      <c r="C676">
        <v>2</v>
      </c>
      <c r="D676">
        <v>24.9</v>
      </c>
      <c r="E676">
        <v>54</v>
      </c>
      <c r="F676">
        <v>2.9889369980567425E-2</v>
      </c>
      <c r="G676" t="str">
        <f t="shared" si="48"/>
        <v>Insert into BlueCreditTypeRainbow Values (5, 0, 2, 24.9, 54, 0.0298893699805674)</v>
      </c>
      <c r="N676" s="4">
        <v>673</v>
      </c>
      <c r="O676" s="8">
        <f>$B$7*COUNTIF(Sheet2!$B$1:$B$132,N676)</f>
        <v>0</v>
      </c>
      <c r="P676" s="8">
        <f t="shared" ca="1" si="46"/>
        <v>0</v>
      </c>
      <c r="Q676" s="8">
        <f ca="1">CEILING(R675*(IF(N676&lt;=IF($B$2=0,0,OFFSET(Sheet2!$B$1,Sheet1!$B$2-1,0)),$B$1/(365*100),$B$3/(365*100)))*100,1)/100</f>
        <v>319.70999999999998</v>
      </c>
      <c r="R676" s="9">
        <f t="shared" ca="1" si="47"/>
        <v>783497.57848157745</v>
      </c>
    </row>
    <row r="677" spans="1:18" x14ac:dyDescent="0.25">
      <c r="A677">
        <v>5</v>
      </c>
      <c r="B677">
        <v>0</v>
      </c>
      <c r="C677">
        <v>1</v>
      </c>
      <c r="D677">
        <v>24.9</v>
      </c>
      <c r="E677">
        <v>42</v>
      </c>
      <c r="F677">
        <v>3.5314834285714261E-2</v>
      </c>
      <c r="G677" t="str">
        <f t="shared" si="48"/>
        <v>Insert into BlueCreditTypeRainbow Values (5, 0, 1, 24.9, 42, 0.0353148342857143)</v>
      </c>
      <c r="N677" s="4">
        <v>674</v>
      </c>
      <c r="O677" s="8">
        <f>$B$7*COUNTIF(Sheet2!$B$1:$B$132,N677)</f>
        <v>0</v>
      </c>
      <c r="P677" s="8">
        <f t="shared" ca="1" si="46"/>
        <v>0</v>
      </c>
      <c r="Q677" s="8">
        <f ca="1">CEILING(R676*(IF(N677&lt;=IF($B$2=0,0,OFFSET(Sheet2!$B$1,Sheet1!$B$2-1,0)),$B$1/(365*100),$B$3/(365*100)))*100,1)/100</f>
        <v>319.83999999999997</v>
      </c>
      <c r="R677" s="9">
        <f t="shared" ca="1" si="47"/>
        <v>783817.41848157742</v>
      </c>
    </row>
    <row r="678" spans="1:18" x14ac:dyDescent="0.25">
      <c r="A678">
        <v>5</v>
      </c>
      <c r="B678">
        <v>0</v>
      </c>
      <c r="C678">
        <v>1</v>
      </c>
      <c r="D678">
        <v>24.9</v>
      </c>
      <c r="E678">
        <v>43</v>
      </c>
      <c r="F678">
        <v>3.4801434646277399E-2</v>
      </c>
      <c r="G678" t="str">
        <f t="shared" si="48"/>
        <v>Insert into BlueCreditTypeRainbow Values (5, 0, 1, 24.9, 43, 0.0348014346462774)</v>
      </c>
      <c r="N678" s="4">
        <v>675</v>
      </c>
      <c r="O678" s="8">
        <f>$B$7*COUNTIF(Sheet2!$B$1:$B$132,N678)</f>
        <v>0</v>
      </c>
      <c r="P678" s="8">
        <f t="shared" ca="1" si="46"/>
        <v>0</v>
      </c>
      <c r="Q678" s="8">
        <f ca="1">CEILING(R677*(IF(N678&lt;=IF($B$2=0,0,OFFSET(Sheet2!$B$1,Sheet1!$B$2-1,0)),$B$1/(365*100),$B$3/(365*100)))*100,1)/100</f>
        <v>319.97000000000003</v>
      </c>
      <c r="R678" s="9">
        <f t="shared" ca="1" si="47"/>
        <v>784137.38848157739</v>
      </c>
    </row>
    <row r="679" spans="1:18" x14ac:dyDescent="0.25">
      <c r="A679">
        <v>5</v>
      </c>
      <c r="B679">
        <v>0</v>
      </c>
      <c r="C679">
        <v>1</v>
      </c>
      <c r="D679">
        <v>24.9</v>
      </c>
      <c r="E679">
        <v>44</v>
      </c>
      <c r="F679">
        <v>3.4312712781653425E-2</v>
      </c>
      <c r="G679" t="str">
        <f t="shared" si="48"/>
        <v>Insert into BlueCreditTypeRainbow Values (5, 0, 1, 24.9, 44, 0.0343127127816534)</v>
      </c>
      <c r="N679" s="4">
        <v>676</v>
      </c>
      <c r="O679" s="8">
        <f>$B$7*COUNTIF(Sheet2!$B$1:$B$132,N679)</f>
        <v>0</v>
      </c>
      <c r="P679" s="8">
        <f t="shared" ca="1" si="46"/>
        <v>0</v>
      </c>
      <c r="Q679" s="8">
        <f ca="1">CEILING(R678*(IF(N679&lt;=IF($B$2=0,0,OFFSET(Sheet2!$B$1,Sheet1!$B$2-1,0)),$B$1/(365*100),$B$3/(365*100)))*100,1)/100</f>
        <v>320.10000000000002</v>
      </c>
      <c r="R679" s="9">
        <f t="shared" ca="1" si="47"/>
        <v>784457.48848157737</v>
      </c>
    </row>
    <row r="680" spans="1:18" x14ac:dyDescent="0.25">
      <c r="A680">
        <v>5</v>
      </c>
      <c r="B680">
        <v>0</v>
      </c>
      <c r="C680">
        <v>1</v>
      </c>
      <c r="D680">
        <v>24.9</v>
      </c>
      <c r="E680">
        <v>45</v>
      </c>
      <c r="F680">
        <v>3.384733009887203E-2</v>
      </c>
      <c r="G680" t="str">
        <f t="shared" si="48"/>
        <v>Insert into BlueCreditTypeRainbow Values (5, 0, 1, 24.9, 45, 0.033847330098872)</v>
      </c>
      <c r="N680" s="4">
        <v>677</v>
      </c>
      <c r="O680" s="8">
        <f>$B$7*COUNTIF(Sheet2!$B$1:$B$132,N680)</f>
        <v>0</v>
      </c>
      <c r="P680" s="8">
        <f t="shared" ca="1" si="46"/>
        <v>0</v>
      </c>
      <c r="Q680" s="8">
        <f ca="1">CEILING(R679*(IF(N680&lt;=IF($B$2=0,0,OFFSET(Sheet2!$B$1,Sheet1!$B$2-1,0)),$B$1/(365*100),$B$3/(365*100)))*100,1)/100</f>
        <v>320.24</v>
      </c>
      <c r="R680" s="9">
        <f t="shared" ca="1" si="47"/>
        <v>784777.72848157736</v>
      </c>
    </row>
    <row r="681" spans="1:18" x14ac:dyDescent="0.25">
      <c r="A681">
        <v>5</v>
      </c>
      <c r="B681">
        <v>0</v>
      </c>
      <c r="C681">
        <v>1</v>
      </c>
      <c r="D681">
        <v>24.9</v>
      </c>
      <c r="E681">
        <v>46</v>
      </c>
      <c r="F681">
        <v>3.3403453266438572E-2</v>
      </c>
      <c r="G681" t="str">
        <f t="shared" si="48"/>
        <v>Insert into BlueCreditTypeRainbow Values (5, 0, 1, 24.9, 46, 0.0334034532664386)</v>
      </c>
      <c r="N681" s="4">
        <v>678</v>
      </c>
      <c r="O681" s="8">
        <f>$B$7*COUNTIF(Sheet2!$B$1:$B$132,N681)</f>
        <v>0</v>
      </c>
      <c r="P681" s="8">
        <f t="shared" ca="1" si="46"/>
        <v>0</v>
      </c>
      <c r="Q681" s="8">
        <f ca="1">CEILING(R680*(IF(N681&lt;=IF($B$2=0,0,OFFSET(Sheet2!$B$1,Sheet1!$B$2-1,0)),$B$1/(365*100),$B$3/(365*100)))*100,1)/100</f>
        <v>320.37</v>
      </c>
      <c r="R681" s="9">
        <f t="shared" ca="1" si="47"/>
        <v>785098.09848157736</v>
      </c>
    </row>
    <row r="682" spans="1:18" x14ac:dyDescent="0.25">
      <c r="A682">
        <v>5</v>
      </c>
      <c r="B682">
        <v>0</v>
      </c>
      <c r="C682">
        <v>1</v>
      </c>
      <c r="D682">
        <v>24.9</v>
      </c>
      <c r="E682">
        <v>47</v>
      </c>
      <c r="F682">
        <v>3.2979998302904233E-2</v>
      </c>
      <c r="G682" t="str">
        <f t="shared" si="48"/>
        <v>Insert into BlueCreditTypeRainbow Values (5, 0, 1, 24.9, 47, 0.0329799983029042)</v>
      </c>
      <c r="N682" s="4">
        <v>679</v>
      </c>
      <c r="O682" s="8">
        <f>$B$7*COUNTIF(Sheet2!$B$1:$B$132,N682)</f>
        <v>0</v>
      </c>
      <c r="P682" s="8">
        <f t="shared" ca="1" si="46"/>
        <v>0</v>
      </c>
      <c r="Q682" s="8">
        <f ca="1">CEILING(R681*(IF(N682&lt;=IF($B$2=0,0,OFFSET(Sheet2!$B$1,Sheet1!$B$2-1,0)),$B$1/(365*100),$B$3/(365*100)))*100,1)/100</f>
        <v>320.5</v>
      </c>
      <c r="R682" s="9">
        <f t="shared" ca="1" si="47"/>
        <v>785418.59848157736</v>
      </c>
    </row>
    <row r="683" spans="1:18" x14ac:dyDescent="0.25">
      <c r="A683">
        <v>5</v>
      </c>
      <c r="B683">
        <v>0</v>
      </c>
      <c r="C683">
        <v>1</v>
      </c>
      <c r="D683">
        <v>24.9</v>
      </c>
      <c r="E683">
        <v>48</v>
      </c>
      <c r="F683">
        <v>3.2575403559920786E-2</v>
      </c>
      <c r="G683" t="str">
        <f t="shared" si="48"/>
        <v>Insert into BlueCreditTypeRainbow Values (5, 0, 1, 24.9, 48, 0.0325754035599208)</v>
      </c>
      <c r="N683" s="4">
        <v>680</v>
      </c>
      <c r="O683" s="8">
        <f>$B$7*COUNTIF(Sheet2!$B$1:$B$132,N683)</f>
        <v>0</v>
      </c>
      <c r="P683" s="8">
        <f t="shared" ca="1" si="46"/>
        <v>0</v>
      </c>
      <c r="Q683" s="8">
        <f ca="1">CEILING(R682*(IF(N683&lt;=IF($B$2=0,0,OFFSET(Sheet2!$B$1,Sheet1!$B$2-1,0)),$B$1/(365*100),$B$3/(365*100)))*100,1)/100</f>
        <v>320.63</v>
      </c>
      <c r="R683" s="9">
        <f t="shared" ca="1" si="47"/>
        <v>785739.22848157736</v>
      </c>
    </row>
    <row r="684" spans="1:18" x14ac:dyDescent="0.25">
      <c r="A684">
        <v>5</v>
      </c>
      <c r="B684">
        <v>0</v>
      </c>
      <c r="C684">
        <v>1</v>
      </c>
      <c r="D684">
        <v>24.9</v>
      </c>
      <c r="E684">
        <v>49</v>
      </c>
      <c r="F684">
        <v>3.2188778678971179E-2</v>
      </c>
      <c r="G684" t="str">
        <f t="shared" si="48"/>
        <v>Insert into BlueCreditTypeRainbow Values (5, 0, 1, 24.9, 49, 0.0321887786789712)</v>
      </c>
      <c r="N684" s="4">
        <v>681</v>
      </c>
      <c r="O684" s="8">
        <f>$B$7*COUNTIF(Sheet2!$B$1:$B$132,N684)</f>
        <v>0</v>
      </c>
      <c r="P684" s="8">
        <f t="shared" ca="1" si="46"/>
        <v>0</v>
      </c>
      <c r="Q684" s="8">
        <f ca="1">CEILING(R683*(IF(N684&lt;=IF($B$2=0,0,OFFSET(Sheet2!$B$1,Sheet1!$B$2-1,0)),$B$1/(365*100),$B$3/(365*100)))*100,1)/100</f>
        <v>320.76</v>
      </c>
      <c r="R684" s="9">
        <f t="shared" ca="1" si="47"/>
        <v>786059.98848157737</v>
      </c>
    </row>
    <row r="685" spans="1:18" x14ac:dyDescent="0.25">
      <c r="A685">
        <v>5</v>
      </c>
      <c r="B685">
        <v>0</v>
      </c>
      <c r="C685">
        <v>1</v>
      </c>
      <c r="D685">
        <v>24.9</v>
      </c>
      <c r="E685">
        <v>50</v>
      </c>
      <c r="F685">
        <v>3.1819027413423476E-2</v>
      </c>
      <c r="G685" t="str">
        <f t="shared" si="48"/>
        <v>Insert into BlueCreditTypeRainbow Values (5, 0, 1, 24.9, 50, 0.0318190274134235)</v>
      </c>
      <c r="N685" s="4">
        <v>682</v>
      </c>
      <c r="O685" s="8">
        <f>$B$7*COUNTIF(Sheet2!$B$1:$B$132,N685)</f>
        <v>0</v>
      </c>
      <c r="P685" s="8">
        <f t="shared" ca="1" si="46"/>
        <v>0</v>
      </c>
      <c r="Q685" s="8">
        <f ca="1">CEILING(R684*(IF(N685&lt;=IF($B$2=0,0,OFFSET(Sheet2!$B$1,Sheet1!$B$2-1,0)),$B$1/(365*100),$B$3/(365*100)))*100,1)/100</f>
        <v>320.89</v>
      </c>
      <c r="R685" s="9">
        <f t="shared" ca="1" si="47"/>
        <v>786380.87848157738</v>
      </c>
    </row>
    <row r="686" spans="1:18" x14ac:dyDescent="0.25">
      <c r="A686">
        <v>5</v>
      </c>
      <c r="B686">
        <v>0</v>
      </c>
      <c r="C686">
        <v>1</v>
      </c>
      <c r="D686">
        <v>24.9</v>
      </c>
      <c r="E686">
        <v>51</v>
      </c>
      <c r="F686">
        <v>3.146491263126576E-2</v>
      </c>
      <c r="G686" t="str">
        <f t="shared" si="48"/>
        <v>Insert into BlueCreditTypeRainbow Values (5, 0, 1, 24.9, 51, 0.0314649126312658)</v>
      </c>
      <c r="N686" s="4">
        <v>683</v>
      </c>
      <c r="O686" s="8">
        <f>$B$7*COUNTIF(Sheet2!$B$1:$B$132,N686)</f>
        <v>0</v>
      </c>
      <c r="P686" s="8">
        <f t="shared" ca="1" si="46"/>
        <v>0</v>
      </c>
      <c r="Q686" s="8">
        <f ca="1">CEILING(R685*(IF(N686&lt;=IF($B$2=0,0,OFFSET(Sheet2!$B$1,Sheet1!$B$2-1,0)),$B$1/(365*100),$B$3/(365*100)))*100,1)/100</f>
        <v>321.02</v>
      </c>
      <c r="R686" s="9">
        <f t="shared" ca="1" si="47"/>
        <v>786701.8984815774</v>
      </c>
    </row>
    <row r="687" spans="1:18" x14ac:dyDescent="0.25">
      <c r="A687">
        <v>5</v>
      </c>
      <c r="B687">
        <v>0</v>
      </c>
      <c r="C687">
        <v>1</v>
      </c>
      <c r="D687">
        <v>24.9</v>
      </c>
      <c r="E687">
        <v>52</v>
      </c>
      <c r="F687">
        <v>3.1125758475615273E-2</v>
      </c>
      <c r="G687" t="str">
        <f t="shared" si="48"/>
        <v>Insert into BlueCreditTypeRainbow Values (5, 0, 1, 24.9, 52, 0.0311257584756153)</v>
      </c>
      <c r="N687" s="4">
        <v>684</v>
      </c>
      <c r="O687" s="8">
        <f>$B$7*COUNTIF(Sheet2!$B$1:$B$132,N687)</f>
        <v>0</v>
      </c>
      <c r="P687" s="8">
        <f t="shared" ca="1" si="46"/>
        <v>0</v>
      </c>
      <c r="Q687" s="8">
        <f ca="1">CEILING(R686*(IF(N687&lt;=IF($B$2=0,0,OFFSET(Sheet2!$B$1,Sheet1!$B$2-1,0)),$B$1/(365*100),$B$3/(365*100)))*100,1)/100</f>
        <v>321.14999999999998</v>
      </c>
      <c r="R687" s="9">
        <f t="shared" ca="1" si="47"/>
        <v>787023.04848157743</v>
      </c>
    </row>
    <row r="688" spans="1:18" x14ac:dyDescent="0.25">
      <c r="A688">
        <v>5</v>
      </c>
      <c r="B688">
        <v>0</v>
      </c>
      <c r="C688">
        <v>1</v>
      </c>
      <c r="D688">
        <v>24.9</v>
      </c>
      <c r="E688">
        <v>53</v>
      </c>
      <c r="F688">
        <v>3.0800488507868231E-2</v>
      </c>
      <c r="G688" t="str">
        <f t="shared" si="48"/>
        <v>Insert into BlueCreditTypeRainbow Values (5, 0, 1, 24.9, 53, 0.0308004885078682)</v>
      </c>
      <c r="N688" s="4">
        <v>685</v>
      </c>
      <c r="O688" s="8">
        <f>$B$7*COUNTIF(Sheet2!$B$1:$B$132,N688)</f>
        <v>0</v>
      </c>
      <c r="P688" s="8">
        <f t="shared" ca="1" si="46"/>
        <v>0</v>
      </c>
      <c r="Q688" s="8">
        <f ca="1">CEILING(R687*(IF(N688&lt;=IF($B$2=0,0,OFFSET(Sheet2!$B$1,Sheet1!$B$2-1,0)),$B$1/(365*100),$B$3/(365*100)))*100,1)/100</f>
        <v>321.27999999999997</v>
      </c>
      <c r="R688" s="9">
        <f t="shared" ca="1" si="47"/>
        <v>787344.32848157745</v>
      </c>
    </row>
    <row r="689" spans="1:18" x14ac:dyDescent="0.25">
      <c r="A689">
        <v>5</v>
      </c>
      <c r="B689">
        <v>0</v>
      </c>
      <c r="C689">
        <v>1</v>
      </c>
      <c r="D689">
        <v>24.9</v>
      </c>
      <c r="E689">
        <v>54</v>
      </c>
      <c r="F689">
        <v>3.0488337592592646E-2</v>
      </c>
      <c r="G689" t="str">
        <f t="shared" si="48"/>
        <v>Insert into BlueCreditTypeRainbow Values (5, 0, 1, 24.9, 54, 0.0304883375925926)</v>
      </c>
      <c r="N689" s="4">
        <v>686</v>
      </c>
      <c r="O689" s="8">
        <f>$B$7*COUNTIF(Sheet2!$B$1:$B$132,N689)</f>
        <v>0</v>
      </c>
      <c r="P689" s="8">
        <f t="shared" ca="1" si="46"/>
        <v>0</v>
      </c>
      <c r="Q689" s="8">
        <f ca="1">CEILING(R688*(IF(N689&lt;=IF($B$2=0,0,OFFSET(Sheet2!$B$1,Sheet1!$B$2-1,0)),$B$1/(365*100),$B$3/(365*100)))*100,1)/100</f>
        <v>321.41000000000003</v>
      </c>
      <c r="R689" s="9">
        <f t="shared" ca="1" si="47"/>
        <v>787665.73848157749</v>
      </c>
    </row>
    <row r="690" spans="1:18" x14ac:dyDescent="0.25">
      <c r="A690">
        <v>5</v>
      </c>
      <c r="B690">
        <v>0</v>
      </c>
      <c r="C690">
        <v>0</v>
      </c>
      <c r="D690">
        <v>24.9</v>
      </c>
      <c r="E690">
        <v>42</v>
      </c>
      <c r="F690">
        <v>3.6069357771820548E-2</v>
      </c>
      <c r="G690" t="str">
        <f t="shared" si="48"/>
        <v>Insert into BlueCreditTypeRainbow Values (5, 0, 0, 24.9, 42, 0.0360693577718205)</v>
      </c>
      <c r="N690" s="4">
        <v>687</v>
      </c>
      <c r="O690" s="8">
        <f>$B$7*COUNTIF(Sheet2!$B$1:$B$132,N690)</f>
        <v>0</v>
      </c>
      <c r="P690" s="8">
        <f t="shared" ca="1" si="46"/>
        <v>0</v>
      </c>
      <c r="Q690" s="8">
        <f ca="1">CEILING(R689*(IF(N690&lt;=IF($B$2=0,0,OFFSET(Sheet2!$B$1,Sheet1!$B$2-1,0)),$B$1/(365*100),$B$3/(365*100)))*100,1)/100</f>
        <v>321.55</v>
      </c>
      <c r="R690" s="9">
        <f t="shared" ca="1" si="47"/>
        <v>787987.28848157753</v>
      </c>
    </row>
    <row r="691" spans="1:18" x14ac:dyDescent="0.25">
      <c r="A691">
        <v>5</v>
      </c>
      <c r="B691">
        <v>0</v>
      </c>
      <c r="C691">
        <v>0</v>
      </c>
      <c r="D691">
        <v>24.9</v>
      </c>
      <c r="E691">
        <v>43</v>
      </c>
      <c r="F691">
        <v>3.5544997694889689E-2</v>
      </c>
      <c r="G691" t="str">
        <f t="shared" si="48"/>
        <v>Insert into BlueCreditTypeRainbow Values (5, 0, 0, 24.9, 43, 0.0355449976948897)</v>
      </c>
      <c r="N691" s="4">
        <v>688</v>
      </c>
      <c r="O691" s="8">
        <f>$B$7*COUNTIF(Sheet2!$B$1:$B$132,N691)</f>
        <v>0</v>
      </c>
      <c r="P691" s="8">
        <f t="shared" ca="1" si="46"/>
        <v>0</v>
      </c>
      <c r="Q691" s="8">
        <f ca="1">CEILING(R690*(IF(N691&lt;=IF($B$2=0,0,OFFSET(Sheet2!$B$1,Sheet1!$B$2-1,0)),$B$1/(365*100),$B$3/(365*100)))*100,1)/100</f>
        <v>321.68</v>
      </c>
      <c r="R691" s="9">
        <f t="shared" ca="1" si="47"/>
        <v>788308.96848157758</v>
      </c>
    </row>
    <row r="692" spans="1:18" x14ac:dyDescent="0.25">
      <c r="A692">
        <v>5</v>
      </c>
      <c r="B692">
        <v>0</v>
      </c>
      <c r="C692">
        <v>0</v>
      </c>
      <c r="D692">
        <v>24.9</v>
      </c>
      <c r="E692">
        <v>44</v>
      </c>
      <c r="F692">
        <v>3.5045827930384611E-2</v>
      </c>
      <c r="G692" t="str">
        <f t="shared" si="48"/>
        <v>Insert into BlueCreditTypeRainbow Values (5, 0, 0, 24.9, 44, 0.0350458279303846)</v>
      </c>
      <c r="N692" s="4">
        <v>689</v>
      </c>
      <c r="O692" s="8">
        <f>$B$7*COUNTIF(Sheet2!$B$1:$B$132,N692)</f>
        <v>0</v>
      </c>
      <c r="P692" s="8">
        <f t="shared" ca="1" si="46"/>
        <v>0</v>
      </c>
      <c r="Q692" s="8">
        <f ca="1">CEILING(R691*(IF(N692&lt;=IF($B$2=0,0,OFFSET(Sheet2!$B$1,Sheet1!$B$2-1,0)),$B$1/(365*100),$B$3/(365*100)))*100,1)/100</f>
        <v>321.81</v>
      </c>
      <c r="R692" s="9">
        <f t="shared" ca="1" si="47"/>
        <v>788630.77848157764</v>
      </c>
    </row>
    <row r="693" spans="1:18" x14ac:dyDescent="0.25">
      <c r="A693">
        <v>5</v>
      </c>
      <c r="B693">
        <v>0</v>
      </c>
      <c r="C693">
        <v>0</v>
      </c>
      <c r="D693">
        <v>24.9</v>
      </c>
      <c r="E693">
        <v>45</v>
      </c>
      <c r="F693">
        <v>3.4570504089178951E-2</v>
      </c>
      <c r="G693" t="str">
        <f t="shared" si="48"/>
        <v>Insert into BlueCreditTypeRainbow Values (5, 0, 0, 24.9, 45, 0.034570504089179)</v>
      </c>
      <c r="N693" s="4">
        <v>690</v>
      </c>
      <c r="O693" s="8">
        <f>$B$7*COUNTIF(Sheet2!$B$1:$B$132,N693)</f>
        <v>0</v>
      </c>
      <c r="P693" s="8">
        <f t="shared" ca="1" si="46"/>
        <v>0</v>
      </c>
      <c r="Q693" s="8">
        <f ca="1">CEILING(R692*(IF(N693&lt;=IF($B$2=0,0,OFFSET(Sheet2!$B$1,Sheet1!$B$2-1,0)),$B$1/(365*100),$B$3/(365*100)))*100,1)/100</f>
        <v>321.94</v>
      </c>
      <c r="R693" s="9">
        <f t="shared" ca="1" si="47"/>
        <v>788952.71848157758</v>
      </c>
    </row>
    <row r="694" spans="1:18" x14ac:dyDescent="0.25">
      <c r="A694">
        <v>5</v>
      </c>
      <c r="B694">
        <v>0</v>
      </c>
      <c r="C694">
        <v>0</v>
      </c>
      <c r="D694">
        <v>24.9</v>
      </c>
      <c r="E694">
        <v>46</v>
      </c>
      <c r="F694">
        <v>3.4117145890213321E-2</v>
      </c>
      <c r="G694" t="str">
        <f t="shared" si="48"/>
        <v>Insert into BlueCreditTypeRainbow Values (5, 0, 0, 24.9, 46, 0.0341171458902133)</v>
      </c>
      <c r="N694" s="4">
        <v>691</v>
      </c>
      <c r="O694" s="8">
        <f>$B$7*COUNTIF(Sheet2!$B$1:$B$132,N694)</f>
        <v>0</v>
      </c>
      <c r="P694" s="8">
        <f t="shared" ca="1" si="46"/>
        <v>0</v>
      </c>
      <c r="Q694" s="8">
        <f ca="1">CEILING(R693*(IF(N694&lt;=IF($B$2=0,0,OFFSET(Sheet2!$B$1,Sheet1!$B$2-1,0)),$B$1/(365*100),$B$3/(365*100)))*100,1)/100</f>
        <v>322.07</v>
      </c>
      <c r="R694" s="9">
        <f t="shared" ca="1" si="47"/>
        <v>789274.78848157753</v>
      </c>
    </row>
    <row r="695" spans="1:18" x14ac:dyDescent="0.25">
      <c r="A695">
        <v>5</v>
      </c>
      <c r="B695">
        <v>0</v>
      </c>
      <c r="C695">
        <v>0</v>
      </c>
      <c r="D695">
        <v>24.9</v>
      </c>
      <c r="E695">
        <v>47</v>
      </c>
      <c r="F695">
        <v>3.3684642765957493E-2</v>
      </c>
      <c r="G695" t="str">
        <f t="shared" si="48"/>
        <v>Insert into BlueCreditTypeRainbow Values (5, 0, 0, 24.9, 47, 0.0336846427659575)</v>
      </c>
      <c r="N695" s="4">
        <v>692</v>
      </c>
      <c r="O695" s="8">
        <f>$B$7*COUNTIF(Sheet2!$B$1:$B$132,N695)</f>
        <v>0</v>
      </c>
      <c r="P695" s="8">
        <f t="shared" ca="1" si="46"/>
        <v>0</v>
      </c>
      <c r="Q695" s="8">
        <f ca="1">CEILING(R694*(IF(N695&lt;=IF($B$2=0,0,OFFSET(Sheet2!$B$1,Sheet1!$B$2-1,0)),$B$1/(365*100),$B$3/(365*100)))*100,1)/100</f>
        <v>322.2</v>
      </c>
      <c r="R695" s="9">
        <f t="shared" ca="1" si="47"/>
        <v>789596.98848157749</v>
      </c>
    </row>
    <row r="696" spans="1:18" x14ac:dyDescent="0.25">
      <c r="A696">
        <v>5</v>
      </c>
      <c r="B696">
        <v>0</v>
      </c>
      <c r="C696">
        <v>0</v>
      </c>
      <c r="D696">
        <v>24.9</v>
      </c>
      <c r="E696">
        <v>48</v>
      </c>
      <c r="F696">
        <v>3.3271402838018667E-2</v>
      </c>
      <c r="G696" t="str">
        <f t="shared" si="48"/>
        <v>Insert into BlueCreditTypeRainbow Values (5, 0, 0, 24.9, 48, 0.0332714028380187)</v>
      </c>
      <c r="N696" s="4">
        <v>693</v>
      </c>
      <c r="O696" s="8">
        <f>$B$7*COUNTIF(Sheet2!$B$1:$B$132,N696)</f>
        <v>0</v>
      </c>
      <c r="P696" s="8">
        <f t="shared" ca="1" si="46"/>
        <v>0</v>
      </c>
      <c r="Q696" s="8">
        <f ca="1">CEILING(R695*(IF(N696&lt;=IF($B$2=0,0,OFFSET(Sheet2!$B$1,Sheet1!$B$2-1,0)),$B$1/(365*100),$B$3/(365*100)))*100,1)/100</f>
        <v>322.33</v>
      </c>
      <c r="R696" s="9">
        <f t="shared" ca="1" si="47"/>
        <v>789919.31848157744</v>
      </c>
    </row>
    <row r="697" spans="1:18" x14ac:dyDescent="0.25">
      <c r="A697">
        <v>5</v>
      </c>
      <c r="B697">
        <v>0</v>
      </c>
      <c r="C697">
        <v>0</v>
      </c>
      <c r="D697">
        <v>24.9</v>
      </c>
      <c r="E697">
        <v>49</v>
      </c>
      <c r="F697">
        <v>3.287651367426813E-2</v>
      </c>
      <c r="G697" t="str">
        <f t="shared" si="48"/>
        <v>Insert into BlueCreditTypeRainbow Values (5, 0, 0, 24.9, 49, 0.0328765136742681)</v>
      </c>
      <c r="N697" s="4">
        <v>694</v>
      </c>
      <c r="O697" s="8">
        <f>$B$7*COUNTIF(Sheet2!$B$1:$B$132,N697)</f>
        <v>0</v>
      </c>
      <c r="P697" s="8">
        <f t="shared" ca="1" si="46"/>
        <v>0</v>
      </c>
      <c r="Q697" s="8">
        <f ca="1">CEILING(R696*(IF(N697&lt;=IF($B$2=0,0,OFFSET(Sheet2!$B$1,Sheet1!$B$2-1,0)),$B$1/(365*100),$B$3/(365*100)))*100,1)/100</f>
        <v>322.47000000000003</v>
      </c>
      <c r="R697" s="9">
        <f t="shared" ca="1" si="47"/>
        <v>790241.78848157742</v>
      </c>
    </row>
    <row r="698" spans="1:18" x14ac:dyDescent="0.25">
      <c r="A698">
        <v>5</v>
      </c>
      <c r="B698">
        <v>0</v>
      </c>
      <c r="C698">
        <v>0</v>
      </c>
      <c r="D698">
        <v>24.9</v>
      </c>
      <c r="E698">
        <v>50</v>
      </c>
      <c r="F698">
        <v>3.24988674071858E-2</v>
      </c>
      <c r="G698" t="str">
        <f t="shared" si="48"/>
        <v>Insert into BlueCreditTypeRainbow Values (5, 0, 0, 24.9, 50, 0.0324988674071858)</v>
      </c>
      <c r="N698" s="4">
        <v>695</v>
      </c>
      <c r="O698" s="8">
        <f>$B$7*COUNTIF(Sheet2!$B$1:$B$132,N698)</f>
        <v>0</v>
      </c>
      <c r="P698" s="8">
        <f t="shared" ca="1" si="46"/>
        <v>0</v>
      </c>
      <c r="Q698" s="8">
        <f ca="1">CEILING(R697*(IF(N698&lt;=IF($B$2=0,0,OFFSET(Sheet2!$B$1,Sheet1!$B$2-1,0)),$B$1/(365*100),$B$3/(365*100)))*100,1)/100</f>
        <v>322.60000000000002</v>
      </c>
      <c r="R698" s="9">
        <f t="shared" ca="1" si="47"/>
        <v>790564.38848157739</v>
      </c>
    </row>
    <row r="699" spans="1:18" x14ac:dyDescent="0.25">
      <c r="A699">
        <v>5</v>
      </c>
      <c r="B699">
        <v>0</v>
      </c>
      <c r="C699">
        <v>0</v>
      </c>
      <c r="D699">
        <v>24.9</v>
      </c>
      <c r="E699">
        <v>51</v>
      </c>
      <c r="F699">
        <v>3.2137187265758559E-2</v>
      </c>
      <c r="G699" t="str">
        <f t="shared" si="48"/>
        <v>Insert into BlueCreditTypeRainbow Values (5, 0, 0, 24.9, 51, 0.0321371872657586)</v>
      </c>
      <c r="N699" s="4">
        <v>696</v>
      </c>
      <c r="O699" s="8">
        <f>$B$7*COUNTIF(Sheet2!$B$1:$B$132,N699)</f>
        <v>0</v>
      </c>
      <c r="P699" s="8">
        <f t="shared" ca="1" si="46"/>
        <v>0</v>
      </c>
      <c r="Q699" s="8">
        <f ca="1">CEILING(R698*(IF(N699&lt;=IF($B$2=0,0,OFFSET(Sheet2!$B$1,Sheet1!$B$2-1,0)),$B$1/(365*100),$B$3/(365*100)))*100,1)/100</f>
        <v>322.73</v>
      </c>
      <c r="R699" s="9">
        <f t="shared" ca="1" si="47"/>
        <v>790887.11848157737</v>
      </c>
    </row>
    <row r="700" spans="1:18" x14ac:dyDescent="0.25">
      <c r="A700">
        <v>5</v>
      </c>
      <c r="B700">
        <v>0</v>
      </c>
      <c r="C700">
        <v>0</v>
      </c>
      <c r="D700">
        <v>24.9</v>
      </c>
      <c r="E700">
        <v>52</v>
      </c>
      <c r="F700">
        <v>3.1790786154017397E-2</v>
      </c>
      <c r="G700" t="str">
        <f t="shared" si="48"/>
        <v>Insert into BlueCreditTypeRainbow Values (5, 0, 0, 24.9, 52, 0.0317907861540174)</v>
      </c>
      <c r="N700" s="4">
        <v>697</v>
      </c>
      <c r="O700" s="8">
        <f>$B$7*COUNTIF(Sheet2!$B$1:$B$132,N700)</f>
        <v>0</v>
      </c>
      <c r="P700" s="8">
        <f t="shared" ca="1" si="46"/>
        <v>0</v>
      </c>
      <c r="Q700" s="8">
        <f ca="1">CEILING(R699*(IF(N700&lt;=IF($B$2=0,0,OFFSET(Sheet2!$B$1,Sheet1!$B$2-1,0)),$B$1/(365*100),$B$3/(365*100)))*100,1)/100</f>
        <v>322.86</v>
      </c>
      <c r="R700" s="9">
        <f t="shared" ca="1" si="47"/>
        <v>791209.97848157736</v>
      </c>
    </row>
    <row r="701" spans="1:18" x14ac:dyDescent="0.25">
      <c r="A701">
        <v>5</v>
      </c>
      <c r="B701">
        <v>0</v>
      </c>
      <c r="C701">
        <v>0</v>
      </c>
      <c r="D701">
        <v>24.9</v>
      </c>
      <c r="E701">
        <v>53</v>
      </c>
      <c r="F701">
        <v>3.1458571717522935E-2</v>
      </c>
      <c r="G701" t="str">
        <f t="shared" si="48"/>
        <v>Insert into BlueCreditTypeRainbow Values (5, 0, 0, 24.9, 53, 0.0314585717175229)</v>
      </c>
      <c r="N701" s="4">
        <v>698</v>
      </c>
      <c r="O701" s="8">
        <f>$B$7*COUNTIF(Sheet2!$B$1:$B$132,N701)</f>
        <v>0</v>
      </c>
      <c r="P701" s="8">
        <f t="shared" ca="1" si="46"/>
        <v>0</v>
      </c>
      <c r="Q701" s="8">
        <f ca="1">CEILING(R700*(IF(N701&lt;=IF($B$2=0,0,OFFSET(Sheet2!$B$1,Sheet1!$B$2-1,0)),$B$1/(365*100),$B$3/(365*100)))*100,1)/100</f>
        <v>322.99</v>
      </c>
      <c r="R701" s="9">
        <f t="shared" ca="1" si="47"/>
        <v>791532.96848157735</v>
      </c>
    </row>
    <row r="702" spans="1:18" x14ac:dyDescent="0.25">
      <c r="A702">
        <v>5</v>
      </c>
      <c r="B702">
        <v>0</v>
      </c>
      <c r="C702">
        <v>0</v>
      </c>
      <c r="D702">
        <v>24.9</v>
      </c>
      <c r="E702">
        <v>54</v>
      </c>
      <c r="F702">
        <v>3.1139742534167191E-2</v>
      </c>
      <c r="G702" t="str">
        <f t="shared" si="48"/>
        <v>Insert into BlueCreditTypeRainbow Values (5, 0, 0, 24.9, 54, 0.0311397425341672)</v>
      </c>
      <c r="N702" s="4">
        <v>699</v>
      </c>
      <c r="O702" s="8">
        <f>$B$7*COUNTIF(Sheet2!$B$1:$B$132,N702)</f>
        <v>0</v>
      </c>
      <c r="P702" s="8">
        <f t="shared" ca="1" si="46"/>
        <v>0</v>
      </c>
      <c r="Q702" s="8">
        <f ca="1">CEILING(R701*(IF(N702&lt;=IF($B$2=0,0,OFFSET(Sheet2!$B$1,Sheet1!$B$2-1,0)),$B$1/(365*100),$B$3/(365*100)))*100,1)/100</f>
        <v>323.12</v>
      </c>
      <c r="R702" s="9">
        <f t="shared" ca="1" si="47"/>
        <v>791856.08848157735</v>
      </c>
    </row>
    <row r="703" spans="1:18" x14ac:dyDescent="0.25">
      <c r="A703">
        <v>6</v>
      </c>
      <c r="B703">
        <v>0</v>
      </c>
      <c r="C703">
        <v>24</v>
      </c>
      <c r="D703">
        <v>26.9</v>
      </c>
      <c r="E703">
        <v>48</v>
      </c>
      <c r="F703">
        <v>2.3620312331576226E-2</v>
      </c>
      <c r="G703" t="str">
        <f t="shared" si="48"/>
        <v>Insert into BlueCreditTypeRainbow Values (6, 0, 24, 26.9, 48, 0.0236203123315762)</v>
      </c>
      <c r="N703" s="4">
        <v>700</v>
      </c>
      <c r="O703" s="8">
        <f>$B$7*COUNTIF(Sheet2!$B$1:$B$132,N703)</f>
        <v>0</v>
      </c>
      <c r="P703" s="8">
        <f t="shared" ca="1" si="46"/>
        <v>0</v>
      </c>
      <c r="Q703" s="8">
        <f ca="1">CEILING(R702*(IF(N703&lt;=IF($B$2=0,0,OFFSET(Sheet2!$B$1,Sheet1!$B$2-1,0)),$B$1/(365*100),$B$3/(365*100)))*100,1)/100</f>
        <v>323.26</v>
      </c>
      <c r="R703" s="9">
        <f t="shared" ca="1" si="47"/>
        <v>792179.34848157736</v>
      </c>
    </row>
    <row r="704" spans="1:18" x14ac:dyDescent="0.25">
      <c r="A704">
        <v>6</v>
      </c>
      <c r="B704">
        <v>0</v>
      </c>
      <c r="C704">
        <v>24</v>
      </c>
      <c r="D704">
        <v>26.9</v>
      </c>
      <c r="E704">
        <v>49</v>
      </c>
      <c r="F704">
        <v>2.3306522671973889E-2</v>
      </c>
      <c r="G704" t="str">
        <f t="shared" si="48"/>
        <v>Insert into BlueCreditTypeRainbow Values (6, 0, 24, 26.9, 49, 0.0233065226719739)</v>
      </c>
      <c r="N704" s="4">
        <v>701</v>
      </c>
      <c r="O704" s="8">
        <f>$B$7*COUNTIF(Sheet2!$B$1:$B$132,N704)</f>
        <v>21157.10552356458</v>
      </c>
      <c r="P704" s="8">
        <f t="shared" ca="1" si="46"/>
        <v>20833.715523564581</v>
      </c>
      <c r="Q704" s="8">
        <f ca="1">CEILING(R703*(IF(N704&lt;=IF($B$2=0,0,OFFSET(Sheet2!$B$1,Sheet1!$B$2-1,0)),$B$1/(365*100),$B$3/(365*100)))*100,1)/100</f>
        <v>323.39</v>
      </c>
      <c r="R704" s="9">
        <f t="shared" ca="1" si="47"/>
        <v>771345.63295801275</v>
      </c>
    </row>
    <row r="705" spans="1:18" x14ac:dyDescent="0.25">
      <c r="A705">
        <v>6</v>
      </c>
      <c r="B705">
        <v>0</v>
      </c>
      <c r="C705">
        <v>24</v>
      </c>
      <c r="D705">
        <v>26.9</v>
      </c>
      <c r="E705">
        <v>50</v>
      </c>
      <c r="F705">
        <v>2.3007773218554663E-2</v>
      </c>
      <c r="G705" t="str">
        <f t="shared" si="48"/>
        <v>Insert into BlueCreditTypeRainbow Values (6, 0, 24, 26.9, 50, 0.0230077732185547)</v>
      </c>
      <c r="N705" s="4">
        <v>702</v>
      </c>
      <c r="O705" s="8">
        <f>$B$7*COUNTIF(Sheet2!$B$1:$B$132,N705)</f>
        <v>0</v>
      </c>
      <c r="P705" s="8">
        <f t="shared" ca="1" si="46"/>
        <v>0</v>
      </c>
      <c r="Q705" s="8">
        <f ca="1">CEILING(R704*(IF(N705&lt;=IF($B$2=0,0,OFFSET(Sheet2!$B$1,Sheet1!$B$2-1,0)),$B$1/(365*100),$B$3/(365*100)))*100,1)/100</f>
        <v>314.88</v>
      </c>
      <c r="R705" s="9">
        <f t="shared" ca="1" si="47"/>
        <v>771660.51295801275</v>
      </c>
    </row>
    <row r="706" spans="1:18" x14ac:dyDescent="0.25">
      <c r="A706">
        <v>6</v>
      </c>
      <c r="B706">
        <v>0</v>
      </c>
      <c r="C706">
        <v>24</v>
      </c>
      <c r="D706">
        <v>26.9</v>
      </c>
      <c r="E706">
        <v>51</v>
      </c>
      <c r="F706">
        <v>2.2722871585519361E-2</v>
      </c>
      <c r="G706" t="str">
        <f t="shared" si="48"/>
        <v>Insert into BlueCreditTypeRainbow Values (6, 0, 24, 26.9, 51, 0.0227228715855194)</v>
      </c>
      <c r="N706" s="4">
        <v>703</v>
      </c>
      <c r="O706" s="8">
        <f>$B$7*COUNTIF(Sheet2!$B$1:$B$132,N706)</f>
        <v>0</v>
      </c>
      <c r="P706" s="8">
        <f t="shared" ca="1" si="46"/>
        <v>0</v>
      </c>
      <c r="Q706" s="8">
        <f ca="1">CEILING(R705*(IF(N706&lt;=IF($B$2=0,0,OFFSET(Sheet2!$B$1,Sheet1!$B$2-1,0)),$B$1/(365*100),$B$3/(365*100)))*100,1)/100</f>
        <v>315.01</v>
      </c>
      <c r="R706" s="9">
        <f t="shared" ca="1" si="47"/>
        <v>771975.52295801276</v>
      </c>
    </row>
    <row r="707" spans="1:18" x14ac:dyDescent="0.25">
      <c r="A707">
        <v>6</v>
      </c>
      <c r="B707">
        <v>0</v>
      </c>
      <c r="C707">
        <v>24</v>
      </c>
      <c r="D707">
        <v>26.9</v>
      </c>
      <c r="E707">
        <v>52</v>
      </c>
      <c r="F707">
        <v>2.245114174987374E-2</v>
      </c>
      <c r="G707" t="str">
        <f t="shared" si="48"/>
        <v>Insert into BlueCreditTypeRainbow Values (6, 0, 24, 26.9, 52, 0.0224511417498737)</v>
      </c>
      <c r="N707" s="4">
        <v>704</v>
      </c>
      <c r="O707" s="8">
        <f>$B$7*COUNTIF(Sheet2!$B$1:$B$132,N707)</f>
        <v>0</v>
      </c>
      <c r="P707" s="8">
        <f t="shared" ca="1" si="46"/>
        <v>0</v>
      </c>
      <c r="Q707" s="8">
        <f ca="1">CEILING(R706*(IF(N707&lt;=IF($B$2=0,0,OFFSET(Sheet2!$B$1,Sheet1!$B$2-1,0)),$B$1/(365*100),$B$3/(365*100)))*100,1)/100</f>
        <v>315.14</v>
      </c>
      <c r="R707" s="9">
        <f t="shared" ca="1" si="47"/>
        <v>772290.66295801278</v>
      </c>
    </row>
    <row r="708" spans="1:18" x14ac:dyDescent="0.25">
      <c r="A708">
        <v>6</v>
      </c>
      <c r="B708">
        <v>0</v>
      </c>
      <c r="C708">
        <v>24</v>
      </c>
      <c r="D708">
        <v>26.9</v>
      </c>
      <c r="E708">
        <v>53</v>
      </c>
      <c r="F708">
        <v>2.2191563704603953E-2</v>
      </c>
      <c r="G708" t="str">
        <f t="shared" si="48"/>
        <v>Insert into BlueCreditTypeRainbow Values (6, 0, 24, 26.9, 53, 0.022191563704604)</v>
      </c>
      <c r="N708" s="4">
        <v>705</v>
      </c>
      <c r="O708" s="8">
        <f>$B$7*COUNTIF(Sheet2!$B$1:$B$132,N708)</f>
        <v>0</v>
      </c>
      <c r="P708" s="8">
        <f t="shared" ca="1" si="46"/>
        <v>0</v>
      </c>
      <c r="Q708" s="8">
        <f ca="1">CEILING(R707*(IF(N708&lt;=IF($B$2=0,0,OFFSET(Sheet2!$B$1,Sheet1!$B$2-1,0)),$B$1/(365*100),$B$3/(365*100)))*100,1)/100</f>
        <v>315.27</v>
      </c>
      <c r="R708" s="9">
        <f t="shared" ca="1" si="47"/>
        <v>772605.9329580128</v>
      </c>
    </row>
    <row r="709" spans="1:18" x14ac:dyDescent="0.25">
      <c r="A709">
        <v>6</v>
      </c>
      <c r="B709">
        <v>0</v>
      </c>
      <c r="C709">
        <v>24</v>
      </c>
      <c r="D709">
        <v>26.9</v>
      </c>
      <c r="E709">
        <v>54</v>
      </c>
      <c r="F709">
        <v>2.194340446170779E-2</v>
      </c>
      <c r="G709" t="str">
        <f t="shared" si="48"/>
        <v>Insert into BlueCreditTypeRainbow Values (6, 0, 24, 26.9, 54, 0.0219434044617078)</v>
      </c>
      <c r="N709" s="4">
        <v>706</v>
      </c>
      <c r="O709" s="8">
        <f>$B$7*COUNTIF(Sheet2!$B$1:$B$132,N709)</f>
        <v>0</v>
      </c>
      <c r="P709" s="8">
        <f t="shared" ref="P709:P772" ca="1" si="49">IF(O709-Q709&gt; 0, O709-Q709, 0)</f>
        <v>0</v>
      </c>
      <c r="Q709" s="8">
        <f ca="1">CEILING(R708*(IF(N709&lt;=IF($B$2=0,0,OFFSET(Sheet2!$B$1,Sheet1!$B$2-1,0)),$B$1/(365*100),$B$3/(365*100)))*100,1)/100</f>
        <v>315.39999999999998</v>
      </c>
      <c r="R709" s="9">
        <f t="shared" ref="R709:R772" ca="1" si="50">R708+Q709-O709</f>
        <v>772921.33295801282</v>
      </c>
    </row>
    <row r="710" spans="1:18" x14ac:dyDescent="0.25">
      <c r="A710">
        <v>6</v>
      </c>
      <c r="B710">
        <v>0</v>
      </c>
      <c r="C710">
        <v>24</v>
      </c>
      <c r="D710">
        <v>26.9</v>
      </c>
      <c r="E710">
        <v>55</v>
      </c>
      <c r="F710">
        <v>2.1706152743299154E-2</v>
      </c>
      <c r="G710" t="str">
        <f t="shared" si="48"/>
        <v>Insert into BlueCreditTypeRainbow Values (6, 0, 24, 26.9, 55, 0.0217061527432992)</v>
      </c>
      <c r="N710" s="4">
        <v>707</v>
      </c>
      <c r="O710" s="8">
        <f>$B$7*COUNTIF(Sheet2!$B$1:$B$132,N710)</f>
        <v>0</v>
      </c>
      <c r="P710" s="8">
        <f t="shared" ca="1" si="49"/>
        <v>0</v>
      </c>
      <c r="Q710" s="8">
        <f ca="1">CEILING(R709*(IF(N710&lt;=IF($B$2=0,0,OFFSET(Sheet2!$B$1,Sheet1!$B$2-1,0)),$B$1/(365*100),$B$3/(365*100)))*100,1)/100</f>
        <v>315.52999999999997</v>
      </c>
      <c r="R710" s="9">
        <f t="shared" ca="1" si="50"/>
        <v>773236.86295801285</v>
      </c>
    </row>
    <row r="711" spans="1:18" x14ac:dyDescent="0.25">
      <c r="A711">
        <v>6</v>
      </c>
      <c r="B711">
        <v>0</v>
      </c>
      <c r="C711">
        <v>24</v>
      </c>
      <c r="D711">
        <v>26.9</v>
      </c>
      <c r="E711">
        <v>56</v>
      </c>
      <c r="F711">
        <v>2.1478998928571427E-2</v>
      </c>
      <c r="G711" t="str">
        <f t="shared" si="48"/>
        <v>Insert into BlueCreditTypeRainbow Values (6, 0, 24, 26.9, 56, 0.0214789989285714)</v>
      </c>
      <c r="N711" s="4">
        <v>708</v>
      </c>
      <c r="O711" s="8">
        <f>$B$7*COUNTIF(Sheet2!$B$1:$B$132,N711)</f>
        <v>0</v>
      </c>
      <c r="P711" s="8">
        <f t="shared" ca="1" si="49"/>
        <v>0</v>
      </c>
      <c r="Q711" s="8">
        <f ca="1">CEILING(R710*(IF(N711&lt;=IF($B$2=0,0,OFFSET(Sheet2!$B$1,Sheet1!$B$2-1,0)),$B$1/(365*100),$B$3/(365*100)))*100,1)/100</f>
        <v>315.66000000000003</v>
      </c>
      <c r="R711" s="9">
        <f t="shared" ca="1" si="50"/>
        <v>773552.52295801288</v>
      </c>
    </row>
    <row r="712" spans="1:18" x14ac:dyDescent="0.25">
      <c r="A712">
        <v>6</v>
      </c>
      <c r="B712">
        <v>0</v>
      </c>
      <c r="C712">
        <v>24</v>
      </c>
      <c r="D712">
        <v>26.9</v>
      </c>
      <c r="E712">
        <v>57</v>
      </c>
      <c r="F712">
        <v>2.1261522392302602E-2</v>
      </c>
      <c r="G712" t="str">
        <f t="shared" si="48"/>
        <v>Insert into BlueCreditTypeRainbow Values (6, 0, 24, 26.9, 57, 0.0212615223923026)</v>
      </c>
      <c r="N712" s="4">
        <v>709</v>
      </c>
      <c r="O712" s="8">
        <f>$B$7*COUNTIF(Sheet2!$B$1:$B$132,N712)</f>
        <v>0</v>
      </c>
      <c r="P712" s="8">
        <f t="shared" ca="1" si="49"/>
        <v>0</v>
      </c>
      <c r="Q712" s="8">
        <f ca="1">CEILING(R711*(IF(N712&lt;=IF($B$2=0,0,OFFSET(Sheet2!$B$1,Sheet1!$B$2-1,0)),$B$1/(365*100),$B$3/(365*100)))*100,1)/100</f>
        <v>315.77999999999997</v>
      </c>
      <c r="R712" s="9">
        <f t="shared" ca="1" si="50"/>
        <v>773868.30295801291</v>
      </c>
    </row>
    <row r="713" spans="1:18" x14ac:dyDescent="0.25">
      <c r="A713">
        <v>6</v>
      </c>
      <c r="B713">
        <v>0</v>
      </c>
      <c r="C713">
        <v>24</v>
      </c>
      <c r="D713">
        <v>26.9</v>
      </c>
      <c r="E713">
        <v>58</v>
      </c>
      <c r="F713">
        <v>2.1053018868987274E-2</v>
      </c>
      <c r="G713" t="str">
        <f t="shared" si="48"/>
        <v>Insert into BlueCreditTypeRainbow Values (6, 0, 24, 26.9, 58, 0.0210530188689873)</v>
      </c>
      <c r="N713" s="4">
        <v>710</v>
      </c>
      <c r="O713" s="8">
        <f>$B$7*COUNTIF(Sheet2!$B$1:$B$132,N713)</f>
        <v>0</v>
      </c>
      <c r="P713" s="8">
        <f t="shared" ca="1" si="49"/>
        <v>0</v>
      </c>
      <c r="Q713" s="8">
        <f ca="1">CEILING(R712*(IF(N713&lt;=IF($B$2=0,0,OFFSET(Sheet2!$B$1,Sheet1!$B$2-1,0)),$B$1/(365*100),$B$3/(365*100)))*100,1)/100</f>
        <v>315.91000000000003</v>
      </c>
      <c r="R713" s="9">
        <f t="shared" ca="1" si="50"/>
        <v>774184.21295801294</v>
      </c>
    </row>
    <row r="714" spans="1:18" x14ac:dyDescent="0.25">
      <c r="A714">
        <v>6</v>
      </c>
      <c r="B714">
        <v>0</v>
      </c>
      <c r="C714">
        <v>24</v>
      </c>
      <c r="D714">
        <v>26.9</v>
      </c>
      <c r="E714">
        <v>59</v>
      </c>
      <c r="F714">
        <v>2.0853137632558964E-2</v>
      </c>
      <c r="G714" t="str">
        <f t="shared" si="48"/>
        <v>Insert into BlueCreditTypeRainbow Values (6, 0, 24, 26.9, 59, 0.020853137632559)</v>
      </c>
      <c r="N714" s="4">
        <v>711</v>
      </c>
      <c r="O714" s="8">
        <f>$B$7*COUNTIF(Sheet2!$B$1:$B$132,N714)</f>
        <v>0</v>
      </c>
      <c r="P714" s="8">
        <f t="shared" ca="1" si="49"/>
        <v>0</v>
      </c>
      <c r="Q714" s="8">
        <f ca="1">CEILING(R713*(IF(N714&lt;=IF($B$2=0,0,OFFSET(Sheet2!$B$1,Sheet1!$B$2-1,0)),$B$1/(365*100),$B$3/(365*100)))*100,1)/100</f>
        <v>316.04000000000002</v>
      </c>
      <c r="R714" s="9">
        <f t="shared" ca="1" si="50"/>
        <v>774500.25295801298</v>
      </c>
    </row>
    <row r="715" spans="1:18" x14ac:dyDescent="0.25">
      <c r="A715">
        <v>6</v>
      </c>
      <c r="B715">
        <v>0</v>
      </c>
      <c r="C715">
        <v>24</v>
      </c>
      <c r="D715">
        <v>26.9</v>
      </c>
      <c r="E715">
        <v>60</v>
      </c>
      <c r="F715">
        <v>2.0661263223801636E-2</v>
      </c>
      <c r="G715" t="str">
        <f t="shared" si="48"/>
        <v>Insert into BlueCreditTypeRainbow Values (6, 0, 24, 26.9, 60, 0.0206612632238016)</v>
      </c>
      <c r="N715" s="4">
        <v>712</v>
      </c>
      <c r="O715" s="8">
        <f>$B$7*COUNTIF(Sheet2!$B$1:$B$132,N715)</f>
        <v>0</v>
      </c>
      <c r="P715" s="8">
        <f t="shared" ca="1" si="49"/>
        <v>0</v>
      </c>
      <c r="Q715" s="8">
        <f ca="1">CEILING(R714*(IF(N715&lt;=IF($B$2=0,0,OFFSET(Sheet2!$B$1,Sheet1!$B$2-1,0)),$B$1/(365*100),$B$3/(365*100)))*100,1)/100</f>
        <v>316.17</v>
      </c>
      <c r="R715" s="9">
        <f t="shared" ca="1" si="50"/>
        <v>774816.42295801302</v>
      </c>
    </row>
    <row r="716" spans="1:18" x14ac:dyDescent="0.25">
      <c r="A716">
        <v>6</v>
      </c>
      <c r="B716">
        <v>0</v>
      </c>
      <c r="C716">
        <v>23</v>
      </c>
      <c r="D716">
        <v>26.9</v>
      </c>
      <c r="E716">
        <v>48</v>
      </c>
      <c r="F716">
        <v>2.3858510512505472E-2</v>
      </c>
      <c r="G716" t="str">
        <f t="shared" si="48"/>
        <v>Insert into BlueCreditTypeRainbow Values (6, 0, 23, 26.9, 48, 0.0238585105125055)</v>
      </c>
      <c r="N716" s="4">
        <v>713</v>
      </c>
      <c r="O716" s="8">
        <f>$B$7*COUNTIF(Sheet2!$B$1:$B$132,N716)</f>
        <v>0</v>
      </c>
      <c r="P716" s="8">
        <f t="shared" ca="1" si="49"/>
        <v>0</v>
      </c>
      <c r="Q716" s="8">
        <f ca="1">CEILING(R715*(IF(N716&lt;=IF($B$2=0,0,OFFSET(Sheet2!$B$1,Sheet1!$B$2-1,0)),$B$1/(365*100),$B$3/(365*100)))*100,1)/100</f>
        <v>316.3</v>
      </c>
      <c r="R716" s="9">
        <f t="shared" ca="1" si="50"/>
        <v>775132.72295801307</v>
      </c>
    </row>
    <row r="717" spans="1:18" x14ac:dyDescent="0.25">
      <c r="A717">
        <v>6</v>
      </c>
      <c r="B717">
        <v>0</v>
      </c>
      <c r="C717">
        <v>23</v>
      </c>
      <c r="D717">
        <v>26.9</v>
      </c>
      <c r="E717">
        <v>49</v>
      </c>
      <c r="F717">
        <v>2.3545309387755089E-2</v>
      </c>
      <c r="G717" t="str">
        <f t="shared" si="48"/>
        <v>Insert into BlueCreditTypeRainbow Values (6, 0, 23, 26.9, 49, 0.0235453093877551)</v>
      </c>
      <c r="N717" s="4">
        <v>714</v>
      </c>
      <c r="O717" s="8">
        <f>$B$7*COUNTIF(Sheet2!$B$1:$B$132,N717)</f>
        <v>0</v>
      </c>
      <c r="P717" s="8">
        <f t="shared" ca="1" si="49"/>
        <v>0</v>
      </c>
      <c r="Q717" s="8">
        <f ca="1">CEILING(R716*(IF(N717&lt;=IF($B$2=0,0,OFFSET(Sheet2!$B$1,Sheet1!$B$2-1,0)),$B$1/(365*100),$B$3/(365*100)))*100,1)/100</f>
        <v>316.43</v>
      </c>
      <c r="R717" s="9">
        <f t="shared" ca="1" si="50"/>
        <v>775449.15295801312</v>
      </c>
    </row>
    <row r="718" spans="1:18" x14ac:dyDescent="0.25">
      <c r="A718">
        <v>6</v>
      </c>
      <c r="B718">
        <v>0</v>
      </c>
      <c r="C718">
        <v>23</v>
      </c>
      <c r="D718">
        <v>26.9</v>
      </c>
      <c r="E718">
        <v>50</v>
      </c>
      <c r="F718">
        <v>2.3247026099685535E-2</v>
      </c>
      <c r="G718" t="str">
        <f t="shared" si="48"/>
        <v>Insert into BlueCreditTypeRainbow Values (6, 0, 23, 26.9, 50, 0.0232470260996855)</v>
      </c>
      <c r="N718" s="4">
        <v>715</v>
      </c>
      <c r="O718" s="8">
        <f>$B$7*COUNTIF(Sheet2!$B$1:$B$132,N718)</f>
        <v>0</v>
      </c>
      <c r="P718" s="8">
        <f t="shared" ca="1" si="49"/>
        <v>0</v>
      </c>
      <c r="Q718" s="8">
        <f ca="1">CEILING(R717*(IF(N718&lt;=IF($B$2=0,0,OFFSET(Sheet2!$B$1,Sheet1!$B$2-1,0)),$B$1/(365*100),$B$3/(365*100)))*100,1)/100</f>
        <v>316.56</v>
      </c>
      <c r="R718" s="9">
        <f t="shared" ca="1" si="50"/>
        <v>775765.71295801317</v>
      </c>
    </row>
    <row r="719" spans="1:18" x14ac:dyDescent="0.25">
      <c r="A719">
        <v>6</v>
      </c>
      <c r="B719">
        <v>0</v>
      </c>
      <c r="C719">
        <v>23</v>
      </c>
      <c r="D719">
        <v>26.9</v>
      </c>
      <c r="E719">
        <v>51</v>
      </c>
      <c r="F719">
        <v>2.2962486274509846E-2</v>
      </c>
      <c r="G719" t="str">
        <f t="shared" ref="G719:G782" si="51">CONCATENATE("Insert into BlueCreditTypeRainbow Values (",A719,", ",B719,", ",C719,", ",D719,", ",E719,", ",F719,")")</f>
        <v>Insert into BlueCreditTypeRainbow Values (6, 0, 23, 26.9, 51, 0.0229624862745098)</v>
      </c>
      <c r="N719" s="4">
        <v>716</v>
      </c>
      <c r="O719" s="8">
        <f>$B$7*COUNTIF(Sheet2!$B$1:$B$132,N719)</f>
        <v>0</v>
      </c>
      <c r="P719" s="8">
        <f t="shared" ca="1" si="49"/>
        <v>0</v>
      </c>
      <c r="Q719" s="8">
        <f ca="1">CEILING(R718*(IF(N719&lt;=IF($B$2=0,0,OFFSET(Sheet2!$B$1,Sheet1!$B$2-1,0)),$B$1/(365*100),$B$3/(365*100)))*100,1)/100</f>
        <v>316.69</v>
      </c>
      <c r="R719" s="9">
        <f t="shared" ca="1" si="50"/>
        <v>776082.40295801312</v>
      </c>
    </row>
    <row r="720" spans="1:18" x14ac:dyDescent="0.25">
      <c r="A720">
        <v>6</v>
      </c>
      <c r="B720">
        <v>0</v>
      </c>
      <c r="C720">
        <v>23</v>
      </c>
      <c r="D720">
        <v>26.9</v>
      </c>
      <c r="E720">
        <v>52</v>
      </c>
      <c r="F720">
        <v>2.2691024826916859E-2</v>
      </c>
      <c r="G720" t="str">
        <f t="shared" si="51"/>
        <v>Insert into BlueCreditTypeRainbow Values (6, 0, 23, 26.9, 52, 0.0226910248269169)</v>
      </c>
      <c r="N720" s="4">
        <v>717</v>
      </c>
      <c r="O720" s="8">
        <f>$B$7*COUNTIF(Sheet2!$B$1:$B$132,N720)</f>
        <v>0</v>
      </c>
      <c r="P720" s="8">
        <f t="shared" ca="1" si="49"/>
        <v>0</v>
      </c>
      <c r="Q720" s="8">
        <f ca="1">CEILING(R719*(IF(N720&lt;=IF($B$2=0,0,OFFSET(Sheet2!$B$1,Sheet1!$B$2-1,0)),$B$1/(365*100),$B$3/(365*100)))*100,1)/100</f>
        <v>316.82</v>
      </c>
      <c r="R720" s="9">
        <f t="shared" ca="1" si="50"/>
        <v>776399.22295801307</v>
      </c>
    </row>
    <row r="721" spans="1:18" x14ac:dyDescent="0.25">
      <c r="A721">
        <v>6</v>
      </c>
      <c r="B721">
        <v>0</v>
      </c>
      <c r="C721">
        <v>23</v>
      </c>
      <c r="D721">
        <v>26.9</v>
      </c>
      <c r="E721">
        <v>53</v>
      </c>
      <c r="F721">
        <v>2.2431630124958503E-2</v>
      </c>
      <c r="G721" t="str">
        <f t="shared" si="51"/>
        <v>Insert into BlueCreditTypeRainbow Values (6, 0, 23, 26.9, 53, 0.0224316301249585)</v>
      </c>
      <c r="N721" s="4">
        <v>718</v>
      </c>
      <c r="O721" s="8">
        <f>$B$7*COUNTIF(Sheet2!$B$1:$B$132,N721)</f>
        <v>0</v>
      </c>
      <c r="P721" s="8">
        <f t="shared" ca="1" si="49"/>
        <v>0</v>
      </c>
      <c r="Q721" s="8">
        <f ca="1">CEILING(R720*(IF(N721&lt;=IF($B$2=0,0,OFFSET(Sheet2!$B$1,Sheet1!$B$2-1,0)),$B$1/(365*100),$B$3/(365*100)))*100,1)/100</f>
        <v>316.95</v>
      </c>
      <c r="R721" s="9">
        <f t="shared" ca="1" si="50"/>
        <v>776716.17295801302</v>
      </c>
    </row>
    <row r="722" spans="1:18" x14ac:dyDescent="0.25">
      <c r="A722">
        <v>6</v>
      </c>
      <c r="B722">
        <v>0</v>
      </c>
      <c r="C722">
        <v>23</v>
      </c>
      <c r="D722">
        <v>26.9</v>
      </c>
      <c r="E722">
        <v>54</v>
      </c>
      <c r="F722">
        <v>2.2183585185185213E-2</v>
      </c>
      <c r="G722" t="str">
        <f t="shared" si="51"/>
        <v>Insert into BlueCreditTypeRainbow Values (6, 0, 23, 26.9, 54, 0.0221835851851852)</v>
      </c>
      <c r="N722" s="4">
        <v>719</v>
      </c>
      <c r="O722" s="8">
        <f>$B$7*COUNTIF(Sheet2!$B$1:$B$132,N722)</f>
        <v>0</v>
      </c>
      <c r="P722" s="8">
        <f t="shared" ca="1" si="49"/>
        <v>0</v>
      </c>
      <c r="Q722" s="8">
        <f ca="1">CEILING(R721*(IF(N722&lt;=IF($B$2=0,0,OFFSET(Sheet2!$B$1,Sheet1!$B$2-1,0)),$B$1/(365*100),$B$3/(365*100)))*100,1)/100</f>
        <v>317.08</v>
      </c>
      <c r="R722" s="9">
        <f t="shared" ca="1" si="50"/>
        <v>777033.25295801298</v>
      </c>
    </row>
    <row r="723" spans="1:18" x14ac:dyDescent="0.25">
      <c r="A723">
        <v>6</v>
      </c>
      <c r="B723">
        <v>0</v>
      </c>
      <c r="C723">
        <v>23</v>
      </c>
      <c r="D723">
        <v>26.9</v>
      </c>
      <c r="E723">
        <v>55</v>
      </c>
      <c r="F723">
        <v>2.1946381636363629E-2</v>
      </c>
      <c r="G723" t="str">
        <f t="shared" si="51"/>
        <v>Insert into BlueCreditTypeRainbow Values (6, 0, 23, 26.9, 55, 0.0219463816363636)</v>
      </c>
      <c r="N723" s="4">
        <v>720</v>
      </c>
      <c r="O723" s="8">
        <f>$B$7*COUNTIF(Sheet2!$B$1:$B$132,N723)</f>
        <v>0</v>
      </c>
      <c r="P723" s="8">
        <f t="shared" ca="1" si="49"/>
        <v>0</v>
      </c>
      <c r="Q723" s="8">
        <f ca="1">CEILING(R722*(IF(N723&lt;=IF($B$2=0,0,OFFSET(Sheet2!$B$1,Sheet1!$B$2-1,0)),$B$1/(365*100),$B$3/(365*100)))*100,1)/100</f>
        <v>317.2</v>
      </c>
      <c r="R723" s="9">
        <f t="shared" ca="1" si="50"/>
        <v>777350.45295801293</v>
      </c>
    </row>
    <row r="724" spans="1:18" x14ac:dyDescent="0.25">
      <c r="A724">
        <v>6</v>
      </c>
      <c r="B724">
        <v>0</v>
      </c>
      <c r="C724">
        <v>23</v>
      </c>
      <c r="D724">
        <v>26.9</v>
      </c>
      <c r="E724">
        <v>56</v>
      </c>
      <c r="F724">
        <v>2.1719224013253522E-2</v>
      </c>
      <c r="G724" t="str">
        <f t="shared" si="51"/>
        <v>Insert into BlueCreditTypeRainbow Values (6, 0, 23, 26.9, 56, 0.0217192240132535)</v>
      </c>
      <c r="N724" s="4">
        <v>721</v>
      </c>
      <c r="O724" s="8">
        <f>$B$7*COUNTIF(Sheet2!$B$1:$B$132,N724)</f>
        <v>0</v>
      </c>
      <c r="P724" s="8">
        <f t="shared" ca="1" si="49"/>
        <v>0</v>
      </c>
      <c r="Q724" s="8">
        <f ca="1">CEILING(R723*(IF(N724&lt;=IF($B$2=0,0,OFFSET(Sheet2!$B$1,Sheet1!$B$2-1,0)),$B$1/(365*100),$B$3/(365*100)))*100,1)/100</f>
        <v>317.33</v>
      </c>
      <c r="R724" s="9">
        <f t="shared" ca="1" si="50"/>
        <v>777667.78295801289</v>
      </c>
    </row>
    <row r="725" spans="1:18" x14ac:dyDescent="0.25">
      <c r="A725">
        <v>6</v>
      </c>
      <c r="B725">
        <v>0</v>
      </c>
      <c r="C725">
        <v>23</v>
      </c>
      <c r="D725">
        <v>26.9</v>
      </c>
      <c r="E725">
        <v>57</v>
      </c>
      <c r="F725">
        <v>2.150169280887753E-2</v>
      </c>
      <c r="G725" t="str">
        <f t="shared" si="51"/>
        <v>Insert into BlueCreditTypeRainbow Values (6, 0, 23, 26.9, 57, 0.0215016928088775)</v>
      </c>
      <c r="N725" s="4">
        <v>722</v>
      </c>
      <c r="O725" s="8">
        <f>$B$7*COUNTIF(Sheet2!$B$1:$B$132,N725)</f>
        <v>0</v>
      </c>
      <c r="P725" s="8">
        <f t="shared" ca="1" si="49"/>
        <v>0</v>
      </c>
      <c r="Q725" s="8">
        <f ca="1">CEILING(R724*(IF(N725&lt;=IF($B$2=0,0,OFFSET(Sheet2!$B$1,Sheet1!$B$2-1,0)),$B$1/(365*100),$B$3/(365*100)))*100,1)/100</f>
        <v>317.45999999999998</v>
      </c>
      <c r="R725" s="9">
        <f t="shared" ca="1" si="50"/>
        <v>777985.24295801285</v>
      </c>
    </row>
    <row r="726" spans="1:18" x14ac:dyDescent="0.25">
      <c r="A726">
        <v>6</v>
      </c>
      <c r="B726">
        <v>0</v>
      </c>
      <c r="C726">
        <v>23</v>
      </c>
      <c r="D726">
        <v>26.9</v>
      </c>
      <c r="E726">
        <v>58</v>
      </c>
      <c r="F726">
        <v>2.1293090015523906E-2</v>
      </c>
      <c r="G726" t="str">
        <f t="shared" si="51"/>
        <v>Insert into BlueCreditTypeRainbow Values (6, 0, 23, 26.9, 58, 0.0212930900155239)</v>
      </c>
      <c r="N726" s="4">
        <v>723</v>
      </c>
      <c r="O726" s="8">
        <f>$B$7*COUNTIF(Sheet2!$B$1:$B$132,N726)</f>
        <v>0</v>
      </c>
      <c r="P726" s="8">
        <f t="shared" ca="1" si="49"/>
        <v>0</v>
      </c>
      <c r="Q726" s="8">
        <f ca="1">CEILING(R725*(IF(N726&lt;=IF($B$2=0,0,OFFSET(Sheet2!$B$1,Sheet1!$B$2-1,0)),$B$1/(365*100),$B$3/(365*100)))*100,1)/100</f>
        <v>317.58999999999997</v>
      </c>
      <c r="R726" s="9">
        <f t="shared" ca="1" si="50"/>
        <v>778302.83295801282</v>
      </c>
    </row>
    <row r="727" spans="1:18" x14ac:dyDescent="0.25">
      <c r="A727">
        <v>6</v>
      </c>
      <c r="B727">
        <v>0</v>
      </c>
      <c r="C727">
        <v>23</v>
      </c>
      <c r="D727">
        <v>26.9</v>
      </c>
      <c r="E727">
        <v>59</v>
      </c>
      <c r="F727">
        <v>2.1093074237288126E-2</v>
      </c>
      <c r="G727" t="str">
        <f t="shared" si="51"/>
        <v>Insert into BlueCreditTypeRainbow Values (6, 0, 23, 26.9, 59, 0.0210930742372881)</v>
      </c>
      <c r="N727" s="4">
        <v>724</v>
      </c>
      <c r="O727" s="8">
        <f>$B$7*COUNTIF(Sheet2!$B$1:$B$132,N727)</f>
        <v>0</v>
      </c>
      <c r="P727" s="8">
        <f t="shared" ca="1" si="49"/>
        <v>0</v>
      </c>
      <c r="Q727" s="8">
        <f ca="1">CEILING(R726*(IF(N727&lt;=IF($B$2=0,0,OFFSET(Sheet2!$B$1,Sheet1!$B$2-1,0)),$B$1/(365*100),$B$3/(365*100)))*100,1)/100</f>
        <v>317.72000000000003</v>
      </c>
      <c r="R727" s="9">
        <f t="shared" ca="1" si="50"/>
        <v>778620.55295801279</v>
      </c>
    </row>
    <row r="728" spans="1:18" x14ac:dyDescent="0.25">
      <c r="A728">
        <v>6</v>
      </c>
      <c r="B728">
        <v>0</v>
      </c>
      <c r="C728">
        <v>23</v>
      </c>
      <c r="D728">
        <v>26.9</v>
      </c>
      <c r="E728">
        <v>60</v>
      </c>
      <c r="F728">
        <v>2.0901029511887381E-2</v>
      </c>
      <c r="G728" t="str">
        <f t="shared" si="51"/>
        <v>Insert into BlueCreditTypeRainbow Values (6, 0, 23, 26.9, 60, 0.0209010295118874)</v>
      </c>
      <c r="N728" s="4">
        <v>725</v>
      </c>
      <c r="O728" s="8">
        <f>$B$7*COUNTIF(Sheet2!$B$1:$B$132,N728)</f>
        <v>0</v>
      </c>
      <c r="P728" s="8">
        <f t="shared" ca="1" si="49"/>
        <v>0</v>
      </c>
      <c r="Q728" s="8">
        <f ca="1">CEILING(R727*(IF(N728&lt;=IF($B$2=0,0,OFFSET(Sheet2!$B$1,Sheet1!$B$2-1,0)),$B$1/(365*100),$B$3/(365*100)))*100,1)/100</f>
        <v>317.85000000000002</v>
      </c>
      <c r="R728" s="9">
        <f t="shared" ca="1" si="50"/>
        <v>778938.40295801277</v>
      </c>
    </row>
    <row r="729" spans="1:18" x14ac:dyDescent="0.25">
      <c r="A729">
        <v>6</v>
      </c>
      <c r="B729">
        <v>0</v>
      </c>
      <c r="C729">
        <v>22</v>
      </c>
      <c r="D729">
        <v>26.9</v>
      </c>
      <c r="E729">
        <v>48</v>
      </c>
      <c r="F729">
        <v>2.411723878858732E-2</v>
      </c>
      <c r="G729" t="str">
        <f t="shared" si="51"/>
        <v>Insert into BlueCreditTypeRainbow Values (6, 0, 22, 26.9, 48, 0.0241172387885873)</v>
      </c>
      <c r="N729" s="4">
        <v>726</v>
      </c>
      <c r="O729" s="8">
        <f>$B$7*COUNTIF(Sheet2!$B$1:$B$132,N729)</f>
        <v>0</v>
      </c>
      <c r="P729" s="8">
        <f t="shared" ca="1" si="49"/>
        <v>0</v>
      </c>
      <c r="Q729" s="8">
        <f ca="1">CEILING(R728*(IF(N729&lt;=IF($B$2=0,0,OFFSET(Sheet2!$B$1,Sheet1!$B$2-1,0)),$B$1/(365*100),$B$3/(365*100)))*100,1)/100</f>
        <v>317.98</v>
      </c>
      <c r="R729" s="9">
        <f t="shared" ca="1" si="50"/>
        <v>779256.38295801275</v>
      </c>
    </row>
    <row r="730" spans="1:18" x14ac:dyDescent="0.25">
      <c r="A730">
        <v>6</v>
      </c>
      <c r="B730">
        <v>0</v>
      </c>
      <c r="C730">
        <v>22</v>
      </c>
      <c r="D730">
        <v>26.9</v>
      </c>
      <c r="E730">
        <v>49</v>
      </c>
      <c r="F730">
        <v>2.3804384206273985E-2</v>
      </c>
      <c r="G730" t="str">
        <f t="shared" si="51"/>
        <v>Insert into BlueCreditTypeRainbow Values (6, 0, 22, 26.9, 49, 0.023804384206274)</v>
      </c>
      <c r="N730" s="4">
        <v>727</v>
      </c>
      <c r="O730" s="8">
        <f>$B$7*COUNTIF(Sheet2!$B$1:$B$132,N730)</f>
        <v>0</v>
      </c>
      <c r="P730" s="8">
        <f t="shared" ca="1" si="49"/>
        <v>0</v>
      </c>
      <c r="Q730" s="8">
        <f ca="1">CEILING(R729*(IF(N730&lt;=IF($B$2=0,0,OFFSET(Sheet2!$B$1,Sheet1!$B$2-1,0)),$B$1/(365*100),$B$3/(365*100)))*100,1)/100</f>
        <v>318.11</v>
      </c>
      <c r="R730" s="9">
        <f t="shared" ca="1" si="50"/>
        <v>779574.49295801274</v>
      </c>
    </row>
    <row r="731" spans="1:18" x14ac:dyDescent="0.25">
      <c r="A731">
        <v>6</v>
      </c>
      <c r="B731">
        <v>0</v>
      </c>
      <c r="C731">
        <v>22</v>
      </c>
      <c r="D731">
        <v>26.9</v>
      </c>
      <c r="E731">
        <v>50</v>
      </c>
      <c r="F731">
        <v>2.3506337800000009E-2</v>
      </c>
      <c r="G731" t="str">
        <f t="shared" si="51"/>
        <v>Insert into BlueCreditTypeRainbow Values (6, 0, 22, 26.9, 50, 0.0235063378)</v>
      </c>
      <c r="N731" s="4">
        <v>728</v>
      </c>
      <c r="O731" s="8">
        <f>$B$7*COUNTIF(Sheet2!$B$1:$B$132,N731)</f>
        <v>0</v>
      </c>
      <c r="P731" s="8">
        <f t="shared" ca="1" si="49"/>
        <v>0</v>
      </c>
      <c r="Q731" s="8">
        <f ca="1">CEILING(R730*(IF(N731&lt;=IF($B$2=0,0,OFFSET(Sheet2!$B$1,Sheet1!$B$2-1,0)),$B$1/(365*100),$B$3/(365*100)))*100,1)/100</f>
        <v>318.24</v>
      </c>
      <c r="R731" s="9">
        <f t="shared" ca="1" si="50"/>
        <v>779892.73295801273</v>
      </c>
    </row>
    <row r="732" spans="1:18" x14ac:dyDescent="0.25">
      <c r="A732">
        <v>6</v>
      </c>
      <c r="B732">
        <v>0</v>
      </c>
      <c r="C732">
        <v>22</v>
      </c>
      <c r="D732">
        <v>26.9</v>
      </c>
      <c r="E732">
        <v>51</v>
      </c>
      <c r="F732">
        <v>2.322194451715515E-2</v>
      </c>
      <c r="G732" t="str">
        <f t="shared" si="51"/>
        <v>Insert into BlueCreditTypeRainbow Values (6, 0, 22, 26.9, 51, 0.0232219445171551)</v>
      </c>
      <c r="N732" s="4">
        <v>729</v>
      </c>
      <c r="O732" s="8">
        <f>$B$7*COUNTIF(Sheet2!$B$1:$B$132,N732)</f>
        <v>0</v>
      </c>
      <c r="P732" s="8">
        <f t="shared" ca="1" si="49"/>
        <v>0</v>
      </c>
      <c r="Q732" s="8">
        <f ca="1">CEILING(R731*(IF(N732&lt;=IF($B$2=0,0,OFFSET(Sheet2!$B$1,Sheet1!$B$2-1,0)),$B$1/(365*100),$B$3/(365*100)))*100,1)/100</f>
        <v>318.37</v>
      </c>
      <c r="R732" s="9">
        <f t="shared" ca="1" si="50"/>
        <v>780211.10295801272</v>
      </c>
    </row>
    <row r="733" spans="1:18" x14ac:dyDescent="0.25">
      <c r="A733">
        <v>6</v>
      </c>
      <c r="B733">
        <v>0</v>
      </c>
      <c r="C733">
        <v>22</v>
      </c>
      <c r="D733">
        <v>26.9</v>
      </c>
      <c r="E733">
        <v>52</v>
      </c>
      <c r="F733">
        <v>2.2950545192307714E-2</v>
      </c>
      <c r="G733" t="str">
        <f t="shared" si="51"/>
        <v>Insert into BlueCreditTypeRainbow Values (6, 0, 22, 26.9, 52, 0.0229505451923077)</v>
      </c>
      <c r="N733" s="4">
        <v>730</v>
      </c>
      <c r="O733" s="8">
        <f>$B$7*COUNTIF(Sheet2!$B$1:$B$132,N733)</f>
        <v>0</v>
      </c>
      <c r="P733" s="8">
        <f t="shared" ca="1" si="49"/>
        <v>0</v>
      </c>
      <c r="Q733" s="8">
        <f ca="1">CEILING(R732*(IF(N733&lt;=IF($B$2=0,0,OFFSET(Sheet2!$B$1,Sheet1!$B$2-1,0)),$B$1/(365*100),$B$3/(365*100)))*100,1)/100</f>
        <v>318.5</v>
      </c>
      <c r="R733" s="9">
        <f t="shared" ca="1" si="50"/>
        <v>780529.60295801272</v>
      </c>
    </row>
    <row r="734" spans="1:18" x14ac:dyDescent="0.25">
      <c r="A734">
        <v>6</v>
      </c>
      <c r="B734">
        <v>0</v>
      </c>
      <c r="C734">
        <v>22</v>
      </c>
      <c r="D734">
        <v>26.9</v>
      </c>
      <c r="E734">
        <v>53</v>
      </c>
      <c r="F734">
        <v>2.2691145487476715E-2</v>
      </c>
      <c r="G734" t="str">
        <f t="shared" si="51"/>
        <v>Insert into BlueCreditTypeRainbow Values (6, 0, 22, 26.9, 53, 0.0226911454874767)</v>
      </c>
      <c r="N734" s="4">
        <v>731</v>
      </c>
      <c r="O734" s="8">
        <f>$B$7*COUNTIF(Sheet2!$B$1:$B$132,N734)</f>
        <v>21157.10552356458</v>
      </c>
      <c r="P734" s="8">
        <f t="shared" ca="1" si="49"/>
        <v>20838.475523564579</v>
      </c>
      <c r="Q734" s="8">
        <f ca="1">CEILING(R733*(IF(N734&lt;=IF($B$2=0,0,OFFSET(Sheet2!$B$1,Sheet1!$B$2-1,0)),$B$1/(365*100),$B$3/(365*100)))*100,1)/100</f>
        <v>318.63</v>
      </c>
      <c r="R734" s="9">
        <f t="shared" ca="1" si="50"/>
        <v>759691.12743444811</v>
      </c>
    </row>
    <row r="735" spans="1:18" x14ac:dyDescent="0.25">
      <c r="A735">
        <v>6</v>
      </c>
      <c r="B735">
        <v>0</v>
      </c>
      <c r="C735">
        <v>22</v>
      </c>
      <c r="D735">
        <v>26.9</v>
      </c>
      <c r="E735">
        <v>54</v>
      </c>
      <c r="F735">
        <v>2.2443023568827446E-2</v>
      </c>
      <c r="G735" t="str">
        <f t="shared" si="51"/>
        <v>Insert into BlueCreditTypeRainbow Values (6, 0, 22, 26.9, 54, 0.0224430235688274)</v>
      </c>
      <c r="N735" s="4">
        <v>732</v>
      </c>
      <c r="O735" s="8">
        <f>$B$7*COUNTIF(Sheet2!$B$1:$B$132,N735)</f>
        <v>0</v>
      </c>
      <c r="P735" s="8">
        <f t="shared" ca="1" si="49"/>
        <v>0</v>
      </c>
      <c r="Q735" s="8">
        <f ca="1">CEILING(R734*(IF(N735&lt;=IF($B$2=0,0,OFFSET(Sheet2!$B$1,Sheet1!$B$2-1,0)),$B$1/(365*100),$B$3/(365*100)))*100,1)/100</f>
        <v>310.13</v>
      </c>
      <c r="R735" s="9">
        <f t="shared" ca="1" si="50"/>
        <v>760001.25743444811</v>
      </c>
    </row>
    <row r="736" spans="1:18" x14ac:dyDescent="0.25">
      <c r="A736">
        <v>6</v>
      </c>
      <c r="B736">
        <v>0</v>
      </c>
      <c r="C736">
        <v>22</v>
      </c>
      <c r="D736">
        <v>26.9</v>
      </c>
      <c r="E736">
        <v>55</v>
      </c>
      <c r="F736">
        <v>2.2205694744271774E-2</v>
      </c>
      <c r="G736" t="str">
        <f t="shared" si="51"/>
        <v>Insert into BlueCreditTypeRainbow Values (6, 0, 22, 26.9, 55, 0.0222056947442718)</v>
      </c>
      <c r="N736" s="4">
        <v>733</v>
      </c>
      <c r="O736" s="8">
        <f>$B$7*COUNTIF(Sheet2!$B$1:$B$132,N736)</f>
        <v>0</v>
      </c>
      <c r="P736" s="8">
        <f t="shared" ca="1" si="49"/>
        <v>0</v>
      </c>
      <c r="Q736" s="8">
        <f ca="1">CEILING(R735*(IF(N736&lt;=IF($B$2=0,0,OFFSET(Sheet2!$B$1,Sheet1!$B$2-1,0)),$B$1/(365*100),$B$3/(365*100)))*100,1)/100</f>
        <v>310.25</v>
      </c>
      <c r="R736" s="9">
        <f t="shared" ca="1" si="50"/>
        <v>760311.50743444811</v>
      </c>
    </row>
    <row r="737" spans="1:18" x14ac:dyDescent="0.25">
      <c r="A737">
        <v>6</v>
      </c>
      <c r="B737">
        <v>0</v>
      </c>
      <c r="C737">
        <v>22</v>
      </c>
      <c r="D737">
        <v>26.9</v>
      </c>
      <c r="E737">
        <v>56</v>
      </c>
      <c r="F737">
        <v>2.1978359285714278E-2</v>
      </c>
      <c r="G737" t="str">
        <f t="shared" si="51"/>
        <v>Insert into BlueCreditTypeRainbow Values (6, 0, 22, 26.9, 56, 0.0219783592857143)</v>
      </c>
      <c r="N737" s="4">
        <v>734</v>
      </c>
      <c r="O737" s="8">
        <f>$B$7*COUNTIF(Sheet2!$B$1:$B$132,N737)</f>
        <v>0</v>
      </c>
      <c r="P737" s="8">
        <f t="shared" ca="1" si="49"/>
        <v>0</v>
      </c>
      <c r="Q737" s="8">
        <f ca="1">CEILING(R736*(IF(N737&lt;=IF($B$2=0,0,OFFSET(Sheet2!$B$1,Sheet1!$B$2-1,0)),$B$1/(365*100),$B$3/(365*100)))*100,1)/100</f>
        <v>310.38</v>
      </c>
      <c r="R737" s="9">
        <f t="shared" ca="1" si="50"/>
        <v>760621.88743444812</v>
      </c>
    </row>
    <row r="738" spans="1:18" x14ac:dyDescent="0.25">
      <c r="A738">
        <v>6</v>
      </c>
      <c r="B738">
        <v>0</v>
      </c>
      <c r="C738">
        <v>22</v>
      </c>
      <c r="D738">
        <v>26.9</v>
      </c>
      <c r="E738">
        <v>57</v>
      </c>
      <c r="F738">
        <v>2.1760612634045592E-2</v>
      </c>
      <c r="G738" t="str">
        <f t="shared" si="51"/>
        <v>Insert into BlueCreditTypeRainbow Values (6, 0, 22, 26.9, 57, 0.0217606126340456)</v>
      </c>
      <c r="N738" s="4">
        <v>735</v>
      </c>
      <c r="O738" s="8">
        <f>$B$7*COUNTIF(Sheet2!$B$1:$B$132,N738)</f>
        <v>0</v>
      </c>
      <c r="P738" s="8">
        <f t="shared" ca="1" si="49"/>
        <v>0</v>
      </c>
      <c r="Q738" s="8">
        <f ca="1">CEILING(R737*(IF(N738&lt;=IF($B$2=0,0,OFFSET(Sheet2!$B$1,Sheet1!$B$2-1,0)),$B$1/(365*100),$B$3/(365*100)))*100,1)/100</f>
        <v>310.51</v>
      </c>
      <c r="R738" s="9">
        <f t="shared" ca="1" si="50"/>
        <v>760932.39743444812</v>
      </c>
    </row>
    <row r="739" spans="1:18" x14ac:dyDescent="0.25">
      <c r="A739">
        <v>6</v>
      </c>
      <c r="B739">
        <v>0</v>
      </c>
      <c r="C739">
        <v>22</v>
      </c>
      <c r="D739">
        <v>26.9</v>
      </c>
      <c r="E739">
        <v>58</v>
      </c>
      <c r="F739">
        <v>2.1551759062722414E-2</v>
      </c>
      <c r="G739" t="str">
        <f t="shared" si="51"/>
        <v>Insert into BlueCreditTypeRainbow Values (6, 0, 22, 26.9, 58, 0.0215517590627224)</v>
      </c>
      <c r="N739" s="4">
        <v>736</v>
      </c>
      <c r="O739" s="8">
        <f>$B$7*COUNTIF(Sheet2!$B$1:$B$132,N739)</f>
        <v>0</v>
      </c>
      <c r="P739" s="8">
        <f t="shared" ca="1" si="49"/>
        <v>0</v>
      </c>
      <c r="Q739" s="8">
        <f ca="1">CEILING(R738*(IF(N739&lt;=IF($B$2=0,0,OFFSET(Sheet2!$B$1,Sheet1!$B$2-1,0)),$B$1/(365*100),$B$3/(365*100)))*100,1)/100</f>
        <v>310.63</v>
      </c>
      <c r="R739" s="9">
        <f t="shared" ca="1" si="50"/>
        <v>761243.02743444813</v>
      </c>
    </row>
    <row r="740" spans="1:18" x14ac:dyDescent="0.25">
      <c r="A740">
        <v>6</v>
      </c>
      <c r="B740">
        <v>0</v>
      </c>
      <c r="C740">
        <v>22</v>
      </c>
      <c r="D740">
        <v>26.9</v>
      </c>
      <c r="E740">
        <v>59</v>
      </c>
      <c r="F740">
        <v>2.1351457539454305E-2</v>
      </c>
      <c r="G740" t="str">
        <f t="shared" si="51"/>
        <v>Insert into BlueCreditTypeRainbow Values (6, 0, 22, 26.9, 59, 0.0213514575394543)</v>
      </c>
      <c r="N740" s="4">
        <v>737</v>
      </c>
      <c r="O740" s="8">
        <f>$B$7*COUNTIF(Sheet2!$B$1:$B$132,N740)</f>
        <v>0</v>
      </c>
      <c r="P740" s="8">
        <f t="shared" ca="1" si="49"/>
        <v>0</v>
      </c>
      <c r="Q740" s="8">
        <f ca="1">CEILING(R739*(IF(N740&lt;=IF($B$2=0,0,OFFSET(Sheet2!$B$1,Sheet1!$B$2-1,0)),$B$1/(365*100),$B$3/(365*100)))*100,1)/100</f>
        <v>310.76</v>
      </c>
      <c r="R740" s="9">
        <f t="shared" ca="1" si="50"/>
        <v>761553.78743444814</v>
      </c>
    </row>
    <row r="741" spans="1:18" x14ac:dyDescent="0.25">
      <c r="A741">
        <v>6</v>
      </c>
      <c r="B741">
        <v>0</v>
      </c>
      <c r="C741">
        <v>22</v>
      </c>
      <c r="D741">
        <v>26.9</v>
      </c>
      <c r="E741">
        <v>60</v>
      </c>
      <c r="F741">
        <v>2.1159108676178904E-2</v>
      </c>
      <c r="G741" t="str">
        <f t="shared" si="51"/>
        <v>Insert into BlueCreditTypeRainbow Values (6, 0, 22, 26.9, 60, 0.0211591086761789)</v>
      </c>
      <c r="N741" s="4">
        <v>738</v>
      </c>
      <c r="O741" s="8">
        <f>$B$7*COUNTIF(Sheet2!$B$1:$B$132,N741)</f>
        <v>0</v>
      </c>
      <c r="P741" s="8">
        <f t="shared" ca="1" si="49"/>
        <v>0</v>
      </c>
      <c r="Q741" s="8">
        <f ca="1">CEILING(R740*(IF(N741&lt;=IF($B$2=0,0,OFFSET(Sheet2!$B$1,Sheet1!$B$2-1,0)),$B$1/(365*100),$B$3/(365*100)))*100,1)/100</f>
        <v>310.89</v>
      </c>
      <c r="R741" s="9">
        <f t="shared" ca="1" si="50"/>
        <v>761864.67743444815</v>
      </c>
    </row>
    <row r="742" spans="1:18" x14ac:dyDescent="0.25">
      <c r="A742">
        <v>6</v>
      </c>
      <c r="B742">
        <v>0</v>
      </c>
      <c r="C742">
        <v>21</v>
      </c>
      <c r="D742">
        <v>26.9</v>
      </c>
      <c r="E742">
        <v>48</v>
      </c>
      <c r="F742">
        <v>2.438026043152609E-2</v>
      </c>
      <c r="G742" t="str">
        <f t="shared" si="51"/>
        <v>Insert into BlueCreditTypeRainbow Values (6, 0, 21, 26.9, 48, 0.0243802604315261)</v>
      </c>
      <c r="N742" s="4">
        <v>739</v>
      </c>
      <c r="O742" s="8">
        <f>$B$7*COUNTIF(Sheet2!$B$1:$B$132,N742)</f>
        <v>0</v>
      </c>
      <c r="P742" s="8">
        <f t="shared" ca="1" si="49"/>
        <v>0</v>
      </c>
      <c r="Q742" s="8">
        <f ca="1">CEILING(R741*(IF(N742&lt;=IF($B$2=0,0,OFFSET(Sheet2!$B$1,Sheet1!$B$2-1,0)),$B$1/(365*100),$B$3/(365*100)))*100,1)/100</f>
        <v>311.01</v>
      </c>
      <c r="R742" s="9">
        <f t="shared" ca="1" si="50"/>
        <v>762175.68743444816</v>
      </c>
    </row>
    <row r="743" spans="1:18" x14ac:dyDescent="0.25">
      <c r="A743">
        <v>6</v>
      </c>
      <c r="B743">
        <v>0</v>
      </c>
      <c r="C743">
        <v>21</v>
      </c>
      <c r="D743">
        <v>26.9</v>
      </c>
      <c r="E743">
        <v>49</v>
      </c>
      <c r="F743">
        <v>2.4067488775510206E-2</v>
      </c>
      <c r="G743" t="str">
        <f t="shared" si="51"/>
        <v>Insert into BlueCreditTypeRainbow Values (6, 0, 21, 26.9, 49, 0.0240674887755102)</v>
      </c>
      <c r="N743" s="4">
        <v>740</v>
      </c>
      <c r="O743" s="8">
        <f>$B$7*COUNTIF(Sheet2!$B$1:$B$132,N743)</f>
        <v>0</v>
      </c>
      <c r="P743" s="8">
        <f t="shared" ca="1" si="49"/>
        <v>0</v>
      </c>
      <c r="Q743" s="8">
        <f ca="1">CEILING(R742*(IF(N743&lt;=IF($B$2=0,0,OFFSET(Sheet2!$B$1,Sheet1!$B$2-1,0)),$B$1/(365*100),$B$3/(365*100)))*100,1)/100</f>
        <v>311.14</v>
      </c>
      <c r="R743" s="9">
        <f t="shared" ca="1" si="50"/>
        <v>762486.82743444818</v>
      </c>
    </row>
    <row r="744" spans="1:18" x14ac:dyDescent="0.25">
      <c r="A744">
        <v>6</v>
      </c>
      <c r="B744">
        <v>0</v>
      </c>
      <c r="C744">
        <v>21</v>
      </c>
      <c r="D744">
        <v>26.9</v>
      </c>
      <c r="E744">
        <v>50</v>
      </c>
      <c r="F744">
        <v>2.3769438932440181E-2</v>
      </c>
      <c r="G744" t="str">
        <f t="shared" si="51"/>
        <v>Insert into BlueCreditTypeRainbow Values (6, 0, 21, 26.9, 50, 0.0237694389324402)</v>
      </c>
      <c r="N744" s="4">
        <v>741</v>
      </c>
      <c r="O744" s="8">
        <f>$B$7*COUNTIF(Sheet2!$B$1:$B$132,N744)</f>
        <v>0</v>
      </c>
      <c r="P744" s="8">
        <f t="shared" ca="1" si="49"/>
        <v>0</v>
      </c>
      <c r="Q744" s="8">
        <f ca="1">CEILING(R743*(IF(N744&lt;=IF($B$2=0,0,OFFSET(Sheet2!$B$1,Sheet1!$B$2-1,0)),$B$1/(365*100),$B$3/(365*100)))*100,1)/100</f>
        <v>311.27</v>
      </c>
      <c r="R744" s="9">
        <f t="shared" ca="1" si="50"/>
        <v>762798.09743444819</v>
      </c>
    </row>
    <row r="745" spans="1:18" x14ac:dyDescent="0.25">
      <c r="A745">
        <v>6</v>
      </c>
      <c r="B745">
        <v>0</v>
      </c>
      <c r="C745">
        <v>21</v>
      </c>
      <c r="D745">
        <v>26.9</v>
      </c>
      <c r="E745">
        <v>51</v>
      </c>
      <c r="F745">
        <v>2.3484961720658525E-2</v>
      </c>
      <c r="G745" t="str">
        <f t="shared" si="51"/>
        <v>Insert into BlueCreditTypeRainbow Values (6, 0, 21, 26.9, 51, 0.0234849617206585)</v>
      </c>
      <c r="N745" s="4">
        <v>742</v>
      </c>
      <c r="O745" s="8">
        <f>$B$7*COUNTIF(Sheet2!$B$1:$B$132,N745)</f>
        <v>0</v>
      </c>
      <c r="P745" s="8">
        <f t="shared" ca="1" si="49"/>
        <v>0</v>
      </c>
      <c r="Q745" s="8">
        <f ca="1">CEILING(R744*(IF(N745&lt;=IF($B$2=0,0,OFFSET(Sheet2!$B$1,Sheet1!$B$2-1,0)),$B$1/(365*100),$B$3/(365*100)))*100,1)/100</f>
        <v>311.39</v>
      </c>
      <c r="R745" s="9">
        <f t="shared" ca="1" si="50"/>
        <v>763109.48743444821</v>
      </c>
    </row>
    <row r="746" spans="1:18" x14ac:dyDescent="0.25">
      <c r="A746">
        <v>6</v>
      </c>
      <c r="B746">
        <v>0</v>
      </c>
      <c r="C746">
        <v>21</v>
      </c>
      <c r="D746">
        <v>26.9</v>
      </c>
      <c r="E746">
        <v>52</v>
      </c>
      <c r="F746">
        <v>2.3213410769230794E-2</v>
      </c>
      <c r="G746" t="str">
        <f t="shared" si="51"/>
        <v>Insert into BlueCreditTypeRainbow Values (6, 0, 21, 26.9, 52, 0.0232134107692308)</v>
      </c>
      <c r="N746" s="4">
        <v>743</v>
      </c>
      <c r="O746" s="8">
        <f>$B$7*COUNTIF(Sheet2!$B$1:$B$132,N746)</f>
        <v>0</v>
      </c>
      <c r="P746" s="8">
        <f t="shared" ca="1" si="49"/>
        <v>0</v>
      </c>
      <c r="Q746" s="8">
        <f ca="1">CEILING(R745*(IF(N746&lt;=IF($B$2=0,0,OFFSET(Sheet2!$B$1,Sheet1!$B$2-1,0)),$B$1/(365*100),$B$3/(365*100)))*100,1)/100</f>
        <v>311.52</v>
      </c>
      <c r="R746" s="9">
        <f t="shared" ca="1" si="50"/>
        <v>763421.00743444823</v>
      </c>
    </row>
    <row r="747" spans="1:18" x14ac:dyDescent="0.25">
      <c r="A747">
        <v>6</v>
      </c>
      <c r="B747">
        <v>0</v>
      </c>
      <c r="C747">
        <v>21</v>
      </c>
      <c r="D747">
        <v>26.9</v>
      </c>
      <c r="E747">
        <v>53</v>
      </c>
      <c r="F747">
        <v>2.295380362009862E-2</v>
      </c>
      <c r="G747" t="str">
        <f t="shared" si="51"/>
        <v>Insert into BlueCreditTypeRainbow Values (6, 0, 21, 26.9, 53, 0.0229538036200986)</v>
      </c>
      <c r="N747" s="4">
        <v>744</v>
      </c>
      <c r="O747" s="8">
        <f>$B$7*COUNTIF(Sheet2!$B$1:$B$132,N747)</f>
        <v>0</v>
      </c>
      <c r="P747" s="8">
        <f t="shared" ca="1" si="49"/>
        <v>0</v>
      </c>
      <c r="Q747" s="8">
        <f ca="1">CEILING(R746*(IF(N747&lt;=IF($B$2=0,0,OFFSET(Sheet2!$B$1,Sheet1!$B$2-1,0)),$B$1/(365*100),$B$3/(365*100)))*100,1)/100</f>
        <v>311.64999999999998</v>
      </c>
      <c r="R747" s="9">
        <f t="shared" ca="1" si="50"/>
        <v>763732.65743444825</v>
      </c>
    </row>
    <row r="748" spans="1:18" x14ac:dyDescent="0.25">
      <c r="A748">
        <v>6</v>
      </c>
      <c r="B748">
        <v>0</v>
      </c>
      <c r="C748">
        <v>21</v>
      </c>
      <c r="D748">
        <v>26.9</v>
      </c>
      <c r="E748">
        <v>54</v>
      </c>
      <c r="F748">
        <v>2.270542551261984E-2</v>
      </c>
      <c r="G748" t="str">
        <f t="shared" si="51"/>
        <v>Insert into BlueCreditTypeRainbow Values (6, 0, 21, 26.9, 54, 0.0227054255126198)</v>
      </c>
      <c r="N748" s="4">
        <v>745</v>
      </c>
      <c r="O748" s="8">
        <f>$B$7*COUNTIF(Sheet2!$B$1:$B$132,N748)</f>
        <v>0</v>
      </c>
      <c r="P748" s="8">
        <f t="shared" ca="1" si="49"/>
        <v>0</v>
      </c>
      <c r="Q748" s="8">
        <f ca="1">CEILING(R747*(IF(N748&lt;=IF($B$2=0,0,OFFSET(Sheet2!$B$1,Sheet1!$B$2-1,0)),$B$1/(365*100),$B$3/(365*100)))*100,1)/100</f>
        <v>311.77999999999997</v>
      </c>
      <c r="R748" s="9">
        <f t="shared" ca="1" si="50"/>
        <v>764044.43743444828</v>
      </c>
    </row>
    <row r="749" spans="1:18" x14ac:dyDescent="0.25">
      <c r="A749">
        <v>6</v>
      </c>
      <c r="B749">
        <v>0</v>
      </c>
      <c r="C749">
        <v>21</v>
      </c>
      <c r="D749">
        <v>26.9</v>
      </c>
      <c r="E749">
        <v>55</v>
      </c>
      <c r="F749">
        <v>2.2467802150823113E-2</v>
      </c>
      <c r="G749" t="str">
        <f t="shared" si="51"/>
        <v>Insert into BlueCreditTypeRainbow Values (6, 0, 21, 26.9, 55, 0.0224678021508231)</v>
      </c>
      <c r="N749" s="4">
        <v>746</v>
      </c>
      <c r="O749" s="8">
        <f>$B$7*COUNTIF(Sheet2!$B$1:$B$132,N749)</f>
        <v>0</v>
      </c>
      <c r="P749" s="8">
        <f t="shared" ca="1" si="49"/>
        <v>0</v>
      </c>
      <c r="Q749" s="8">
        <f ca="1">CEILING(R748*(IF(N749&lt;=IF($B$2=0,0,OFFSET(Sheet2!$B$1,Sheet1!$B$2-1,0)),$B$1/(365*100),$B$3/(365*100)))*100,1)/100</f>
        <v>311.89999999999998</v>
      </c>
      <c r="R749" s="9">
        <f t="shared" ca="1" si="50"/>
        <v>764356.3374344483</v>
      </c>
    </row>
    <row r="750" spans="1:18" x14ac:dyDescent="0.25">
      <c r="A750">
        <v>6</v>
      </c>
      <c r="B750">
        <v>0</v>
      </c>
      <c r="C750">
        <v>21</v>
      </c>
      <c r="D750">
        <v>26.9</v>
      </c>
      <c r="E750">
        <v>56</v>
      </c>
      <c r="F750">
        <v>2.224013072872582E-2</v>
      </c>
      <c r="G750" t="str">
        <f t="shared" si="51"/>
        <v>Insert into BlueCreditTypeRainbow Values (6, 0, 21, 26.9, 56, 0.0222401307287258)</v>
      </c>
      <c r="N750" s="4">
        <v>747</v>
      </c>
      <c r="O750" s="8">
        <f>$B$7*COUNTIF(Sheet2!$B$1:$B$132,N750)</f>
        <v>0</v>
      </c>
      <c r="P750" s="8">
        <f t="shared" ca="1" si="49"/>
        <v>0</v>
      </c>
      <c r="Q750" s="8">
        <f ca="1">CEILING(R749*(IF(N750&lt;=IF($B$2=0,0,OFFSET(Sheet2!$B$1,Sheet1!$B$2-1,0)),$B$1/(365*100),$B$3/(365*100)))*100,1)/100</f>
        <v>312.02999999999997</v>
      </c>
      <c r="R750" s="9">
        <f t="shared" ca="1" si="50"/>
        <v>764668.36743444833</v>
      </c>
    </row>
    <row r="751" spans="1:18" x14ac:dyDescent="0.25">
      <c r="A751">
        <v>6</v>
      </c>
      <c r="B751">
        <v>0</v>
      </c>
      <c r="C751">
        <v>21</v>
      </c>
      <c r="D751">
        <v>26.9</v>
      </c>
      <c r="E751">
        <v>57</v>
      </c>
      <c r="F751">
        <v>2.2022014928915742E-2</v>
      </c>
      <c r="G751" t="str">
        <f t="shared" si="51"/>
        <v>Insert into BlueCreditTypeRainbow Values (6, 0, 21, 26.9, 57, 0.0220220149289157)</v>
      </c>
      <c r="N751" s="4">
        <v>748</v>
      </c>
      <c r="O751" s="8">
        <f>$B$7*COUNTIF(Sheet2!$B$1:$B$132,N751)</f>
        <v>0</v>
      </c>
      <c r="P751" s="8">
        <f t="shared" ca="1" si="49"/>
        <v>0</v>
      </c>
      <c r="Q751" s="8">
        <f ca="1">CEILING(R750*(IF(N751&lt;=IF($B$2=0,0,OFFSET(Sheet2!$B$1,Sheet1!$B$2-1,0)),$B$1/(365*100),$B$3/(365*100)))*100,1)/100</f>
        <v>312.16000000000003</v>
      </c>
      <c r="R751" s="9">
        <f t="shared" ca="1" si="50"/>
        <v>764980.52743444836</v>
      </c>
    </row>
    <row r="752" spans="1:18" x14ac:dyDescent="0.25">
      <c r="A752">
        <v>6</v>
      </c>
      <c r="B752">
        <v>0</v>
      </c>
      <c r="C752">
        <v>21</v>
      </c>
      <c r="D752">
        <v>26.9</v>
      </c>
      <c r="E752">
        <v>58</v>
      </c>
      <c r="F752">
        <v>2.181277108135617E-2</v>
      </c>
      <c r="G752" t="str">
        <f t="shared" si="51"/>
        <v>Insert into BlueCreditTypeRainbow Values (6, 0, 21, 26.9, 58, 0.0218127710813562)</v>
      </c>
      <c r="N752" s="4">
        <v>749</v>
      </c>
      <c r="O752" s="8">
        <f>$B$7*COUNTIF(Sheet2!$B$1:$B$132,N752)</f>
        <v>0</v>
      </c>
      <c r="P752" s="8">
        <f t="shared" ca="1" si="49"/>
        <v>0</v>
      </c>
      <c r="Q752" s="8">
        <f ca="1">CEILING(R751*(IF(N752&lt;=IF($B$2=0,0,OFFSET(Sheet2!$B$1,Sheet1!$B$2-1,0)),$B$1/(365*100),$B$3/(365*100)))*100,1)/100</f>
        <v>312.27999999999997</v>
      </c>
      <c r="R752" s="9">
        <f t="shared" ca="1" si="50"/>
        <v>765292.80743444839</v>
      </c>
    </row>
    <row r="753" spans="1:18" x14ac:dyDescent="0.25">
      <c r="A753">
        <v>6</v>
      </c>
      <c r="B753">
        <v>0</v>
      </c>
      <c r="C753">
        <v>21</v>
      </c>
      <c r="D753">
        <v>26.9</v>
      </c>
      <c r="E753">
        <v>59</v>
      </c>
      <c r="F753">
        <v>2.1612057629083817E-2</v>
      </c>
      <c r="G753" t="str">
        <f t="shared" si="51"/>
        <v>Insert into BlueCreditTypeRainbow Values (6, 0, 21, 26.9, 59, 0.0216120576290838)</v>
      </c>
      <c r="N753" s="4">
        <v>750</v>
      </c>
      <c r="O753" s="8">
        <f>$B$7*COUNTIF(Sheet2!$B$1:$B$132,N753)</f>
        <v>0</v>
      </c>
      <c r="P753" s="8">
        <f t="shared" ca="1" si="49"/>
        <v>0</v>
      </c>
      <c r="Q753" s="8">
        <f ca="1">CEILING(R752*(IF(N753&lt;=IF($B$2=0,0,OFFSET(Sheet2!$B$1,Sheet1!$B$2-1,0)),$B$1/(365*100),$B$3/(365*100)))*100,1)/100</f>
        <v>312.41000000000003</v>
      </c>
      <c r="R753" s="9">
        <f t="shared" ca="1" si="50"/>
        <v>765605.21743444842</v>
      </c>
    </row>
    <row r="754" spans="1:18" x14ac:dyDescent="0.25">
      <c r="A754">
        <v>6</v>
      </c>
      <c r="B754">
        <v>0</v>
      </c>
      <c r="C754">
        <v>21</v>
      </c>
      <c r="D754">
        <v>26.9</v>
      </c>
      <c r="E754">
        <v>60</v>
      </c>
      <c r="F754">
        <v>2.1419267840406177E-2</v>
      </c>
      <c r="G754" t="str">
        <f t="shared" si="51"/>
        <v>Insert into BlueCreditTypeRainbow Values (6, 0, 21, 26.9, 60, 0.0214192678404062)</v>
      </c>
      <c r="N754" s="4">
        <v>751</v>
      </c>
      <c r="O754" s="8">
        <f>$B$7*COUNTIF(Sheet2!$B$1:$B$132,N754)</f>
        <v>0</v>
      </c>
      <c r="P754" s="8">
        <f t="shared" ca="1" si="49"/>
        <v>0</v>
      </c>
      <c r="Q754" s="8">
        <f ca="1">CEILING(R753*(IF(N754&lt;=IF($B$2=0,0,OFFSET(Sheet2!$B$1,Sheet1!$B$2-1,0)),$B$1/(365*100),$B$3/(365*100)))*100,1)/100</f>
        <v>312.54000000000002</v>
      </c>
      <c r="R754" s="9">
        <f t="shared" ca="1" si="50"/>
        <v>765917.75743444846</v>
      </c>
    </row>
    <row r="755" spans="1:18" x14ac:dyDescent="0.25">
      <c r="A755">
        <v>6</v>
      </c>
      <c r="B755">
        <v>0</v>
      </c>
      <c r="C755">
        <v>20</v>
      </c>
      <c r="D755">
        <v>26.9</v>
      </c>
      <c r="E755">
        <v>48</v>
      </c>
      <c r="F755">
        <v>2.4665636137314109E-2</v>
      </c>
      <c r="G755" t="str">
        <f t="shared" si="51"/>
        <v>Insert into BlueCreditTypeRainbow Values (6, 0, 20, 26.9, 48, 0.0246656361373141)</v>
      </c>
      <c r="N755" s="4">
        <v>752</v>
      </c>
      <c r="O755" s="8">
        <f>$B$7*COUNTIF(Sheet2!$B$1:$B$132,N755)</f>
        <v>0</v>
      </c>
      <c r="P755" s="8">
        <f t="shared" ca="1" si="49"/>
        <v>0</v>
      </c>
      <c r="Q755" s="8">
        <f ca="1">CEILING(R754*(IF(N755&lt;=IF($B$2=0,0,OFFSET(Sheet2!$B$1,Sheet1!$B$2-1,0)),$B$1/(365*100),$B$3/(365*100)))*100,1)/100</f>
        <v>312.67</v>
      </c>
      <c r="R755" s="9">
        <f t="shared" ca="1" si="50"/>
        <v>766230.4274344485</v>
      </c>
    </row>
    <row r="756" spans="1:18" x14ac:dyDescent="0.25">
      <c r="A756">
        <v>6</v>
      </c>
      <c r="B756">
        <v>0</v>
      </c>
      <c r="C756">
        <v>20</v>
      </c>
      <c r="D756">
        <v>26.9</v>
      </c>
      <c r="E756">
        <v>49</v>
      </c>
      <c r="F756">
        <v>2.4352678581736217E-2</v>
      </c>
      <c r="G756" t="str">
        <f t="shared" si="51"/>
        <v>Insert into BlueCreditTypeRainbow Values (6, 0, 20, 26.9, 49, 0.0243526785817362)</v>
      </c>
      <c r="N756" s="4">
        <v>753</v>
      </c>
      <c r="O756" s="8">
        <f>$B$7*COUNTIF(Sheet2!$B$1:$B$132,N756)</f>
        <v>0</v>
      </c>
      <c r="P756" s="8">
        <f t="shared" ca="1" si="49"/>
        <v>0</v>
      </c>
      <c r="Q756" s="8">
        <f ca="1">CEILING(R755*(IF(N756&lt;=IF($B$2=0,0,OFFSET(Sheet2!$B$1,Sheet1!$B$2-1,0)),$B$1/(365*100),$B$3/(365*100)))*100,1)/100</f>
        <v>312.79000000000002</v>
      </c>
      <c r="R756" s="9">
        <f t="shared" ca="1" si="50"/>
        <v>766543.21743444854</v>
      </c>
    </row>
    <row r="757" spans="1:18" x14ac:dyDescent="0.25">
      <c r="A757">
        <v>6</v>
      </c>
      <c r="B757">
        <v>0</v>
      </c>
      <c r="C757">
        <v>20</v>
      </c>
      <c r="D757">
        <v>26.9</v>
      </c>
      <c r="E757">
        <v>50</v>
      </c>
      <c r="F757">
        <v>2.4054374819872149E-2</v>
      </c>
      <c r="G757" t="str">
        <f t="shared" si="51"/>
        <v>Insert into BlueCreditTypeRainbow Values (6, 0, 20, 26.9, 50, 0.0240543748198721)</v>
      </c>
      <c r="N757" s="4">
        <v>754</v>
      </c>
      <c r="O757" s="8">
        <f>$B$7*COUNTIF(Sheet2!$B$1:$B$132,N757)</f>
        <v>0</v>
      </c>
      <c r="P757" s="8">
        <f t="shared" ca="1" si="49"/>
        <v>0</v>
      </c>
      <c r="Q757" s="8">
        <f ca="1">CEILING(R756*(IF(N757&lt;=IF($B$2=0,0,OFFSET(Sheet2!$B$1,Sheet1!$B$2-1,0)),$B$1/(365*100),$B$3/(365*100)))*100,1)/100</f>
        <v>312.92</v>
      </c>
      <c r="R757" s="9">
        <f t="shared" ca="1" si="50"/>
        <v>766856.13743444858</v>
      </c>
    </row>
    <row r="758" spans="1:18" x14ac:dyDescent="0.25">
      <c r="A758">
        <v>6</v>
      </c>
      <c r="B758">
        <v>0</v>
      </c>
      <c r="C758">
        <v>20</v>
      </c>
      <c r="D758">
        <v>26.9</v>
      </c>
      <c r="E758">
        <v>51</v>
      </c>
      <c r="F758">
        <v>2.3769576485436403E-2</v>
      </c>
      <c r="G758" t="str">
        <f t="shared" si="51"/>
        <v>Insert into BlueCreditTypeRainbow Values (6, 0, 20, 26.9, 51, 0.0237695764854364)</v>
      </c>
      <c r="N758" s="4">
        <v>755</v>
      </c>
      <c r="O758" s="8">
        <f>$B$7*COUNTIF(Sheet2!$B$1:$B$132,N758)</f>
        <v>0</v>
      </c>
      <c r="P758" s="8">
        <f t="shared" ca="1" si="49"/>
        <v>0</v>
      </c>
      <c r="Q758" s="8">
        <f ca="1">CEILING(R757*(IF(N758&lt;=IF($B$2=0,0,OFFSET(Sheet2!$B$1,Sheet1!$B$2-1,0)),$B$1/(365*100),$B$3/(365*100)))*100,1)/100</f>
        <v>313.05</v>
      </c>
      <c r="R758" s="9">
        <f t="shared" ca="1" si="50"/>
        <v>767169.18743444863</v>
      </c>
    </row>
    <row r="759" spans="1:18" x14ac:dyDescent="0.25">
      <c r="A759">
        <v>6</v>
      </c>
      <c r="B759">
        <v>0</v>
      </c>
      <c r="C759">
        <v>20</v>
      </c>
      <c r="D759">
        <v>26.9</v>
      </c>
      <c r="E759">
        <v>52</v>
      </c>
      <c r="F759">
        <v>2.3497648252607996E-2</v>
      </c>
      <c r="G759" t="str">
        <f t="shared" si="51"/>
        <v>Insert into BlueCreditTypeRainbow Values (6, 0, 20, 26.9, 52, 0.023497648252608)</v>
      </c>
      <c r="N759" s="4">
        <v>756</v>
      </c>
      <c r="O759" s="8">
        <f>$B$7*COUNTIF(Sheet2!$B$1:$B$132,N759)</f>
        <v>0</v>
      </c>
      <c r="P759" s="8">
        <f t="shared" ca="1" si="49"/>
        <v>0</v>
      </c>
      <c r="Q759" s="8">
        <f ca="1">CEILING(R758*(IF(N759&lt;=IF($B$2=0,0,OFFSET(Sheet2!$B$1,Sheet1!$B$2-1,0)),$B$1/(365*100),$B$3/(365*100)))*100,1)/100</f>
        <v>313.18</v>
      </c>
      <c r="R759" s="9">
        <f t="shared" ca="1" si="50"/>
        <v>767482.36743444868</v>
      </c>
    </row>
    <row r="760" spans="1:18" x14ac:dyDescent="0.25">
      <c r="A760">
        <v>6</v>
      </c>
      <c r="B760">
        <v>0</v>
      </c>
      <c r="C760">
        <v>20</v>
      </c>
      <c r="D760">
        <v>26.9</v>
      </c>
      <c r="E760">
        <v>53</v>
      </c>
      <c r="F760">
        <v>2.3237624100533375E-2</v>
      </c>
      <c r="G760" t="str">
        <f t="shared" si="51"/>
        <v>Insert into BlueCreditTypeRainbow Values (6, 0, 20, 26.9, 53, 0.0232376241005334)</v>
      </c>
      <c r="N760" s="4">
        <v>757</v>
      </c>
      <c r="O760" s="8">
        <f>$B$7*COUNTIF(Sheet2!$B$1:$B$132,N760)</f>
        <v>0</v>
      </c>
      <c r="P760" s="8">
        <f t="shared" ca="1" si="49"/>
        <v>0</v>
      </c>
      <c r="Q760" s="8">
        <f ca="1">CEILING(R759*(IF(N760&lt;=IF($B$2=0,0,OFFSET(Sheet2!$B$1,Sheet1!$B$2-1,0)),$B$1/(365*100),$B$3/(365*100)))*100,1)/100</f>
        <v>313.31</v>
      </c>
      <c r="R760" s="9">
        <f t="shared" ca="1" si="50"/>
        <v>767795.67743444873</v>
      </c>
    </row>
    <row r="761" spans="1:18" x14ac:dyDescent="0.25">
      <c r="A761">
        <v>6</v>
      </c>
      <c r="B761">
        <v>0</v>
      </c>
      <c r="C761">
        <v>20</v>
      </c>
      <c r="D761">
        <v>26.9</v>
      </c>
      <c r="E761">
        <v>54</v>
      </c>
      <c r="F761">
        <v>2.298878742285846E-2</v>
      </c>
      <c r="G761" t="str">
        <f t="shared" si="51"/>
        <v>Insert into BlueCreditTypeRainbow Values (6, 0, 20, 26.9, 54, 0.0229887874228585)</v>
      </c>
      <c r="N761" s="4">
        <v>758</v>
      </c>
      <c r="O761" s="8">
        <f>$B$7*COUNTIF(Sheet2!$B$1:$B$132,N761)</f>
        <v>0</v>
      </c>
      <c r="P761" s="8">
        <f t="shared" ca="1" si="49"/>
        <v>0</v>
      </c>
      <c r="Q761" s="8">
        <f ca="1">CEILING(R760*(IF(N761&lt;=IF($B$2=0,0,OFFSET(Sheet2!$B$1,Sheet1!$B$2-1,0)),$B$1/(365*100),$B$3/(365*100)))*100,1)/100</f>
        <v>313.43</v>
      </c>
      <c r="R761" s="9">
        <f t="shared" ca="1" si="50"/>
        <v>768109.10743444879</v>
      </c>
    </row>
    <row r="762" spans="1:18" x14ac:dyDescent="0.25">
      <c r="A762">
        <v>6</v>
      </c>
      <c r="B762">
        <v>0</v>
      </c>
      <c r="C762">
        <v>20</v>
      </c>
      <c r="D762">
        <v>26.9</v>
      </c>
      <c r="E762">
        <v>55</v>
      </c>
      <c r="F762">
        <v>2.2750669468086883E-2</v>
      </c>
      <c r="G762" t="str">
        <f t="shared" si="51"/>
        <v>Insert into BlueCreditTypeRainbow Values (6, 0, 20, 26.9, 55, 0.0227506694680869)</v>
      </c>
      <c r="N762" s="4">
        <v>759</v>
      </c>
      <c r="O762" s="8">
        <f>$B$7*COUNTIF(Sheet2!$B$1:$B$132,N762)</f>
        <v>0</v>
      </c>
      <c r="P762" s="8">
        <f t="shared" ca="1" si="49"/>
        <v>0</v>
      </c>
      <c r="Q762" s="8">
        <f ca="1">CEILING(R761*(IF(N762&lt;=IF($B$2=0,0,OFFSET(Sheet2!$B$1,Sheet1!$B$2-1,0)),$B$1/(365*100),$B$3/(365*100)))*100,1)/100</f>
        <v>313.56</v>
      </c>
      <c r="R762" s="9">
        <f t="shared" ca="1" si="50"/>
        <v>768422.66743444884</v>
      </c>
    </row>
    <row r="763" spans="1:18" x14ac:dyDescent="0.25">
      <c r="A763">
        <v>6</v>
      </c>
      <c r="B763">
        <v>0</v>
      </c>
      <c r="C763">
        <v>20</v>
      </c>
      <c r="D763">
        <v>26.9</v>
      </c>
      <c r="E763">
        <v>56</v>
      </c>
      <c r="F763">
        <v>2.2522471439361234E-2</v>
      </c>
      <c r="G763" t="str">
        <f t="shared" si="51"/>
        <v>Insert into BlueCreditTypeRainbow Values (6, 0, 20, 26.9, 56, 0.0225224714393612)</v>
      </c>
      <c r="N763" s="4">
        <v>760</v>
      </c>
      <c r="O763" s="8">
        <f>$B$7*COUNTIF(Sheet2!$B$1:$B$132,N763)</f>
        <v>0</v>
      </c>
      <c r="P763" s="8">
        <f t="shared" ca="1" si="49"/>
        <v>0</v>
      </c>
      <c r="Q763" s="8">
        <f ca="1">CEILING(R762*(IF(N763&lt;=IF($B$2=0,0,OFFSET(Sheet2!$B$1,Sheet1!$B$2-1,0)),$B$1/(365*100),$B$3/(365*100)))*100,1)/100</f>
        <v>313.69</v>
      </c>
      <c r="R763" s="9">
        <f t="shared" ca="1" si="50"/>
        <v>768736.35743444879</v>
      </c>
    </row>
    <row r="764" spans="1:18" x14ac:dyDescent="0.25">
      <c r="A764">
        <v>6</v>
      </c>
      <c r="B764">
        <v>0</v>
      </c>
      <c r="C764">
        <v>20</v>
      </c>
      <c r="D764">
        <v>26.9</v>
      </c>
      <c r="E764">
        <v>57</v>
      </c>
      <c r="F764">
        <v>2.2303814162130241E-2</v>
      </c>
      <c r="G764" t="str">
        <f t="shared" si="51"/>
        <v>Insert into BlueCreditTypeRainbow Values (6, 0, 20, 26.9, 57, 0.0223038141621302)</v>
      </c>
      <c r="N764" s="4">
        <v>761</v>
      </c>
      <c r="O764" s="8">
        <f>$B$7*COUNTIF(Sheet2!$B$1:$B$132,N764)</f>
        <v>0</v>
      </c>
      <c r="P764" s="8">
        <f t="shared" ca="1" si="49"/>
        <v>0</v>
      </c>
      <c r="Q764" s="8">
        <f ca="1">CEILING(R763*(IF(N764&lt;=IF($B$2=0,0,OFFSET(Sheet2!$B$1,Sheet1!$B$2-1,0)),$B$1/(365*100),$B$3/(365*100)))*100,1)/100</f>
        <v>313.82</v>
      </c>
      <c r="R764" s="9">
        <f t="shared" ca="1" si="50"/>
        <v>769050.17743444873</v>
      </c>
    </row>
    <row r="765" spans="1:18" x14ac:dyDescent="0.25">
      <c r="A765">
        <v>6</v>
      </c>
      <c r="B765">
        <v>0</v>
      </c>
      <c r="C765">
        <v>20</v>
      </c>
      <c r="D765">
        <v>26.9</v>
      </c>
      <c r="E765">
        <v>58</v>
      </c>
      <c r="F765">
        <v>2.2094004999999983E-2</v>
      </c>
      <c r="G765" t="str">
        <f t="shared" si="51"/>
        <v>Insert into BlueCreditTypeRainbow Values (6, 0, 20, 26.9, 58, 0.022094005)</v>
      </c>
      <c r="N765" s="4">
        <v>762</v>
      </c>
      <c r="O765" s="8">
        <f>$B$7*COUNTIF(Sheet2!$B$1:$B$132,N765)</f>
        <v>21157.10552356458</v>
      </c>
      <c r="P765" s="8">
        <f t="shared" ca="1" si="49"/>
        <v>20843.155523564579</v>
      </c>
      <c r="Q765" s="8">
        <f ca="1">CEILING(R764*(IF(N765&lt;=IF($B$2=0,0,OFFSET(Sheet2!$B$1,Sheet1!$B$2-1,0)),$B$1/(365*100),$B$3/(365*100)))*100,1)/100</f>
        <v>313.95</v>
      </c>
      <c r="R765" s="9">
        <f t="shared" ca="1" si="50"/>
        <v>748207.02191088407</v>
      </c>
    </row>
    <row r="766" spans="1:18" x14ac:dyDescent="0.25">
      <c r="A766">
        <v>6</v>
      </c>
      <c r="B766">
        <v>0</v>
      </c>
      <c r="C766">
        <v>20</v>
      </c>
      <c r="D766">
        <v>26.9</v>
      </c>
      <c r="E766">
        <v>59</v>
      </c>
      <c r="F766">
        <v>2.1892713383795556E-2</v>
      </c>
      <c r="G766" t="str">
        <f t="shared" si="51"/>
        <v>Insert into BlueCreditTypeRainbow Values (6, 0, 20, 26.9, 59, 0.0218927133837956)</v>
      </c>
      <c r="N766" s="4">
        <v>763</v>
      </c>
      <c r="O766" s="8">
        <f>$B$7*COUNTIF(Sheet2!$B$1:$B$132,N766)</f>
        <v>0</v>
      </c>
      <c r="P766" s="8">
        <f t="shared" ca="1" si="49"/>
        <v>0</v>
      </c>
      <c r="Q766" s="8">
        <f ca="1">CEILING(R765*(IF(N766&lt;=IF($B$2=0,0,OFFSET(Sheet2!$B$1,Sheet1!$B$2-1,0)),$B$1/(365*100),$B$3/(365*100)))*100,1)/100</f>
        <v>305.44</v>
      </c>
      <c r="R766" s="9">
        <f t="shared" ca="1" si="50"/>
        <v>748512.46191088401</v>
      </c>
    </row>
    <row r="767" spans="1:18" x14ac:dyDescent="0.25">
      <c r="A767">
        <v>6</v>
      </c>
      <c r="B767">
        <v>0</v>
      </c>
      <c r="C767">
        <v>20</v>
      </c>
      <c r="D767">
        <v>26.9</v>
      </c>
      <c r="E767">
        <v>60</v>
      </c>
      <c r="F767">
        <v>2.1699338994052762E-2</v>
      </c>
      <c r="G767" t="str">
        <f t="shared" si="51"/>
        <v>Insert into BlueCreditTypeRainbow Values (6, 0, 20, 26.9, 60, 0.0216993389940528)</v>
      </c>
      <c r="N767" s="4">
        <v>764</v>
      </c>
      <c r="O767" s="8">
        <f>$B$7*COUNTIF(Sheet2!$B$1:$B$132,N767)</f>
        <v>0</v>
      </c>
      <c r="P767" s="8">
        <f t="shared" ca="1" si="49"/>
        <v>0</v>
      </c>
      <c r="Q767" s="8">
        <f ca="1">CEILING(R766*(IF(N767&lt;=IF($B$2=0,0,OFFSET(Sheet2!$B$1,Sheet1!$B$2-1,0)),$B$1/(365*100),$B$3/(365*100)))*100,1)/100</f>
        <v>305.56</v>
      </c>
      <c r="R767" s="9">
        <f t="shared" ca="1" si="50"/>
        <v>748818.02191088407</v>
      </c>
    </row>
    <row r="768" spans="1:18" x14ac:dyDescent="0.25">
      <c r="A768">
        <v>6</v>
      </c>
      <c r="B768">
        <v>0</v>
      </c>
      <c r="C768">
        <v>19</v>
      </c>
      <c r="D768">
        <v>26.9</v>
      </c>
      <c r="E768">
        <v>48</v>
      </c>
      <c r="F768">
        <v>2.4955487655099647E-2</v>
      </c>
      <c r="G768" t="str">
        <f t="shared" si="51"/>
        <v>Insert into BlueCreditTypeRainbow Values (6, 0, 19, 26.9, 48, 0.0249554876550996)</v>
      </c>
      <c r="N768" s="4">
        <v>765</v>
      </c>
      <c r="O768" s="8">
        <f>$B$7*COUNTIF(Sheet2!$B$1:$B$132,N768)</f>
        <v>0</v>
      </c>
      <c r="P768" s="8">
        <f t="shared" ca="1" si="49"/>
        <v>0</v>
      </c>
      <c r="Q768" s="8">
        <f ca="1">CEILING(R767*(IF(N768&lt;=IF($B$2=0,0,OFFSET(Sheet2!$B$1,Sheet1!$B$2-1,0)),$B$1/(365*100),$B$3/(365*100)))*100,1)/100</f>
        <v>305.69</v>
      </c>
      <c r="R768" s="9">
        <f t="shared" ca="1" si="50"/>
        <v>749123.71191088401</v>
      </c>
    </row>
    <row r="769" spans="1:18" x14ac:dyDescent="0.25">
      <c r="A769">
        <v>6</v>
      </c>
      <c r="B769">
        <v>0</v>
      </c>
      <c r="C769">
        <v>19</v>
      </c>
      <c r="D769">
        <v>26.9</v>
      </c>
      <c r="E769">
        <v>49</v>
      </c>
      <c r="F769">
        <v>2.4642099841792071E-2</v>
      </c>
      <c r="G769" t="str">
        <f t="shared" si="51"/>
        <v>Insert into BlueCreditTypeRainbow Values (6, 0, 19, 26.9, 49, 0.0246420998417921)</v>
      </c>
      <c r="N769" s="4">
        <v>766</v>
      </c>
      <c r="O769" s="8">
        <f>$B$7*COUNTIF(Sheet2!$B$1:$B$132,N769)</f>
        <v>0</v>
      </c>
      <c r="P769" s="8">
        <f t="shared" ca="1" si="49"/>
        <v>0</v>
      </c>
      <c r="Q769" s="8">
        <f ca="1">CEILING(R768*(IF(N769&lt;=IF($B$2=0,0,OFFSET(Sheet2!$B$1,Sheet1!$B$2-1,0)),$B$1/(365*100),$B$3/(365*100)))*100,1)/100</f>
        <v>305.81</v>
      </c>
      <c r="R769" s="9">
        <f t="shared" ca="1" si="50"/>
        <v>749429.52191088407</v>
      </c>
    </row>
    <row r="770" spans="1:18" x14ac:dyDescent="0.25">
      <c r="A770">
        <v>6</v>
      </c>
      <c r="B770">
        <v>0</v>
      </c>
      <c r="C770">
        <v>19</v>
      </c>
      <c r="D770">
        <v>26.9</v>
      </c>
      <c r="E770">
        <v>50</v>
      </c>
      <c r="F770">
        <v>2.4343303086346746E-2</v>
      </c>
      <c r="G770" t="str">
        <f t="shared" si="51"/>
        <v>Insert into BlueCreditTypeRainbow Values (6, 0, 19, 26.9, 50, 0.0243433030863467)</v>
      </c>
      <c r="N770" s="4">
        <v>767</v>
      </c>
      <c r="O770" s="8">
        <f>$B$7*COUNTIF(Sheet2!$B$1:$B$132,N770)</f>
        <v>0</v>
      </c>
      <c r="P770" s="8">
        <f t="shared" ca="1" si="49"/>
        <v>0</v>
      </c>
      <c r="Q770" s="8">
        <f ca="1">CEILING(R769*(IF(N770&lt;=IF($B$2=0,0,OFFSET(Sheet2!$B$1,Sheet1!$B$2-1,0)),$B$1/(365*100),$B$3/(365*100)))*100,1)/100</f>
        <v>305.94</v>
      </c>
      <c r="R770" s="9">
        <f t="shared" ca="1" si="50"/>
        <v>749735.46191088401</v>
      </c>
    </row>
    <row r="771" spans="1:18" x14ac:dyDescent="0.25">
      <c r="A771">
        <v>6</v>
      </c>
      <c r="B771">
        <v>0</v>
      </c>
      <c r="C771">
        <v>19</v>
      </c>
      <c r="D771">
        <v>26.9</v>
      </c>
      <c r="E771">
        <v>51</v>
      </c>
      <c r="F771">
        <v>2.4057961764705909E-2</v>
      </c>
      <c r="G771" t="str">
        <f t="shared" si="51"/>
        <v>Insert into BlueCreditTypeRainbow Values (6, 0, 19, 26.9, 51, 0.0240579617647059)</v>
      </c>
      <c r="N771" s="4">
        <v>768</v>
      </c>
      <c r="O771" s="8">
        <f>$B$7*COUNTIF(Sheet2!$B$1:$B$132,N771)</f>
        <v>0</v>
      </c>
      <c r="P771" s="8">
        <f t="shared" ca="1" si="49"/>
        <v>0</v>
      </c>
      <c r="Q771" s="8">
        <f ca="1">CEILING(R770*(IF(N771&lt;=IF($B$2=0,0,OFFSET(Sheet2!$B$1,Sheet1!$B$2-1,0)),$B$1/(365*100),$B$3/(365*100)))*100,1)/100</f>
        <v>306.06</v>
      </c>
      <c r="R771" s="9">
        <f t="shared" ca="1" si="50"/>
        <v>750041.52191088407</v>
      </c>
    </row>
    <row r="772" spans="1:18" x14ac:dyDescent="0.25">
      <c r="A772">
        <v>6</v>
      </c>
      <c r="B772">
        <v>0</v>
      </c>
      <c r="C772">
        <v>19</v>
      </c>
      <c r="D772">
        <v>26.9</v>
      </c>
      <c r="E772">
        <v>52</v>
      </c>
      <c r="F772">
        <v>2.3785458477634792E-2</v>
      </c>
      <c r="G772" t="str">
        <f t="shared" si="51"/>
        <v>Insert into BlueCreditTypeRainbow Values (6, 0, 19, 26.9, 52, 0.0237854584776348)</v>
      </c>
      <c r="N772" s="4">
        <v>769</v>
      </c>
      <c r="O772" s="8">
        <f>$B$7*COUNTIF(Sheet2!$B$1:$B$132,N772)</f>
        <v>0</v>
      </c>
      <c r="P772" s="8">
        <f t="shared" ca="1" si="49"/>
        <v>0</v>
      </c>
      <c r="Q772" s="8">
        <f ca="1">CEILING(R771*(IF(N772&lt;=IF($B$2=0,0,OFFSET(Sheet2!$B$1,Sheet1!$B$2-1,0)),$B$1/(365*100),$B$3/(365*100)))*100,1)/100</f>
        <v>306.19</v>
      </c>
      <c r="R772" s="9">
        <f t="shared" ca="1" si="50"/>
        <v>750347.71191088401</v>
      </c>
    </row>
    <row r="773" spans="1:18" x14ac:dyDescent="0.25">
      <c r="A773">
        <v>6</v>
      </c>
      <c r="B773">
        <v>0</v>
      </c>
      <c r="C773">
        <v>19</v>
      </c>
      <c r="D773">
        <v>26.9</v>
      </c>
      <c r="E773">
        <v>53</v>
      </c>
      <c r="F773">
        <v>2.3524813063979556E-2</v>
      </c>
      <c r="G773" t="str">
        <f t="shared" si="51"/>
        <v>Insert into BlueCreditTypeRainbow Values (6, 0, 19, 26.9, 53, 0.0235248130639796)</v>
      </c>
      <c r="N773" s="4">
        <v>770</v>
      </c>
      <c r="O773" s="8">
        <f>$B$7*COUNTIF(Sheet2!$B$1:$B$132,N773)</f>
        <v>0</v>
      </c>
      <c r="P773" s="8">
        <f t="shared" ref="P773:P836" ca="1" si="52">IF(O773-Q773&gt; 0, O773-Q773, 0)</f>
        <v>0</v>
      </c>
      <c r="Q773" s="8">
        <f ca="1">CEILING(R772*(IF(N773&lt;=IF($B$2=0,0,OFFSET(Sheet2!$B$1,Sheet1!$B$2-1,0)),$B$1/(365*100),$B$3/(365*100)))*100,1)/100</f>
        <v>306.31</v>
      </c>
      <c r="R773" s="9">
        <f t="shared" ref="R773:R836" ca="1" si="53">R772+Q773-O773</f>
        <v>750654.02191088407</v>
      </c>
    </row>
    <row r="774" spans="1:18" x14ac:dyDescent="0.25">
      <c r="A774">
        <v>6</v>
      </c>
      <c r="B774">
        <v>0</v>
      </c>
      <c r="C774">
        <v>19</v>
      </c>
      <c r="D774">
        <v>26.9</v>
      </c>
      <c r="E774">
        <v>54</v>
      </c>
      <c r="F774">
        <v>2.3275338360322355E-2</v>
      </c>
      <c r="G774" t="str">
        <f t="shared" si="51"/>
        <v>Insert into BlueCreditTypeRainbow Values (6, 0, 19, 26.9, 54, 0.0232753383603224)</v>
      </c>
      <c r="N774" s="4">
        <v>771</v>
      </c>
      <c r="O774" s="8">
        <f>$B$7*COUNTIF(Sheet2!$B$1:$B$132,N774)</f>
        <v>0</v>
      </c>
      <c r="P774" s="8">
        <f t="shared" ca="1" si="52"/>
        <v>0</v>
      </c>
      <c r="Q774" s="8">
        <f ca="1">CEILING(R773*(IF(N774&lt;=IF($B$2=0,0,OFFSET(Sheet2!$B$1,Sheet1!$B$2-1,0)),$B$1/(365*100),$B$3/(365*100)))*100,1)/100</f>
        <v>306.44</v>
      </c>
      <c r="R774" s="9">
        <f t="shared" ca="1" si="53"/>
        <v>750960.46191088401</v>
      </c>
    </row>
    <row r="775" spans="1:18" x14ac:dyDescent="0.25">
      <c r="A775">
        <v>6</v>
      </c>
      <c r="B775">
        <v>0</v>
      </c>
      <c r="C775">
        <v>19</v>
      </c>
      <c r="D775">
        <v>26.9</v>
      </c>
      <c r="E775">
        <v>55</v>
      </c>
      <c r="F775">
        <v>2.3036556921317747E-2</v>
      </c>
      <c r="G775" t="str">
        <f t="shared" si="51"/>
        <v>Insert into BlueCreditTypeRainbow Values (6, 0, 19, 26.9, 55, 0.0230365569213177)</v>
      </c>
      <c r="N775" s="4">
        <v>772</v>
      </c>
      <c r="O775" s="8">
        <f>$B$7*COUNTIF(Sheet2!$B$1:$B$132,N775)</f>
        <v>0</v>
      </c>
      <c r="P775" s="8">
        <f t="shared" ca="1" si="52"/>
        <v>0</v>
      </c>
      <c r="Q775" s="8">
        <f ca="1">CEILING(R774*(IF(N775&lt;=IF($B$2=0,0,OFFSET(Sheet2!$B$1,Sheet1!$B$2-1,0)),$B$1/(365*100),$B$3/(365*100)))*100,1)/100</f>
        <v>306.56</v>
      </c>
      <c r="R775" s="9">
        <f t="shared" ca="1" si="53"/>
        <v>751267.02191088407</v>
      </c>
    </row>
    <row r="776" spans="1:18" x14ac:dyDescent="0.25">
      <c r="A776">
        <v>6</v>
      </c>
      <c r="B776">
        <v>0</v>
      </c>
      <c r="C776">
        <v>19</v>
      </c>
      <c r="D776">
        <v>26.9</v>
      </c>
      <c r="E776">
        <v>56</v>
      </c>
      <c r="F776">
        <v>2.2807688392857153E-2</v>
      </c>
      <c r="G776" t="str">
        <f t="shared" si="51"/>
        <v>Insert into BlueCreditTypeRainbow Values (6, 0, 19, 26.9, 56, 0.0228076883928572)</v>
      </c>
      <c r="N776" s="4">
        <v>773</v>
      </c>
      <c r="O776" s="8">
        <f>$B$7*COUNTIF(Sheet2!$B$1:$B$132,N776)</f>
        <v>0</v>
      </c>
      <c r="P776" s="8">
        <f t="shared" ca="1" si="52"/>
        <v>0</v>
      </c>
      <c r="Q776" s="8">
        <f ca="1">CEILING(R775*(IF(N776&lt;=IF($B$2=0,0,OFFSET(Sheet2!$B$1,Sheet1!$B$2-1,0)),$B$1/(365*100),$B$3/(365*100)))*100,1)/100</f>
        <v>306.69</v>
      </c>
      <c r="R776" s="9">
        <f t="shared" ca="1" si="53"/>
        <v>751573.71191088401</v>
      </c>
    </row>
    <row r="777" spans="1:18" x14ac:dyDescent="0.25">
      <c r="A777">
        <v>6</v>
      </c>
      <c r="B777">
        <v>0</v>
      </c>
      <c r="C777">
        <v>19</v>
      </c>
      <c r="D777">
        <v>26.9</v>
      </c>
      <c r="E777">
        <v>57</v>
      </c>
      <c r="F777">
        <v>2.2588335452457631E-2</v>
      </c>
      <c r="G777" t="str">
        <f t="shared" si="51"/>
        <v>Insert into BlueCreditTypeRainbow Values (6, 0, 19, 26.9, 57, 0.0225883354524576)</v>
      </c>
      <c r="N777" s="4">
        <v>774</v>
      </c>
      <c r="O777" s="8">
        <f>$B$7*COUNTIF(Sheet2!$B$1:$B$132,N777)</f>
        <v>0</v>
      </c>
      <c r="P777" s="8">
        <f t="shared" ca="1" si="52"/>
        <v>0</v>
      </c>
      <c r="Q777" s="8">
        <f ca="1">CEILING(R776*(IF(N777&lt;=IF($B$2=0,0,OFFSET(Sheet2!$B$1,Sheet1!$B$2-1,0)),$B$1/(365*100),$B$3/(365*100)))*100,1)/100</f>
        <v>306.81</v>
      </c>
      <c r="R777" s="9">
        <f t="shared" ca="1" si="53"/>
        <v>751880.52191088407</v>
      </c>
    </row>
    <row r="778" spans="1:18" x14ac:dyDescent="0.25">
      <c r="A778">
        <v>6</v>
      </c>
      <c r="B778">
        <v>0</v>
      </c>
      <c r="C778">
        <v>19</v>
      </c>
      <c r="D778">
        <v>26.9</v>
      </c>
      <c r="E778">
        <v>58</v>
      </c>
      <c r="F778">
        <v>2.2377825306335534E-2</v>
      </c>
      <c r="G778" t="str">
        <f t="shared" si="51"/>
        <v>Insert into BlueCreditTypeRainbow Values (6, 0, 19, 26.9, 58, 0.0223778253063355)</v>
      </c>
      <c r="N778" s="4">
        <v>775</v>
      </c>
      <c r="O778" s="8">
        <f>$B$7*COUNTIF(Sheet2!$B$1:$B$132,N778)</f>
        <v>0</v>
      </c>
      <c r="P778" s="8">
        <f t="shared" ca="1" si="52"/>
        <v>0</v>
      </c>
      <c r="Q778" s="8">
        <f ca="1">CEILING(R777*(IF(N778&lt;=IF($B$2=0,0,OFFSET(Sheet2!$B$1,Sheet1!$B$2-1,0)),$B$1/(365*100),$B$3/(365*100)))*100,1)/100</f>
        <v>306.94</v>
      </c>
      <c r="R778" s="9">
        <f t="shared" ca="1" si="53"/>
        <v>752187.46191088401</v>
      </c>
    </row>
    <row r="779" spans="1:18" x14ac:dyDescent="0.25">
      <c r="A779">
        <v>6</v>
      </c>
      <c r="B779">
        <v>0</v>
      </c>
      <c r="C779">
        <v>19</v>
      </c>
      <c r="D779">
        <v>26.9</v>
      </c>
      <c r="E779">
        <v>59</v>
      </c>
      <c r="F779">
        <v>2.2175824745762716E-2</v>
      </c>
      <c r="G779" t="str">
        <f t="shared" si="51"/>
        <v>Insert into BlueCreditTypeRainbow Values (6, 0, 19, 26.9, 59, 0.0221758247457627)</v>
      </c>
      <c r="N779" s="4">
        <v>776</v>
      </c>
      <c r="O779" s="8">
        <f>$B$7*COUNTIF(Sheet2!$B$1:$B$132,N779)</f>
        <v>0</v>
      </c>
      <c r="P779" s="8">
        <f t="shared" ca="1" si="52"/>
        <v>0</v>
      </c>
      <c r="Q779" s="8">
        <f ca="1">CEILING(R778*(IF(N779&lt;=IF($B$2=0,0,OFFSET(Sheet2!$B$1,Sheet1!$B$2-1,0)),$B$1/(365*100),$B$3/(365*100)))*100,1)/100</f>
        <v>307.06</v>
      </c>
      <c r="R779" s="9">
        <f t="shared" ca="1" si="53"/>
        <v>752494.52191088407</v>
      </c>
    </row>
    <row r="780" spans="1:18" x14ac:dyDescent="0.25">
      <c r="A780">
        <v>6</v>
      </c>
      <c r="B780">
        <v>0</v>
      </c>
      <c r="C780">
        <v>19</v>
      </c>
      <c r="D780">
        <v>26.9</v>
      </c>
      <c r="E780">
        <v>60</v>
      </c>
      <c r="F780">
        <v>2.1981736616170994E-2</v>
      </c>
      <c r="G780" t="str">
        <f t="shared" si="51"/>
        <v>Insert into BlueCreditTypeRainbow Values (6, 0, 19, 26.9, 60, 0.021981736616171)</v>
      </c>
      <c r="N780" s="4">
        <v>777</v>
      </c>
      <c r="O780" s="8">
        <f>$B$7*COUNTIF(Sheet2!$B$1:$B$132,N780)</f>
        <v>0</v>
      </c>
      <c r="P780" s="8">
        <f t="shared" ca="1" si="52"/>
        <v>0</v>
      </c>
      <c r="Q780" s="8">
        <f ca="1">CEILING(R779*(IF(N780&lt;=IF($B$2=0,0,OFFSET(Sheet2!$B$1,Sheet1!$B$2-1,0)),$B$1/(365*100),$B$3/(365*100)))*100,1)/100</f>
        <v>307.19</v>
      </c>
      <c r="R780" s="9">
        <f t="shared" ca="1" si="53"/>
        <v>752801.71191088401</v>
      </c>
    </row>
    <row r="781" spans="1:18" x14ac:dyDescent="0.25">
      <c r="A781">
        <v>6</v>
      </c>
      <c r="B781">
        <v>0</v>
      </c>
      <c r="C781">
        <v>18</v>
      </c>
      <c r="D781">
        <v>26.9</v>
      </c>
      <c r="E781">
        <v>48</v>
      </c>
      <c r="F781">
        <v>2.5259615416666669E-2</v>
      </c>
      <c r="G781" t="str">
        <f t="shared" si="51"/>
        <v>Insert into BlueCreditTypeRainbow Values (6, 0, 18, 26.9, 48, 0.0252596154166667)</v>
      </c>
      <c r="N781" s="4">
        <v>778</v>
      </c>
      <c r="O781" s="8">
        <f>$B$7*COUNTIF(Sheet2!$B$1:$B$132,N781)</f>
        <v>0</v>
      </c>
      <c r="P781" s="8">
        <f t="shared" ca="1" si="52"/>
        <v>0</v>
      </c>
      <c r="Q781" s="8">
        <f ca="1">CEILING(R780*(IF(N781&lt;=IF($B$2=0,0,OFFSET(Sheet2!$B$1,Sheet1!$B$2-1,0)),$B$1/(365*100),$B$3/(365*100)))*100,1)/100</f>
        <v>307.31</v>
      </c>
      <c r="R781" s="9">
        <f t="shared" ca="1" si="53"/>
        <v>753109.02191088407</v>
      </c>
    </row>
    <row r="782" spans="1:18" x14ac:dyDescent="0.25">
      <c r="A782">
        <v>6</v>
      </c>
      <c r="B782">
        <v>0</v>
      </c>
      <c r="C782">
        <v>18</v>
      </c>
      <c r="D782">
        <v>26.9</v>
      </c>
      <c r="E782">
        <v>49</v>
      </c>
      <c r="F782">
        <v>2.494552005487698E-2</v>
      </c>
      <c r="G782" t="str">
        <f t="shared" si="51"/>
        <v>Insert into BlueCreditTypeRainbow Values (6, 0, 18, 26.9, 49, 0.024945520054877)</v>
      </c>
      <c r="N782" s="4">
        <v>779</v>
      </c>
      <c r="O782" s="8">
        <f>$B$7*COUNTIF(Sheet2!$B$1:$B$132,N782)</f>
        <v>0</v>
      </c>
      <c r="P782" s="8">
        <f t="shared" ca="1" si="52"/>
        <v>0</v>
      </c>
      <c r="Q782" s="8">
        <f ca="1">CEILING(R781*(IF(N782&lt;=IF($B$2=0,0,OFFSET(Sheet2!$B$1,Sheet1!$B$2-1,0)),$B$1/(365*100),$B$3/(365*100)))*100,1)/100</f>
        <v>307.44</v>
      </c>
      <c r="R782" s="9">
        <f t="shared" ca="1" si="53"/>
        <v>753416.46191088401</v>
      </c>
    </row>
    <row r="783" spans="1:18" x14ac:dyDescent="0.25">
      <c r="A783">
        <v>6</v>
      </c>
      <c r="B783">
        <v>0</v>
      </c>
      <c r="C783">
        <v>18</v>
      </c>
      <c r="D783">
        <v>26.9</v>
      </c>
      <c r="E783">
        <v>50</v>
      </c>
      <c r="F783">
        <v>2.4645977019038354E-2</v>
      </c>
      <c r="G783" t="str">
        <f t="shared" ref="G783:G846" si="54">CONCATENATE("Insert into BlueCreditTypeRainbow Values (",A783,", ",B783,", ",C783,", ",D783,", ",E783,", ",F783,")")</f>
        <v>Insert into BlueCreditTypeRainbow Values (6, 0, 18, 26.9, 50, 0.0246459770190384)</v>
      </c>
      <c r="N783" s="4">
        <v>780</v>
      </c>
      <c r="O783" s="8">
        <f>$B$7*COUNTIF(Sheet2!$B$1:$B$132,N783)</f>
        <v>0</v>
      </c>
      <c r="P783" s="8">
        <f t="shared" ca="1" si="52"/>
        <v>0</v>
      </c>
      <c r="Q783" s="8">
        <f ca="1">CEILING(R782*(IF(N783&lt;=IF($B$2=0,0,OFFSET(Sheet2!$B$1,Sheet1!$B$2-1,0)),$B$1/(365*100),$B$3/(365*100)))*100,1)/100</f>
        <v>307.56</v>
      </c>
      <c r="R783" s="9">
        <f t="shared" ca="1" si="53"/>
        <v>753724.02191088407</v>
      </c>
    </row>
    <row r="784" spans="1:18" x14ac:dyDescent="0.25">
      <c r="A784">
        <v>6</v>
      </c>
      <c r="B784">
        <v>0</v>
      </c>
      <c r="C784">
        <v>18</v>
      </c>
      <c r="D784">
        <v>26.9</v>
      </c>
      <c r="E784">
        <v>51</v>
      </c>
      <c r="F784">
        <v>2.4359860208327495E-2</v>
      </c>
      <c r="G784" t="str">
        <f t="shared" si="54"/>
        <v>Insert into BlueCreditTypeRainbow Values (6, 0, 18, 26.9, 51, 0.0243598602083275)</v>
      </c>
      <c r="N784" s="4">
        <v>781</v>
      </c>
      <c r="O784" s="8">
        <f>$B$7*COUNTIF(Sheet2!$B$1:$B$132,N784)</f>
        <v>0</v>
      </c>
      <c r="P784" s="8">
        <f t="shared" ca="1" si="52"/>
        <v>0</v>
      </c>
      <c r="Q784" s="8">
        <f ca="1">CEILING(R783*(IF(N784&lt;=IF($B$2=0,0,OFFSET(Sheet2!$B$1,Sheet1!$B$2-1,0)),$B$1/(365*100),$B$3/(365*100)))*100,1)/100</f>
        <v>307.69</v>
      </c>
      <c r="R784" s="9">
        <f t="shared" ca="1" si="53"/>
        <v>754031.71191088401</v>
      </c>
    </row>
    <row r="785" spans="1:18" x14ac:dyDescent="0.25">
      <c r="A785">
        <v>6</v>
      </c>
      <c r="B785">
        <v>0</v>
      </c>
      <c r="C785">
        <v>18</v>
      </c>
      <c r="D785">
        <v>26.9</v>
      </c>
      <c r="E785">
        <v>52</v>
      </c>
      <c r="F785">
        <v>2.408655040344284E-2</v>
      </c>
      <c r="G785" t="str">
        <f t="shared" si="54"/>
        <v>Insert into BlueCreditTypeRainbow Values (6, 0, 18, 26.9, 52, 0.0240865504034428)</v>
      </c>
      <c r="N785" s="4">
        <v>782</v>
      </c>
      <c r="O785" s="8">
        <f>$B$7*COUNTIF(Sheet2!$B$1:$B$132,N785)</f>
        <v>0</v>
      </c>
      <c r="P785" s="8">
        <f t="shared" ca="1" si="52"/>
        <v>0</v>
      </c>
      <c r="Q785" s="8">
        <f ca="1">CEILING(R784*(IF(N785&lt;=IF($B$2=0,0,OFFSET(Sheet2!$B$1,Sheet1!$B$2-1,0)),$B$1/(365*100),$B$3/(365*100)))*100,1)/100</f>
        <v>307.82</v>
      </c>
      <c r="R785" s="9">
        <f t="shared" ca="1" si="53"/>
        <v>754339.53191088396</v>
      </c>
    </row>
    <row r="786" spans="1:18" x14ac:dyDescent="0.25">
      <c r="A786">
        <v>6</v>
      </c>
      <c r="B786">
        <v>0</v>
      </c>
      <c r="C786">
        <v>18</v>
      </c>
      <c r="D786">
        <v>26.9</v>
      </c>
      <c r="E786">
        <v>53</v>
      </c>
      <c r="F786">
        <v>2.3825081132075501E-2</v>
      </c>
      <c r="G786" t="str">
        <f t="shared" si="54"/>
        <v>Insert into BlueCreditTypeRainbow Values (6, 0, 18, 26.9, 53, 0.0238250811320755)</v>
      </c>
      <c r="N786" s="4">
        <v>783</v>
      </c>
      <c r="O786" s="8">
        <f>$B$7*COUNTIF(Sheet2!$B$1:$B$132,N786)</f>
        <v>0</v>
      </c>
      <c r="P786" s="8">
        <f t="shared" ca="1" si="52"/>
        <v>0</v>
      </c>
      <c r="Q786" s="8">
        <f ca="1">CEILING(R785*(IF(N786&lt;=IF($B$2=0,0,OFFSET(Sheet2!$B$1,Sheet1!$B$2-1,0)),$B$1/(365*100),$B$3/(365*100)))*100,1)/100</f>
        <v>307.94</v>
      </c>
      <c r="R786" s="9">
        <f t="shared" ca="1" si="53"/>
        <v>754647.47191088391</v>
      </c>
    </row>
    <row r="787" spans="1:18" x14ac:dyDescent="0.25">
      <c r="A787">
        <v>6</v>
      </c>
      <c r="B787">
        <v>0</v>
      </c>
      <c r="C787">
        <v>18</v>
      </c>
      <c r="D787">
        <v>26.9</v>
      </c>
      <c r="E787">
        <v>54</v>
      </c>
      <c r="F787">
        <v>2.3574761420074322E-2</v>
      </c>
      <c r="G787" t="str">
        <f t="shared" si="54"/>
        <v>Insert into BlueCreditTypeRainbow Values (6, 0, 18, 26.9, 54, 0.0235747614200743)</v>
      </c>
      <c r="N787" s="4">
        <v>784</v>
      </c>
      <c r="O787" s="8">
        <f>$B$7*COUNTIF(Sheet2!$B$1:$B$132,N787)</f>
        <v>0</v>
      </c>
      <c r="P787" s="8">
        <f t="shared" ca="1" si="52"/>
        <v>0</v>
      </c>
      <c r="Q787" s="8">
        <f ca="1">CEILING(R786*(IF(N787&lt;=IF($B$2=0,0,OFFSET(Sheet2!$B$1,Sheet1!$B$2-1,0)),$B$1/(365*100),$B$3/(365*100)))*100,1)/100</f>
        <v>308.07</v>
      </c>
      <c r="R787" s="9">
        <f t="shared" ca="1" si="53"/>
        <v>754955.54191088385</v>
      </c>
    </row>
    <row r="788" spans="1:18" x14ac:dyDescent="0.25">
      <c r="A788">
        <v>6</v>
      </c>
      <c r="B788">
        <v>0</v>
      </c>
      <c r="C788">
        <v>18</v>
      </c>
      <c r="D788">
        <v>26.9</v>
      </c>
      <c r="E788">
        <v>55</v>
      </c>
      <c r="F788">
        <v>2.3335131272727315E-2</v>
      </c>
      <c r="G788" t="str">
        <f t="shared" si="54"/>
        <v>Insert into BlueCreditTypeRainbow Values (6, 0, 18, 26.9, 55, 0.0233351312727273)</v>
      </c>
      <c r="N788" s="4">
        <v>785</v>
      </c>
      <c r="O788" s="8">
        <f>$B$7*COUNTIF(Sheet2!$B$1:$B$132,N788)</f>
        <v>0</v>
      </c>
      <c r="P788" s="8">
        <f t="shared" ca="1" si="52"/>
        <v>0</v>
      </c>
      <c r="Q788" s="8">
        <f ca="1">CEILING(R787*(IF(N788&lt;=IF($B$2=0,0,OFFSET(Sheet2!$B$1,Sheet1!$B$2-1,0)),$B$1/(365*100),$B$3/(365*100)))*100,1)/100</f>
        <v>308.19</v>
      </c>
      <c r="R788" s="9">
        <f t="shared" ca="1" si="53"/>
        <v>755263.7319108838</v>
      </c>
    </row>
    <row r="789" spans="1:18" x14ac:dyDescent="0.25">
      <c r="A789">
        <v>6</v>
      </c>
      <c r="B789">
        <v>0</v>
      </c>
      <c r="C789">
        <v>18</v>
      </c>
      <c r="D789">
        <v>26.9</v>
      </c>
      <c r="E789">
        <v>56</v>
      </c>
      <c r="F789">
        <v>2.3105400761236863E-2</v>
      </c>
      <c r="G789" t="str">
        <f t="shared" si="54"/>
        <v>Insert into BlueCreditTypeRainbow Values (6, 0, 18, 26.9, 56, 0.0231054007612369)</v>
      </c>
      <c r="N789" s="4">
        <v>786</v>
      </c>
      <c r="O789" s="8">
        <f>$B$7*COUNTIF(Sheet2!$B$1:$B$132,N789)</f>
        <v>0</v>
      </c>
      <c r="P789" s="8">
        <f t="shared" ca="1" si="52"/>
        <v>0</v>
      </c>
      <c r="Q789" s="8">
        <f ca="1">CEILING(R788*(IF(N789&lt;=IF($B$2=0,0,OFFSET(Sheet2!$B$1,Sheet1!$B$2-1,0)),$B$1/(365*100),$B$3/(365*100)))*100,1)/100</f>
        <v>308.32</v>
      </c>
      <c r="R789" s="9">
        <f t="shared" ca="1" si="53"/>
        <v>755572.05191088375</v>
      </c>
    </row>
    <row r="790" spans="1:18" x14ac:dyDescent="0.25">
      <c r="A790">
        <v>6</v>
      </c>
      <c r="B790">
        <v>0</v>
      </c>
      <c r="C790">
        <v>18</v>
      </c>
      <c r="D790">
        <v>26.9</v>
      </c>
      <c r="E790">
        <v>57</v>
      </c>
      <c r="F790">
        <v>2.2885189487851443E-2</v>
      </c>
      <c r="G790" t="str">
        <f t="shared" si="54"/>
        <v>Insert into BlueCreditTypeRainbow Values (6, 0, 18, 26.9, 57, 0.0228851894878514)</v>
      </c>
      <c r="N790" s="4">
        <v>787</v>
      </c>
      <c r="O790" s="8">
        <f>$B$7*COUNTIF(Sheet2!$B$1:$B$132,N790)</f>
        <v>0</v>
      </c>
      <c r="P790" s="8">
        <f t="shared" ca="1" si="52"/>
        <v>0</v>
      </c>
      <c r="Q790" s="8">
        <f ca="1">CEILING(R789*(IF(N790&lt;=IF($B$2=0,0,OFFSET(Sheet2!$B$1,Sheet1!$B$2-1,0)),$B$1/(365*100),$B$3/(365*100)))*100,1)/100</f>
        <v>308.44</v>
      </c>
      <c r="R790" s="9">
        <f t="shared" ca="1" si="53"/>
        <v>755880.49191088369</v>
      </c>
    </row>
    <row r="791" spans="1:18" x14ac:dyDescent="0.25">
      <c r="A791">
        <v>6</v>
      </c>
      <c r="B791">
        <v>0</v>
      </c>
      <c r="C791">
        <v>18</v>
      </c>
      <c r="D791">
        <v>26.9</v>
      </c>
      <c r="E791">
        <v>58</v>
      </c>
      <c r="F791">
        <v>2.2673815698363731E-2</v>
      </c>
      <c r="G791" t="str">
        <f t="shared" si="54"/>
        <v>Insert into BlueCreditTypeRainbow Values (6, 0, 18, 26.9, 58, 0.0226738156983637)</v>
      </c>
      <c r="N791" s="4">
        <v>788</v>
      </c>
      <c r="O791" s="8">
        <f>$B$7*COUNTIF(Sheet2!$B$1:$B$132,N791)</f>
        <v>0</v>
      </c>
      <c r="P791" s="8">
        <f t="shared" ca="1" si="52"/>
        <v>0</v>
      </c>
      <c r="Q791" s="8">
        <f ca="1">CEILING(R790*(IF(N791&lt;=IF($B$2=0,0,OFFSET(Sheet2!$B$1,Sheet1!$B$2-1,0)),$B$1/(365*100),$B$3/(365*100)))*100,1)/100</f>
        <v>308.57</v>
      </c>
      <c r="R791" s="9">
        <f t="shared" ca="1" si="53"/>
        <v>756189.06191088364</v>
      </c>
    </row>
    <row r="792" spans="1:18" x14ac:dyDescent="0.25">
      <c r="A792">
        <v>6</v>
      </c>
      <c r="B792">
        <v>0</v>
      </c>
      <c r="C792">
        <v>18</v>
      </c>
      <c r="D792">
        <v>26.9</v>
      </c>
      <c r="E792">
        <v>59</v>
      </c>
      <c r="F792">
        <v>2.2470952711864424E-2</v>
      </c>
      <c r="G792" t="str">
        <f t="shared" si="54"/>
        <v>Insert into BlueCreditTypeRainbow Values (6, 0, 18, 26.9, 59, 0.0224709527118644)</v>
      </c>
      <c r="N792" s="4">
        <v>789</v>
      </c>
      <c r="O792" s="8">
        <f>$B$7*COUNTIF(Sheet2!$B$1:$B$132,N792)</f>
        <v>0</v>
      </c>
      <c r="P792" s="8">
        <f t="shared" ca="1" si="52"/>
        <v>0</v>
      </c>
      <c r="Q792" s="8">
        <f ca="1">CEILING(R791*(IF(N792&lt;=IF($B$2=0,0,OFFSET(Sheet2!$B$1,Sheet1!$B$2-1,0)),$B$1/(365*100),$B$3/(365*100)))*100,1)/100</f>
        <v>308.7</v>
      </c>
      <c r="R792" s="9">
        <f t="shared" ca="1" si="53"/>
        <v>756497.76191088359</v>
      </c>
    </row>
    <row r="793" spans="1:18" x14ac:dyDescent="0.25">
      <c r="A793">
        <v>6</v>
      </c>
      <c r="B793">
        <v>0</v>
      </c>
      <c r="C793">
        <v>18</v>
      </c>
      <c r="D793">
        <v>26.9</v>
      </c>
      <c r="E793">
        <v>60</v>
      </c>
      <c r="F793">
        <v>2.2276002184859769E-2</v>
      </c>
      <c r="G793" t="str">
        <f t="shared" si="54"/>
        <v>Insert into BlueCreditTypeRainbow Values (6, 0, 18, 26.9, 60, 0.0222760021848598)</v>
      </c>
      <c r="N793" s="4">
        <v>790</v>
      </c>
      <c r="O793" s="8">
        <f>$B$7*COUNTIF(Sheet2!$B$1:$B$132,N793)</f>
        <v>0</v>
      </c>
      <c r="P793" s="8">
        <f t="shared" ca="1" si="52"/>
        <v>0</v>
      </c>
      <c r="Q793" s="8">
        <f ca="1">CEILING(R792*(IF(N793&lt;=IF($B$2=0,0,OFFSET(Sheet2!$B$1,Sheet1!$B$2-1,0)),$B$1/(365*100),$B$3/(365*100)))*100,1)/100</f>
        <v>308.82</v>
      </c>
      <c r="R793" s="9">
        <f t="shared" ca="1" si="53"/>
        <v>756806.58191088354</v>
      </c>
    </row>
    <row r="794" spans="1:18" x14ac:dyDescent="0.25">
      <c r="A794">
        <v>6</v>
      </c>
      <c r="B794">
        <v>0</v>
      </c>
      <c r="C794">
        <v>17</v>
      </c>
      <c r="D794">
        <v>26.9</v>
      </c>
      <c r="E794">
        <v>48</v>
      </c>
      <c r="F794">
        <v>2.5589298755397168E-2</v>
      </c>
      <c r="G794" t="str">
        <f t="shared" si="54"/>
        <v>Insert into BlueCreditTypeRainbow Values (6, 0, 17, 26.9, 48, 0.0255892987553972)</v>
      </c>
      <c r="N794" s="4">
        <v>791</v>
      </c>
      <c r="O794" s="8">
        <f>$B$7*COUNTIF(Sheet2!$B$1:$B$132,N794)</f>
        <v>0</v>
      </c>
      <c r="P794" s="8">
        <f t="shared" ca="1" si="52"/>
        <v>0</v>
      </c>
      <c r="Q794" s="8">
        <f ca="1">CEILING(R793*(IF(N794&lt;=IF($B$2=0,0,OFFSET(Sheet2!$B$1,Sheet1!$B$2-1,0)),$B$1/(365*100),$B$3/(365*100)))*100,1)/100</f>
        <v>308.95</v>
      </c>
      <c r="R794" s="9">
        <f t="shared" ca="1" si="53"/>
        <v>757115.5319108835</v>
      </c>
    </row>
    <row r="795" spans="1:18" x14ac:dyDescent="0.25">
      <c r="A795">
        <v>6</v>
      </c>
      <c r="B795">
        <v>0</v>
      </c>
      <c r="C795">
        <v>17</v>
      </c>
      <c r="D795">
        <v>26.9</v>
      </c>
      <c r="E795">
        <v>49</v>
      </c>
      <c r="F795">
        <v>2.5274192098306433E-2</v>
      </c>
      <c r="G795" t="str">
        <f t="shared" si="54"/>
        <v>Insert into BlueCreditTypeRainbow Values (6, 0, 17, 26.9, 49, 0.0252741920983064)</v>
      </c>
      <c r="N795" s="4">
        <v>792</v>
      </c>
      <c r="O795" s="8">
        <f>$B$7*COUNTIF(Sheet2!$B$1:$B$132,N795)</f>
        <v>0</v>
      </c>
      <c r="P795" s="8">
        <f t="shared" ca="1" si="52"/>
        <v>0</v>
      </c>
      <c r="Q795" s="8">
        <f ca="1">CEILING(R794*(IF(N795&lt;=IF($B$2=0,0,OFFSET(Sheet2!$B$1,Sheet1!$B$2-1,0)),$B$1/(365*100),$B$3/(365*100)))*100,1)/100</f>
        <v>309.07</v>
      </c>
      <c r="R795" s="9">
        <f t="shared" ca="1" si="53"/>
        <v>757424.60191088344</v>
      </c>
    </row>
    <row r="796" spans="1:18" x14ac:dyDescent="0.25">
      <c r="A796">
        <v>6</v>
      </c>
      <c r="B796">
        <v>0</v>
      </c>
      <c r="C796">
        <v>17</v>
      </c>
      <c r="D796">
        <v>26.9</v>
      </c>
      <c r="E796">
        <v>50</v>
      </c>
      <c r="F796">
        <v>2.4973605410032011E-2</v>
      </c>
      <c r="G796" t="str">
        <f t="shared" si="54"/>
        <v>Insert into BlueCreditTypeRainbow Values (6, 0, 17, 26.9, 50, 0.024973605410032)</v>
      </c>
      <c r="N796" s="4">
        <v>793</v>
      </c>
      <c r="O796" s="8">
        <f>$B$7*COUNTIF(Sheet2!$B$1:$B$132,N796)</f>
        <v>21157.10552356458</v>
      </c>
      <c r="P796" s="8">
        <f t="shared" ca="1" si="52"/>
        <v>20847.905523564579</v>
      </c>
      <c r="Q796" s="8">
        <f ca="1">CEILING(R795*(IF(N796&lt;=IF($B$2=0,0,OFFSET(Sheet2!$B$1,Sheet1!$B$2-1,0)),$B$1/(365*100),$B$3/(365*100)))*100,1)/100</f>
        <v>309.2</v>
      </c>
      <c r="R796" s="9">
        <f t="shared" ca="1" si="53"/>
        <v>736576.69638731878</v>
      </c>
    </row>
    <row r="797" spans="1:18" x14ac:dyDescent="0.25">
      <c r="A797">
        <v>6</v>
      </c>
      <c r="B797">
        <v>0</v>
      </c>
      <c r="C797">
        <v>17</v>
      </c>
      <c r="D797">
        <v>26.9</v>
      </c>
      <c r="E797">
        <v>51</v>
      </c>
      <c r="F797">
        <v>2.4686433048327138E-2</v>
      </c>
      <c r="G797" t="str">
        <f t="shared" si="54"/>
        <v>Insert into BlueCreditTypeRainbow Values (6, 0, 17, 26.9, 51, 0.0246864330483271)</v>
      </c>
      <c r="N797" s="4">
        <v>794</v>
      </c>
      <c r="O797" s="8">
        <f>$B$7*COUNTIF(Sheet2!$B$1:$B$132,N797)</f>
        <v>0</v>
      </c>
      <c r="P797" s="8">
        <f t="shared" ca="1" si="52"/>
        <v>0</v>
      </c>
      <c r="Q797" s="8">
        <f ca="1">CEILING(R796*(IF(N797&lt;=IF($B$2=0,0,OFFSET(Sheet2!$B$1,Sheet1!$B$2-1,0)),$B$1/(365*100),$B$3/(365*100)))*100,1)/100</f>
        <v>300.69</v>
      </c>
      <c r="R797" s="9">
        <f t="shared" ca="1" si="53"/>
        <v>736877.38638731872</v>
      </c>
    </row>
    <row r="798" spans="1:18" x14ac:dyDescent="0.25">
      <c r="A798">
        <v>6</v>
      </c>
      <c r="B798">
        <v>0</v>
      </c>
      <c r="C798">
        <v>17</v>
      </c>
      <c r="D798">
        <v>26.9</v>
      </c>
      <c r="E798">
        <v>52</v>
      </c>
      <c r="F798">
        <v>2.441205319024535E-2</v>
      </c>
      <c r="G798" t="str">
        <f t="shared" si="54"/>
        <v>Insert into BlueCreditTypeRainbow Values (6, 0, 17, 26.9, 52, 0.0244120531902454)</v>
      </c>
      <c r="N798" s="4">
        <v>795</v>
      </c>
      <c r="O798" s="8">
        <f>$B$7*COUNTIF(Sheet2!$B$1:$B$132,N798)</f>
        <v>0</v>
      </c>
      <c r="P798" s="8">
        <f t="shared" ca="1" si="52"/>
        <v>0</v>
      </c>
      <c r="Q798" s="8">
        <f ca="1">CEILING(R797*(IF(N798&lt;=IF($B$2=0,0,OFFSET(Sheet2!$B$1,Sheet1!$B$2-1,0)),$B$1/(365*100),$B$3/(365*100)))*100,1)/100</f>
        <v>300.81</v>
      </c>
      <c r="R798" s="9">
        <f t="shared" ca="1" si="53"/>
        <v>737178.19638731878</v>
      </c>
    </row>
    <row r="799" spans="1:18" x14ac:dyDescent="0.25">
      <c r="A799">
        <v>6</v>
      </c>
      <c r="B799">
        <v>0</v>
      </c>
      <c r="C799">
        <v>17</v>
      </c>
      <c r="D799">
        <v>26.9</v>
      </c>
      <c r="E799">
        <v>53</v>
      </c>
      <c r="F799">
        <v>2.4149514277592835E-2</v>
      </c>
      <c r="G799" t="str">
        <f t="shared" si="54"/>
        <v>Insert into BlueCreditTypeRainbow Values (6, 0, 17, 26.9, 53, 0.0241495142775928)</v>
      </c>
      <c r="N799" s="4">
        <v>796</v>
      </c>
      <c r="O799" s="8">
        <f>$B$7*COUNTIF(Sheet2!$B$1:$B$132,N799)</f>
        <v>0</v>
      </c>
      <c r="P799" s="8">
        <f t="shared" ca="1" si="52"/>
        <v>0</v>
      </c>
      <c r="Q799" s="8">
        <f ca="1">CEILING(R798*(IF(N799&lt;=IF($B$2=0,0,OFFSET(Sheet2!$B$1,Sheet1!$B$2-1,0)),$B$1/(365*100),$B$3/(365*100)))*100,1)/100</f>
        <v>300.94</v>
      </c>
      <c r="R799" s="9">
        <f t="shared" ca="1" si="53"/>
        <v>737479.13638731872</v>
      </c>
    </row>
    <row r="800" spans="1:18" x14ac:dyDescent="0.25">
      <c r="A800">
        <v>6</v>
      </c>
      <c r="B800">
        <v>0</v>
      </c>
      <c r="C800">
        <v>17</v>
      </c>
      <c r="D800">
        <v>26.9</v>
      </c>
      <c r="E800">
        <v>54</v>
      </c>
      <c r="F800">
        <v>2.3898112191055493E-2</v>
      </c>
      <c r="G800" t="str">
        <f t="shared" si="54"/>
        <v>Insert into BlueCreditTypeRainbow Values (6, 0, 17, 26.9, 54, 0.0238981121910555)</v>
      </c>
      <c r="N800" s="4">
        <v>797</v>
      </c>
      <c r="O800" s="8">
        <f>$B$7*COUNTIF(Sheet2!$B$1:$B$132,N800)</f>
        <v>0</v>
      </c>
      <c r="P800" s="8">
        <f t="shared" ca="1" si="52"/>
        <v>0</v>
      </c>
      <c r="Q800" s="8">
        <f ca="1">CEILING(R799*(IF(N800&lt;=IF($B$2=0,0,OFFSET(Sheet2!$B$1,Sheet1!$B$2-1,0)),$B$1/(365*100),$B$3/(365*100)))*100,1)/100</f>
        <v>301.06</v>
      </c>
      <c r="R800" s="9">
        <f t="shared" ca="1" si="53"/>
        <v>737780.19638731878</v>
      </c>
    </row>
    <row r="801" spans="1:18" x14ac:dyDescent="0.25">
      <c r="A801">
        <v>6</v>
      </c>
      <c r="B801">
        <v>0</v>
      </c>
      <c r="C801">
        <v>17</v>
      </c>
      <c r="D801">
        <v>26.9</v>
      </c>
      <c r="E801">
        <v>55</v>
      </c>
      <c r="F801">
        <v>2.3657397724451495E-2</v>
      </c>
      <c r="G801" t="str">
        <f t="shared" si="54"/>
        <v>Insert into BlueCreditTypeRainbow Values (6, 0, 17, 26.9, 55, 0.0236573977244515)</v>
      </c>
      <c r="N801" s="4">
        <v>798</v>
      </c>
      <c r="O801" s="8">
        <f>$B$7*COUNTIF(Sheet2!$B$1:$B$132,N801)</f>
        <v>0</v>
      </c>
      <c r="P801" s="8">
        <f t="shared" ca="1" si="52"/>
        <v>0</v>
      </c>
      <c r="Q801" s="8">
        <f ca="1">CEILING(R800*(IF(N801&lt;=IF($B$2=0,0,OFFSET(Sheet2!$B$1,Sheet1!$B$2-1,0)),$B$1/(365*100),$B$3/(365*100)))*100,1)/100</f>
        <v>301.18</v>
      </c>
      <c r="R801" s="9">
        <f t="shared" ca="1" si="53"/>
        <v>738081.37638731883</v>
      </c>
    </row>
    <row r="802" spans="1:18" x14ac:dyDescent="0.25">
      <c r="A802">
        <v>6</v>
      </c>
      <c r="B802">
        <v>0</v>
      </c>
      <c r="C802">
        <v>17</v>
      </c>
      <c r="D802">
        <v>26.9</v>
      </c>
      <c r="E802">
        <v>56</v>
      </c>
      <c r="F802">
        <v>2.3426590012631209E-2</v>
      </c>
      <c r="G802" t="str">
        <f t="shared" si="54"/>
        <v>Insert into BlueCreditTypeRainbow Values (6, 0, 17, 26.9, 56, 0.0234265900126312)</v>
      </c>
      <c r="N802" s="4">
        <v>799</v>
      </c>
      <c r="O802" s="8">
        <f>$B$7*COUNTIF(Sheet2!$B$1:$B$132,N802)</f>
        <v>0</v>
      </c>
      <c r="P802" s="8">
        <f t="shared" ca="1" si="52"/>
        <v>0</v>
      </c>
      <c r="Q802" s="8">
        <f ca="1">CEILING(R801*(IF(N802&lt;=IF($B$2=0,0,OFFSET(Sheet2!$B$1,Sheet1!$B$2-1,0)),$B$1/(365*100),$B$3/(365*100)))*100,1)/100</f>
        <v>301.3</v>
      </c>
      <c r="R802" s="9">
        <f t="shared" ca="1" si="53"/>
        <v>738382.67638731888</v>
      </c>
    </row>
    <row r="803" spans="1:18" x14ac:dyDescent="0.25">
      <c r="A803">
        <v>6</v>
      </c>
      <c r="B803">
        <v>0</v>
      </c>
      <c r="C803">
        <v>17</v>
      </c>
      <c r="D803">
        <v>26.9</v>
      </c>
      <c r="E803">
        <v>57</v>
      </c>
      <c r="F803">
        <v>2.3205306957392084E-2</v>
      </c>
      <c r="G803" t="str">
        <f t="shared" si="54"/>
        <v>Insert into BlueCreditTypeRainbow Values (6, 0, 17, 26.9, 57, 0.0232053069573921)</v>
      </c>
      <c r="N803" s="4">
        <v>800</v>
      </c>
      <c r="O803" s="8">
        <f>$B$7*COUNTIF(Sheet2!$B$1:$B$132,N803)</f>
        <v>0</v>
      </c>
      <c r="P803" s="8">
        <f t="shared" ca="1" si="52"/>
        <v>0</v>
      </c>
      <c r="Q803" s="8">
        <f ca="1">CEILING(R802*(IF(N803&lt;=IF($B$2=0,0,OFFSET(Sheet2!$B$1,Sheet1!$B$2-1,0)),$B$1/(365*100),$B$3/(365*100)))*100,1)/100</f>
        <v>301.43</v>
      </c>
      <c r="R803" s="9">
        <f t="shared" ca="1" si="53"/>
        <v>738684.10638731893</v>
      </c>
    </row>
    <row r="804" spans="1:18" x14ac:dyDescent="0.25">
      <c r="A804">
        <v>6</v>
      </c>
      <c r="B804">
        <v>0</v>
      </c>
      <c r="C804">
        <v>17</v>
      </c>
      <c r="D804">
        <v>26.9</v>
      </c>
      <c r="E804">
        <v>58</v>
      </c>
      <c r="F804">
        <v>2.2992866051379228E-2</v>
      </c>
      <c r="G804" t="str">
        <f t="shared" si="54"/>
        <v>Insert into BlueCreditTypeRainbow Values (6, 0, 17, 26.9, 58, 0.0229928660513792)</v>
      </c>
      <c r="N804" s="4">
        <v>801</v>
      </c>
      <c r="O804" s="8">
        <f>$B$7*COUNTIF(Sheet2!$B$1:$B$132,N804)</f>
        <v>0</v>
      </c>
      <c r="P804" s="8">
        <f t="shared" ca="1" si="52"/>
        <v>0</v>
      </c>
      <c r="Q804" s="8">
        <f ca="1">CEILING(R803*(IF(N804&lt;=IF($B$2=0,0,OFFSET(Sheet2!$B$1,Sheet1!$B$2-1,0)),$B$1/(365*100),$B$3/(365*100)))*100,1)/100</f>
        <v>301.55</v>
      </c>
      <c r="R804" s="9">
        <f t="shared" ca="1" si="53"/>
        <v>738985.65638731897</v>
      </c>
    </row>
    <row r="805" spans="1:18" x14ac:dyDescent="0.25">
      <c r="A805">
        <v>6</v>
      </c>
      <c r="B805">
        <v>0</v>
      </c>
      <c r="C805">
        <v>17</v>
      </c>
      <c r="D805">
        <v>26.9</v>
      </c>
      <c r="E805">
        <v>59</v>
      </c>
      <c r="F805">
        <v>2.2788947118644109E-2</v>
      </c>
      <c r="G805" t="str">
        <f t="shared" si="54"/>
        <v>Insert into BlueCreditTypeRainbow Values (6, 0, 17, 26.9, 59, 0.0227889471186441)</v>
      </c>
      <c r="N805" s="4">
        <v>802</v>
      </c>
      <c r="O805" s="8">
        <f>$B$7*COUNTIF(Sheet2!$B$1:$B$132,N805)</f>
        <v>0</v>
      </c>
      <c r="P805" s="8">
        <f t="shared" ca="1" si="52"/>
        <v>0</v>
      </c>
      <c r="Q805" s="8">
        <f ca="1">CEILING(R804*(IF(N805&lt;=IF($B$2=0,0,OFFSET(Sheet2!$B$1,Sheet1!$B$2-1,0)),$B$1/(365*100),$B$3/(365*100)))*100,1)/100</f>
        <v>301.67</v>
      </c>
      <c r="R805" s="9">
        <f t="shared" ca="1" si="53"/>
        <v>739287.32638731902</v>
      </c>
    </row>
    <row r="806" spans="1:18" x14ac:dyDescent="0.25">
      <c r="A806">
        <v>6</v>
      </c>
      <c r="B806">
        <v>0</v>
      </c>
      <c r="C806">
        <v>17</v>
      </c>
      <c r="D806">
        <v>26.9</v>
      </c>
      <c r="E806">
        <v>60</v>
      </c>
      <c r="F806">
        <v>2.2592958676985388E-2</v>
      </c>
      <c r="G806" t="str">
        <f t="shared" si="54"/>
        <v>Insert into BlueCreditTypeRainbow Values (6, 0, 17, 26.9, 60, 0.0225929586769854)</v>
      </c>
      <c r="N806" s="4">
        <v>803</v>
      </c>
      <c r="O806" s="8">
        <f>$B$7*COUNTIF(Sheet2!$B$1:$B$132,N806)</f>
        <v>0</v>
      </c>
      <c r="P806" s="8">
        <f t="shared" ca="1" si="52"/>
        <v>0</v>
      </c>
      <c r="Q806" s="8">
        <f ca="1">CEILING(R805*(IF(N806&lt;=IF($B$2=0,0,OFFSET(Sheet2!$B$1,Sheet1!$B$2-1,0)),$B$1/(365*100),$B$3/(365*100)))*100,1)/100</f>
        <v>301.8</v>
      </c>
      <c r="R806" s="9">
        <f t="shared" ca="1" si="53"/>
        <v>739589.12638731906</v>
      </c>
    </row>
    <row r="807" spans="1:18" x14ac:dyDescent="0.25">
      <c r="A807">
        <v>6</v>
      </c>
      <c r="B807">
        <v>0</v>
      </c>
      <c r="C807">
        <v>16</v>
      </c>
      <c r="D807">
        <v>26.9</v>
      </c>
      <c r="E807">
        <v>48</v>
      </c>
      <c r="F807">
        <v>2.5923961679109788E-2</v>
      </c>
      <c r="G807" t="str">
        <f t="shared" si="54"/>
        <v>Insert into BlueCreditTypeRainbow Values (6, 0, 16, 26.9, 48, 0.0259239616791098)</v>
      </c>
      <c r="N807" s="4">
        <v>804</v>
      </c>
      <c r="O807" s="8">
        <f>$B$7*COUNTIF(Sheet2!$B$1:$B$132,N807)</f>
        <v>0</v>
      </c>
      <c r="P807" s="8">
        <f t="shared" ca="1" si="52"/>
        <v>0</v>
      </c>
      <c r="Q807" s="8">
        <f ca="1">CEILING(R806*(IF(N807&lt;=IF($B$2=0,0,OFFSET(Sheet2!$B$1,Sheet1!$B$2-1,0)),$B$1/(365*100),$B$3/(365*100)))*100,1)/100</f>
        <v>301.92</v>
      </c>
      <c r="R807" s="9">
        <f t="shared" ca="1" si="53"/>
        <v>739891.0463873191</v>
      </c>
    </row>
    <row r="808" spans="1:18" x14ac:dyDescent="0.25">
      <c r="A808">
        <v>6</v>
      </c>
      <c r="B808">
        <v>0</v>
      </c>
      <c r="C808">
        <v>16</v>
      </c>
      <c r="D808">
        <v>26.9</v>
      </c>
      <c r="E808">
        <v>49</v>
      </c>
      <c r="F808">
        <v>2.5607593673469372E-2</v>
      </c>
      <c r="G808" t="str">
        <f t="shared" si="54"/>
        <v>Insert into BlueCreditTypeRainbow Values (6, 0, 16, 26.9, 49, 0.0256075936734694)</v>
      </c>
      <c r="N808" s="4">
        <v>805</v>
      </c>
      <c r="O808" s="8">
        <f>$B$7*COUNTIF(Sheet2!$B$1:$B$132,N808)</f>
        <v>0</v>
      </c>
      <c r="P808" s="8">
        <f t="shared" ca="1" si="52"/>
        <v>0</v>
      </c>
      <c r="Q808" s="8">
        <f ca="1">CEILING(R807*(IF(N808&lt;=IF($B$2=0,0,OFFSET(Sheet2!$B$1,Sheet1!$B$2-1,0)),$B$1/(365*100),$B$3/(365*100)))*100,1)/100</f>
        <v>302.04000000000002</v>
      </c>
      <c r="R808" s="9">
        <f t="shared" ca="1" si="53"/>
        <v>740193.08638731914</v>
      </c>
    </row>
    <row r="809" spans="1:18" x14ac:dyDescent="0.25">
      <c r="A809">
        <v>6</v>
      </c>
      <c r="B809">
        <v>0</v>
      </c>
      <c r="C809">
        <v>16</v>
      </c>
      <c r="D809">
        <v>26.9</v>
      </c>
      <c r="E809">
        <v>50</v>
      </c>
      <c r="F809">
        <v>2.5305740604660933E-2</v>
      </c>
      <c r="G809" t="str">
        <f t="shared" si="54"/>
        <v>Insert into BlueCreditTypeRainbow Values (6, 0, 16, 26.9, 50, 0.0253057406046609)</v>
      </c>
      <c r="N809" s="4">
        <v>806</v>
      </c>
      <c r="O809" s="8">
        <f>$B$7*COUNTIF(Sheet2!$B$1:$B$132,N809)</f>
        <v>0</v>
      </c>
      <c r="P809" s="8">
        <f t="shared" ca="1" si="52"/>
        <v>0</v>
      </c>
      <c r="Q809" s="8">
        <f ca="1">CEILING(R808*(IF(N809&lt;=IF($B$2=0,0,OFFSET(Sheet2!$B$1,Sheet1!$B$2-1,0)),$B$1/(365*100),$B$3/(365*100)))*100,1)/100</f>
        <v>302.17</v>
      </c>
      <c r="R809" s="9">
        <f t="shared" ca="1" si="53"/>
        <v>740495.25638731918</v>
      </c>
    </row>
    <row r="810" spans="1:18" x14ac:dyDescent="0.25">
      <c r="A810">
        <v>6</v>
      </c>
      <c r="B810">
        <v>0</v>
      </c>
      <c r="C810">
        <v>16</v>
      </c>
      <c r="D810">
        <v>26.9</v>
      </c>
      <c r="E810">
        <v>51</v>
      </c>
      <c r="F810">
        <v>2.501729064157476E-2</v>
      </c>
      <c r="G810" t="str">
        <f t="shared" si="54"/>
        <v>Insert into BlueCreditTypeRainbow Values (6, 0, 16, 26.9, 51, 0.0250172906415748)</v>
      </c>
      <c r="N810" s="4">
        <v>807</v>
      </c>
      <c r="O810" s="8">
        <f>$B$7*COUNTIF(Sheet2!$B$1:$B$132,N810)</f>
        <v>0</v>
      </c>
      <c r="P810" s="8">
        <f t="shared" ca="1" si="52"/>
        <v>0</v>
      </c>
      <c r="Q810" s="8">
        <f ca="1">CEILING(R809*(IF(N810&lt;=IF($B$2=0,0,OFFSET(Sheet2!$B$1,Sheet1!$B$2-1,0)),$B$1/(365*100),$B$3/(365*100)))*100,1)/100</f>
        <v>302.29000000000002</v>
      </c>
      <c r="R810" s="9">
        <f t="shared" ca="1" si="53"/>
        <v>740797.54638731922</v>
      </c>
    </row>
    <row r="811" spans="1:18" x14ac:dyDescent="0.25">
      <c r="A811">
        <v>6</v>
      </c>
      <c r="B811">
        <v>0</v>
      </c>
      <c r="C811">
        <v>16</v>
      </c>
      <c r="D811">
        <v>26.9</v>
      </c>
      <c r="E811">
        <v>52</v>
      </c>
      <c r="F811">
        <v>2.4741645590939727E-2</v>
      </c>
      <c r="G811" t="str">
        <f t="shared" si="54"/>
        <v>Insert into BlueCreditTypeRainbow Values (6, 0, 16, 26.9, 52, 0.0247416455909397)</v>
      </c>
      <c r="N811" s="4">
        <v>808</v>
      </c>
      <c r="O811" s="8">
        <f>$B$7*COUNTIF(Sheet2!$B$1:$B$132,N811)</f>
        <v>0</v>
      </c>
      <c r="P811" s="8">
        <f t="shared" ca="1" si="52"/>
        <v>0</v>
      </c>
      <c r="Q811" s="8">
        <f ca="1">CEILING(R810*(IF(N811&lt;=IF($B$2=0,0,OFFSET(Sheet2!$B$1,Sheet1!$B$2-1,0)),$B$1/(365*100),$B$3/(365*100)))*100,1)/100</f>
        <v>302.41000000000003</v>
      </c>
      <c r="R811" s="9">
        <f t="shared" ca="1" si="53"/>
        <v>741099.95638731925</v>
      </c>
    </row>
    <row r="812" spans="1:18" x14ac:dyDescent="0.25">
      <c r="A812">
        <v>6</v>
      </c>
      <c r="B812">
        <v>0</v>
      </c>
      <c r="C812">
        <v>16</v>
      </c>
      <c r="D812">
        <v>26.9</v>
      </c>
      <c r="E812">
        <v>53</v>
      </c>
      <c r="F812">
        <v>2.4477831132075502E-2</v>
      </c>
      <c r="G812" t="str">
        <f t="shared" si="54"/>
        <v>Insert into BlueCreditTypeRainbow Values (6, 0, 16, 26.9, 53, 0.0244778311320755)</v>
      </c>
      <c r="N812" s="4">
        <v>809</v>
      </c>
      <c r="O812" s="8">
        <f>$B$7*COUNTIF(Sheet2!$B$1:$B$132,N812)</f>
        <v>0</v>
      </c>
      <c r="P812" s="8">
        <f t="shared" ca="1" si="52"/>
        <v>0</v>
      </c>
      <c r="Q812" s="8">
        <f ca="1">CEILING(R811*(IF(N812&lt;=IF($B$2=0,0,OFFSET(Sheet2!$B$1,Sheet1!$B$2-1,0)),$B$1/(365*100),$B$3/(365*100)))*100,1)/100</f>
        <v>302.54000000000002</v>
      </c>
      <c r="R812" s="9">
        <f t="shared" ca="1" si="53"/>
        <v>741402.49638731929</v>
      </c>
    </row>
    <row r="813" spans="1:18" x14ac:dyDescent="0.25">
      <c r="A813">
        <v>6</v>
      </c>
      <c r="B813">
        <v>0</v>
      </c>
      <c r="C813">
        <v>16</v>
      </c>
      <c r="D813">
        <v>26.9</v>
      </c>
      <c r="E813">
        <v>54</v>
      </c>
      <c r="F813">
        <v>2.422517278365191E-2</v>
      </c>
      <c r="G813" t="str">
        <f t="shared" si="54"/>
        <v>Insert into BlueCreditTypeRainbow Values (6, 0, 16, 26.9, 54, 0.0242251727836519)</v>
      </c>
      <c r="N813" s="4">
        <v>810</v>
      </c>
      <c r="O813" s="8">
        <f>$B$7*COUNTIF(Sheet2!$B$1:$B$132,N813)</f>
        <v>0</v>
      </c>
      <c r="P813" s="8">
        <f t="shared" ca="1" si="52"/>
        <v>0</v>
      </c>
      <c r="Q813" s="8">
        <f ca="1">CEILING(R812*(IF(N813&lt;=IF($B$2=0,0,OFFSET(Sheet2!$B$1,Sheet1!$B$2-1,0)),$B$1/(365*100),$B$3/(365*100)))*100,1)/100</f>
        <v>302.66000000000003</v>
      </c>
      <c r="R813" s="9">
        <f t="shared" ca="1" si="53"/>
        <v>741705.15638731932</v>
      </c>
    </row>
    <row r="814" spans="1:18" x14ac:dyDescent="0.25">
      <c r="A814">
        <v>6</v>
      </c>
      <c r="B814">
        <v>0</v>
      </c>
      <c r="C814">
        <v>16</v>
      </c>
      <c r="D814">
        <v>26.9</v>
      </c>
      <c r="E814">
        <v>55</v>
      </c>
      <c r="F814">
        <v>2.398321055181225E-2</v>
      </c>
      <c r="G814" t="str">
        <f t="shared" si="54"/>
        <v>Insert into BlueCreditTypeRainbow Values (6, 0, 16, 26.9, 55, 0.0239832105518123)</v>
      </c>
      <c r="N814" s="4">
        <v>811</v>
      </c>
      <c r="O814" s="8">
        <f>$B$7*COUNTIF(Sheet2!$B$1:$B$132,N814)</f>
        <v>0</v>
      </c>
      <c r="P814" s="8">
        <f t="shared" ca="1" si="52"/>
        <v>0</v>
      </c>
      <c r="Q814" s="8">
        <f ca="1">CEILING(R813*(IF(N814&lt;=IF($B$2=0,0,OFFSET(Sheet2!$B$1,Sheet1!$B$2-1,0)),$B$1/(365*100),$B$3/(365*100)))*100,1)/100</f>
        <v>302.77999999999997</v>
      </c>
      <c r="R814" s="9">
        <f t="shared" ca="1" si="53"/>
        <v>742007.93638731935</v>
      </c>
    </row>
    <row r="815" spans="1:18" x14ac:dyDescent="0.25">
      <c r="A815">
        <v>6</v>
      </c>
      <c r="B815">
        <v>0</v>
      </c>
      <c r="C815">
        <v>16</v>
      </c>
      <c r="D815">
        <v>26.9</v>
      </c>
      <c r="E815">
        <v>56</v>
      </c>
      <c r="F815">
        <v>2.3751168407919146E-2</v>
      </c>
      <c r="G815" t="str">
        <f t="shared" si="54"/>
        <v>Insert into BlueCreditTypeRainbow Values (6, 0, 16, 26.9, 56, 0.0237511684079191)</v>
      </c>
      <c r="N815" s="4">
        <v>812</v>
      </c>
      <c r="O815" s="8">
        <f>$B$7*COUNTIF(Sheet2!$B$1:$B$132,N815)</f>
        <v>0</v>
      </c>
      <c r="P815" s="8">
        <f t="shared" ca="1" si="52"/>
        <v>0</v>
      </c>
      <c r="Q815" s="8">
        <f ca="1">CEILING(R814*(IF(N815&lt;=IF($B$2=0,0,OFFSET(Sheet2!$B$1,Sheet1!$B$2-1,0)),$B$1/(365*100),$B$3/(365*100)))*100,1)/100</f>
        <v>302.91000000000003</v>
      </c>
      <c r="R815" s="9">
        <f t="shared" ca="1" si="53"/>
        <v>742310.84638731938</v>
      </c>
    </row>
    <row r="816" spans="1:18" x14ac:dyDescent="0.25">
      <c r="A816">
        <v>6</v>
      </c>
      <c r="B816">
        <v>0</v>
      </c>
      <c r="C816">
        <v>16</v>
      </c>
      <c r="D816">
        <v>26.9</v>
      </c>
      <c r="E816">
        <v>57</v>
      </c>
      <c r="F816">
        <v>2.3528666323446308E-2</v>
      </c>
      <c r="G816" t="str">
        <f t="shared" si="54"/>
        <v>Insert into BlueCreditTypeRainbow Values (6, 0, 16, 26.9, 57, 0.0235286663234463)</v>
      </c>
      <c r="N816" s="4">
        <v>813</v>
      </c>
      <c r="O816" s="8">
        <f>$B$7*COUNTIF(Sheet2!$B$1:$B$132,N816)</f>
        <v>0</v>
      </c>
      <c r="P816" s="8">
        <f t="shared" ca="1" si="52"/>
        <v>0</v>
      </c>
      <c r="Q816" s="8">
        <f ca="1">CEILING(R815*(IF(N816&lt;=IF($B$2=0,0,OFFSET(Sheet2!$B$1,Sheet1!$B$2-1,0)),$B$1/(365*100),$B$3/(365*100)))*100,1)/100</f>
        <v>303.02999999999997</v>
      </c>
      <c r="R816" s="9">
        <f t="shared" ca="1" si="53"/>
        <v>742613.87638731941</v>
      </c>
    </row>
    <row r="817" spans="1:18" x14ac:dyDescent="0.25">
      <c r="A817">
        <v>6</v>
      </c>
      <c r="B817">
        <v>0</v>
      </c>
      <c r="C817">
        <v>16</v>
      </c>
      <c r="D817">
        <v>26.9</v>
      </c>
      <c r="E817">
        <v>58</v>
      </c>
      <c r="F817">
        <v>2.3315018845402817E-2</v>
      </c>
      <c r="G817" t="str">
        <f t="shared" si="54"/>
        <v>Insert into BlueCreditTypeRainbow Values (6, 0, 16, 26.9, 58, 0.0233150188454028)</v>
      </c>
      <c r="N817" s="4">
        <v>814</v>
      </c>
      <c r="O817" s="8">
        <f>$B$7*COUNTIF(Sheet2!$B$1:$B$132,N817)</f>
        <v>0</v>
      </c>
      <c r="P817" s="8">
        <f t="shared" ca="1" si="52"/>
        <v>0</v>
      </c>
      <c r="Q817" s="8">
        <f ca="1">CEILING(R816*(IF(N817&lt;=IF($B$2=0,0,OFFSET(Sheet2!$B$1,Sheet1!$B$2-1,0)),$B$1/(365*100),$B$3/(365*100)))*100,1)/100</f>
        <v>303.14999999999998</v>
      </c>
      <c r="R817" s="9">
        <f t="shared" ca="1" si="53"/>
        <v>742917.02638731943</v>
      </c>
    </row>
    <row r="818" spans="1:18" x14ac:dyDescent="0.25">
      <c r="A818">
        <v>6</v>
      </c>
      <c r="B818">
        <v>0</v>
      </c>
      <c r="C818">
        <v>16</v>
      </c>
      <c r="D818">
        <v>26.9</v>
      </c>
      <c r="E818">
        <v>59</v>
      </c>
      <c r="F818">
        <v>2.3109918152038469E-2</v>
      </c>
      <c r="G818" t="str">
        <f t="shared" si="54"/>
        <v>Insert into BlueCreditTypeRainbow Values (6, 0, 16, 26.9, 59, 0.0231099181520385)</v>
      </c>
      <c r="N818" s="4">
        <v>815</v>
      </c>
      <c r="O818" s="8">
        <f>$B$7*COUNTIF(Sheet2!$B$1:$B$132,N818)</f>
        <v>0</v>
      </c>
      <c r="P818" s="8">
        <f t="shared" ca="1" si="52"/>
        <v>0</v>
      </c>
      <c r="Q818" s="8">
        <f ca="1">CEILING(R817*(IF(N818&lt;=IF($B$2=0,0,OFFSET(Sheet2!$B$1,Sheet1!$B$2-1,0)),$B$1/(365*100),$B$3/(365*100)))*100,1)/100</f>
        <v>303.27999999999997</v>
      </c>
      <c r="R818" s="9">
        <f t="shared" ca="1" si="53"/>
        <v>743220.30638731946</v>
      </c>
    </row>
    <row r="819" spans="1:18" x14ac:dyDescent="0.25">
      <c r="A819">
        <v>6</v>
      </c>
      <c r="B819">
        <v>0</v>
      </c>
      <c r="C819">
        <v>16</v>
      </c>
      <c r="D819">
        <v>26.9</v>
      </c>
      <c r="E819">
        <v>60</v>
      </c>
      <c r="F819">
        <v>2.2912756503693985E-2</v>
      </c>
      <c r="G819" t="str">
        <f t="shared" si="54"/>
        <v>Insert into BlueCreditTypeRainbow Values (6, 0, 16, 26.9, 60, 0.022912756503694)</v>
      </c>
      <c r="N819" s="4">
        <v>816</v>
      </c>
      <c r="O819" s="8">
        <f>$B$7*COUNTIF(Sheet2!$B$1:$B$132,N819)</f>
        <v>0</v>
      </c>
      <c r="P819" s="8">
        <f t="shared" ca="1" si="52"/>
        <v>0</v>
      </c>
      <c r="Q819" s="8">
        <f ca="1">CEILING(R818*(IF(N819&lt;=IF($B$2=0,0,OFFSET(Sheet2!$B$1,Sheet1!$B$2-1,0)),$B$1/(365*100),$B$3/(365*100)))*100,1)/100</f>
        <v>303.39999999999998</v>
      </c>
      <c r="R819" s="9">
        <f t="shared" ca="1" si="53"/>
        <v>743523.70638731949</v>
      </c>
    </row>
    <row r="820" spans="1:18" x14ac:dyDescent="0.25">
      <c r="A820">
        <v>6</v>
      </c>
      <c r="B820">
        <v>0</v>
      </c>
      <c r="C820">
        <v>15</v>
      </c>
      <c r="D820">
        <v>26.9</v>
      </c>
      <c r="E820">
        <v>48</v>
      </c>
      <c r="F820">
        <v>2.6286702651432309E-2</v>
      </c>
      <c r="G820" t="str">
        <f t="shared" si="54"/>
        <v>Insert into BlueCreditTypeRainbow Values (6, 0, 15, 26.9, 48, 0.0262867026514323)</v>
      </c>
      <c r="N820" s="4">
        <v>817</v>
      </c>
      <c r="O820" s="8">
        <f>$B$7*COUNTIF(Sheet2!$B$1:$B$132,N820)</f>
        <v>0</v>
      </c>
      <c r="P820" s="8">
        <f t="shared" ca="1" si="52"/>
        <v>0</v>
      </c>
      <c r="Q820" s="8">
        <f ca="1">CEILING(R819*(IF(N820&lt;=IF($B$2=0,0,OFFSET(Sheet2!$B$1,Sheet1!$B$2-1,0)),$B$1/(365*100),$B$3/(365*100)))*100,1)/100</f>
        <v>303.52999999999997</v>
      </c>
      <c r="R820" s="9">
        <f t="shared" ca="1" si="53"/>
        <v>743827.23638731951</v>
      </c>
    </row>
    <row r="821" spans="1:18" x14ac:dyDescent="0.25">
      <c r="A821">
        <v>6</v>
      </c>
      <c r="B821">
        <v>0</v>
      </c>
      <c r="C821">
        <v>15</v>
      </c>
      <c r="D821">
        <v>26.9</v>
      </c>
      <c r="E821">
        <v>49</v>
      </c>
      <c r="F821">
        <v>2.596872265306124E-2</v>
      </c>
      <c r="G821" t="str">
        <f t="shared" si="54"/>
        <v>Insert into BlueCreditTypeRainbow Values (6, 0, 15, 26.9, 49, 0.0259687226530612)</v>
      </c>
      <c r="N821" s="4">
        <v>818</v>
      </c>
      <c r="O821" s="8">
        <f>$B$7*COUNTIF(Sheet2!$B$1:$B$132,N821)</f>
        <v>0</v>
      </c>
      <c r="P821" s="8">
        <f t="shared" ca="1" si="52"/>
        <v>0</v>
      </c>
      <c r="Q821" s="8">
        <f ca="1">CEILING(R820*(IF(N821&lt;=IF($B$2=0,0,OFFSET(Sheet2!$B$1,Sheet1!$B$2-1,0)),$B$1/(365*100),$B$3/(365*100)))*100,1)/100</f>
        <v>303.64999999999998</v>
      </c>
      <c r="R821" s="9">
        <f t="shared" ca="1" si="53"/>
        <v>744130.88638731954</v>
      </c>
    </row>
    <row r="822" spans="1:18" x14ac:dyDescent="0.25">
      <c r="A822">
        <v>6</v>
      </c>
      <c r="B822">
        <v>0</v>
      </c>
      <c r="C822">
        <v>15</v>
      </c>
      <c r="D822">
        <v>26.9</v>
      </c>
      <c r="E822">
        <v>50</v>
      </c>
      <c r="F822">
        <v>2.5665275210253101E-2</v>
      </c>
      <c r="G822" t="str">
        <f t="shared" si="54"/>
        <v>Insert into BlueCreditTypeRainbow Values (6, 0, 15, 26.9, 50, 0.0256652752102531)</v>
      </c>
      <c r="N822" s="4">
        <v>819</v>
      </c>
      <c r="O822" s="8">
        <f>$B$7*COUNTIF(Sheet2!$B$1:$B$132,N822)</f>
        <v>0</v>
      </c>
      <c r="P822" s="8">
        <f t="shared" ca="1" si="52"/>
        <v>0</v>
      </c>
      <c r="Q822" s="8">
        <f ca="1">CEILING(R821*(IF(N822&lt;=IF($B$2=0,0,OFFSET(Sheet2!$B$1,Sheet1!$B$2-1,0)),$B$1/(365*100),$B$3/(365*100)))*100,1)/100</f>
        <v>303.77</v>
      </c>
      <c r="R822" s="9">
        <f t="shared" ca="1" si="53"/>
        <v>744434.65638731956</v>
      </c>
    </row>
    <row r="823" spans="1:18" x14ac:dyDescent="0.25">
      <c r="A823">
        <v>6</v>
      </c>
      <c r="B823">
        <v>0</v>
      </c>
      <c r="C823">
        <v>15</v>
      </c>
      <c r="D823">
        <v>26.9</v>
      </c>
      <c r="E823">
        <v>51</v>
      </c>
      <c r="F823">
        <v>2.5375242156862789E-2</v>
      </c>
      <c r="G823" t="str">
        <f t="shared" si="54"/>
        <v>Insert into BlueCreditTypeRainbow Values (6, 0, 15, 26.9, 51, 0.0253752421568628)</v>
      </c>
      <c r="N823" s="4">
        <v>820</v>
      </c>
      <c r="O823" s="8">
        <f>$B$7*COUNTIF(Sheet2!$B$1:$B$132,N823)</f>
        <v>0</v>
      </c>
      <c r="P823" s="8">
        <f t="shared" ca="1" si="52"/>
        <v>0</v>
      </c>
      <c r="Q823" s="8">
        <f ca="1">CEILING(R822*(IF(N823&lt;=IF($B$2=0,0,OFFSET(Sheet2!$B$1,Sheet1!$B$2-1,0)),$B$1/(365*100),$B$3/(365*100)))*100,1)/100</f>
        <v>303.89999999999998</v>
      </c>
      <c r="R823" s="9">
        <f t="shared" ca="1" si="53"/>
        <v>744738.55638731958</v>
      </c>
    </row>
    <row r="824" spans="1:18" x14ac:dyDescent="0.25">
      <c r="A824">
        <v>6</v>
      </c>
      <c r="B824">
        <v>0</v>
      </c>
      <c r="C824">
        <v>15</v>
      </c>
      <c r="D824">
        <v>26.9</v>
      </c>
      <c r="E824">
        <v>52</v>
      </c>
      <c r="F824">
        <v>2.5098026162326266E-2</v>
      </c>
      <c r="G824" t="str">
        <f t="shared" si="54"/>
        <v>Insert into BlueCreditTypeRainbow Values (6, 0, 15, 26.9, 52, 0.0250980261623263)</v>
      </c>
      <c r="N824" s="4">
        <v>821</v>
      </c>
      <c r="O824" s="8">
        <f>$B$7*COUNTIF(Sheet2!$B$1:$B$132,N824)</f>
        <v>0</v>
      </c>
      <c r="P824" s="8">
        <f t="shared" ca="1" si="52"/>
        <v>0</v>
      </c>
      <c r="Q824" s="8">
        <f ca="1">CEILING(R823*(IF(N824&lt;=IF($B$2=0,0,OFFSET(Sheet2!$B$1,Sheet1!$B$2-1,0)),$B$1/(365*100),$B$3/(365*100)))*100,1)/100</f>
        <v>304.02</v>
      </c>
      <c r="R824" s="9">
        <f t="shared" ca="1" si="53"/>
        <v>745042.5763873196</v>
      </c>
    </row>
    <row r="825" spans="1:18" x14ac:dyDescent="0.25">
      <c r="A825">
        <v>6</v>
      </c>
      <c r="B825">
        <v>0</v>
      </c>
      <c r="C825">
        <v>15</v>
      </c>
      <c r="D825">
        <v>26.9</v>
      </c>
      <c r="E825">
        <v>53</v>
      </c>
      <c r="F825">
        <v>2.4832667485030005E-2</v>
      </c>
      <c r="G825" t="str">
        <f t="shared" si="54"/>
        <v>Insert into BlueCreditTypeRainbow Values (6, 0, 15, 26.9, 53, 0.02483266748503)</v>
      </c>
      <c r="N825" s="4">
        <v>822</v>
      </c>
      <c r="O825" s="8">
        <f>$B$7*COUNTIF(Sheet2!$B$1:$B$132,N825)</f>
        <v>0</v>
      </c>
      <c r="P825" s="8">
        <f t="shared" ca="1" si="52"/>
        <v>0</v>
      </c>
      <c r="Q825" s="8">
        <f ca="1">CEILING(R824*(IF(N825&lt;=IF($B$2=0,0,OFFSET(Sheet2!$B$1,Sheet1!$B$2-1,0)),$B$1/(365*100),$B$3/(365*100)))*100,1)/100</f>
        <v>304.14999999999998</v>
      </c>
      <c r="R825" s="9">
        <f t="shared" ca="1" si="53"/>
        <v>745346.72638731962</v>
      </c>
    </row>
    <row r="826" spans="1:18" x14ac:dyDescent="0.25">
      <c r="A826">
        <v>6</v>
      </c>
      <c r="B826">
        <v>0</v>
      </c>
      <c r="C826">
        <v>15</v>
      </c>
      <c r="D826">
        <v>26.9</v>
      </c>
      <c r="E826">
        <v>54</v>
      </c>
      <c r="F826">
        <v>2.4578481296296362E-2</v>
      </c>
      <c r="G826" t="str">
        <f t="shared" si="54"/>
        <v>Insert into BlueCreditTypeRainbow Values (6, 0, 15, 26.9, 54, 0.0245784812962964)</v>
      </c>
      <c r="N826" s="4">
        <v>823</v>
      </c>
      <c r="O826" s="8">
        <f>$B$7*COUNTIF(Sheet2!$B$1:$B$132,N826)</f>
        <v>21157.10552356458</v>
      </c>
      <c r="P826" s="8">
        <f t="shared" ca="1" si="52"/>
        <v>20852.835523564579</v>
      </c>
      <c r="Q826" s="8">
        <f ca="1">CEILING(R825*(IF(N826&lt;=IF($B$2=0,0,OFFSET(Sheet2!$B$1,Sheet1!$B$2-1,0)),$B$1/(365*100),$B$3/(365*100)))*100,1)/100</f>
        <v>304.27</v>
      </c>
      <c r="R826" s="9">
        <f t="shared" ca="1" si="53"/>
        <v>724493.89086375502</v>
      </c>
    </row>
    <row r="827" spans="1:18" x14ac:dyDescent="0.25">
      <c r="A827">
        <v>6</v>
      </c>
      <c r="B827">
        <v>0</v>
      </c>
      <c r="C827">
        <v>15</v>
      </c>
      <c r="D827">
        <v>26.9</v>
      </c>
      <c r="E827">
        <v>55</v>
      </c>
      <c r="F827">
        <v>2.4335010363636399E-2</v>
      </c>
      <c r="G827" t="str">
        <f t="shared" si="54"/>
        <v>Insert into BlueCreditTypeRainbow Values (6, 0, 15, 26.9, 55, 0.0243350103636364)</v>
      </c>
      <c r="N827" s="4">
        <v>824</v>
      </c>
      <c r="O827" s="8">
        <f>$B$7*COUNTIF(Sheet2!$B$1:$B$132,N827)</f>
        <v>0</v>
      </c>
      <c r="P827" s="8">
        <f t="shared" ca="1" si="52"/>
        <v>0</v>
      </c>
      <c r="Q827" s="8">
        <f ca="1">CEILING(R826*(IF(N827&lt;=IF($B$2=0,0,OFFSET(Sheet2!$B$1,Sheet1!$B$2-1,0)),$B$1/(365*100),$B$3/(365*100)))*100,1)/100</f>
        <v>295.76</v>
      </c>
      <c r="R827" s="9">
        <f t="shared" ca="1" si="53"/>
        <v>724789.65086375503</v>
      </c>
    </row>
    <row r="828" spans="1:18" x14ac:dyDescent="0.25">
      <c r="A828">
        <v>6</v>
      </c>
      <c r="B828">
        <v>0</v>
      </c>
      <c r="C828">
        <v>15</v>
      </c>
      <c r="D828">
        <v>26.9</v>
      </c>
      <c r="E828">
        <v>56</v>
      </c>
      <c r="F828">
        <v>2.4101485731033007E-2</v>
      </c>
      <c r="G828" t="str">
        <f t="shared" si="54"/>
        <v>Insert into BlueCreditTypeRainbow Values (6, 0, 15, 26.9, 56, 0.024101485731033)</v>
      </c>
      <c r="N828" s="4">
        <v>825</v>
      </c>
      <c r="O828" s="8">
        <f>$B$7*COUNTIF(Sheet2!$B$1:$B$132,N828)</f>
        <v>0</v>
      </c>
      <c r="P828" s="8">
        <f t="shared" ca="1" si="52"/>
        <v>0</v>
      </c>
      <c r="Q828" s="8">
        <f ca="1">CEILING(R827*(IF(N828&lt;=IF($B$2=0,0,OFFSET(Sheet2!$B$1,Sheet1!$B$2-1,0)),$B$1/(365*100),$B$3/(365*100)))*100,1)/100</f>
        <v>295.88</v>
      </c>
      <c r="R828" s="9">
        <f t="shared" ca="1" si="53"/>
        <v>725085.53086375503</v>
      </c>
    </row>
    <row r="829" spans="1:18" x14ac:dyDescent="0.25">
      <c r="A829">
        <v>6</v>
      </c>
      <c r="B829">
        <v>0</v>
      </c>
      <c r="C829">
        <v>15</v>
      </c>
      <c r="D829">
        <v>26.9</v>
      </c>
      <c r="E829">
        <v>57</v>
      </c>
      <c r="F829">
        <v>2.3877527651796758E-2</v>
      </c>
      <c r="G829" t="str">
        <f t="shared" si="54"/>
        <v>Insert into BlueCreditTypeRainbow Values (6, 0, 15, 26.9, 57, 0.0238775276517968)</v>
      </c>
      <c r="N829" s="4">
        <v>826</v>
      </c>
      <c r="O829" s="8">
        <f>$B$7*COUNTIF(Sheet2!$B$1:$B$132,N829)</f>
        <v>0</v>
      </c>
      <c r="P829" s="8">
        <f t="shared" ca="1" si="52"/>
        <v>0</v>
      </c>
      <c r="Q829" s="8">
        <f ca="1">CEILING(R828*(IF(N829&lt;=IF($B$2=0,0,OFFSET(Sheet2!$B$1,Sheet1!$B$2-1,0)),$B$1/(365*100),$B$3/(365*100)))*100,1)/100</f>
        <v>296</v>
      </c>
      <c r="R829" s="9">
        <f t="shared" ca="1" si="53"/>
        <v>725381.53086375503</v>
      </c>
    </row>
    <row r="830" spans="1:18" x14ac:dyDescent="0.25">
      <c r="A830">
        <v>6</v>
      </c>
      <c r="B830">
        <v>0</v>
      </c>
      <c r="C830">
        <v>15</v>
      </c>
      <c r="D830">
        <v>26.9</v>
      </c>
      <c r="E830">
        <v>58</v>
      </c>
      <c r="F830">
        <v>2.3662452429179779E-2</v>
      </c>
      <c r="G830" t="str">
        <f t="shared" si="54"/>
        <v>Insert into BlueCreditTypeRainbow Values (6, 0, 15, 26.9, 58, 0.0236624524291798)</v>
      </c>
      <c r="N830" s="4">
        <v>827</v>
      </c>
      <c r="O830" s="8">
        <f>$B$7*COUNTIF(Sheet2!$B$1:$B$132,N830)</f>
        <v>0</v>
      </c>
      <c r="P830" s="8">
        <f t="shared" ca="1" si="52"/>
        <v>0</v>
      </c>
      <c r="Q830" s="8">
        <f ca="1">CEILING(R829*(IF(N830&lt;=IF($B$2=0,0,OFFSET(Sheet2!$B$1,Sheet1!$B$2-1,0)),$B$1/(365*100),$B$3/(365*100)))*100,1)/100</f>
        <v>296.12</v>
      </c>
      <c r="R830" s="9">
        <f t="shared" ca="1" si="53"/>
        <v>725677.65086375503</v>
      </c>
    </row>
    <row r="831" spans="1:18" x14ac:dyDescent="0.25">
      <c r="A831">
        <v>6</v>
      </c>
      <c r="B831">
        <v>0</v>
      </c>
      <c r="C831">
        <v>15</v>
      </c>
      <c r="D831">
        <v>26.9</v>
      </c>
      <c r="E831">
        <v>59</v>
      </c>
      <c r="F831">
        <v>2.3455945778596617E-2</v>
      </c>
      <c r="G831" t="str">
        <f t="shared" si="54"/>
        <v>Insert into BlueCreditTypeRainbow Values (6, 0, 15, 26.9, 59, 0.0234559457785966)</v>
      </c>
      <c r="N831" s="4">
        <v>828</v>
      </c>
      <c r="O831" s="8">
        <f>$B$7*COUNTIF(Sheet2!$B$1:$B$132,N831)</f>
        <v>0</v>
      </c>
      <c r="P831" s="8">
        <f t="shared" ca="1" si="52"/>
        <v>0</v>
      </c>
      <c r="Q831" s="8">
        <f ca="1">CEILING(R830*(IF(N831&lt;=IF($B$2=0,0,OFFSET(Sheet2!$B$1,Sheet1!$B$2-1,0)),$B$1/(365*100),$B$3/(365*100)))*100,1)/100</f>
        <v>296.24</v>
      </c>
      <c r="R831" s="9">
        <f t="shared" ca="1" si="53"/>
        <v>725973.89086375502</v>
      </c>
    </row>
    <row r="832" spans="1:18" x14ac:dyDescent="0.25">
      <c r="A832">
        <v>6</v>
      </c>
      <c r="B832">
        <v>0</v>
      </c>
      <c r="C832">
        <v>15</v>
      </c>
      <c r="D832">
        <v>26.9</v>
      </c>
      <c r="E832">
        <v>60</v>
      </c>
      <c r="F832">
        <v>2.3257411509423564E-2</v>
      </c>
      <c r="G832" t="str">
        <f t="shared" si="54"/>
        <v>Insert into BlueCreditTypeRainbow Values (6, 0, 15, 26.9, 60, 0.0232574115094236)</v>
      </c>
      <c r="N832" s="4">
        <v>829</v>
      </c>
      <c r="O832" s="8">
        <f>$B$7*COUNTIF(Sheet2!$B$1:$B$132,N832)</f>
        <v>0</v>
      </c>
      <c r="P832" s="8">
        <f t="shared" ca="1" si="52"/>
        <v>0</v>
      </c>
      <c r="Q832" s="8">
        <f ca="1">CEILING(R831*(IF(N832&lt;=IF($B$2=0,0,OFFSET(Sheet2!$B$1,Sheet1!$B$2-1,0)),$B$1/(365*100),$B$3/(365*100)))*100,1)/100</f>
        <v>296.36</v>
      </c>
      <c r="R832" s="9">
        <f t="shared" ca="1" si="53"/>
        <v>726270.25086375501</v>
      </c>
    </row>
    <row r="833" spans="1:18" x14ac:dyDescent="0.25">
      <c r="A833">
        <v>6</v>
      </c>
      <c r="B833">
        <v>0</v>
      </c>
      <c r="C833">
        <v>14</v>
      </c>
      <c r="D833">
        <v>26.9</v>
      </c>
      <c r="E833">
        <v>48</v>
      </c>
      <c r="F833">
        <v>2.665492873108891E-2</v>
      </c>
      <c r="G833" t="str">
        <f t="shared" si="54"/>
        <v>Insert into BlueCreditTypeRainbow Values (6, 0, 14, 26.9, 48, 0.0266549287310889)</v>
      </c>
      <c r="N833" s="4">
        <v>830</v>
      </c>
      <c r="O833" s="8">
        <f>$B$7*COUNTIF(Sheet2!$B$1:$B$132,N833)</f>
        <v>0</v>
      </c>
      <c r="P833" s="8">
        <f t="shared" ca="1" si="52"/>
        <v>0</v>
      </c>
      <c r="Q833" s="8">
        <f ca="1">CEILING(R832*(IF(N833&lt;=IF($B$2=0,0,OFFSET(Sheet2!$B$1,Sheet1!$B$2-1,0)),$B$1/(365*100),$B$3/(365*100)))*100,1)/100</f>
        <v>296.48</v>
      </c>
      <c r="R833" s="9">
        <f t="shared" ca="1" si="53"/>
        <v>726566.73086375499</v>
      </c>
    </row>
    <row r="834" spans="1:18" x14ac:dyDescent="0.25">
      <c r="A834">
        <v>6</v>
      </c>
      <c r="B834">
        <v>0</v>
      </c>
      <c r="C834">
        <v>14</v>
      </c>
      <c r="D834">
        <v>26.9</v>
      </c>
      <c r="E834">
        <v>49</v>
      </c>
      <c r="F834">
        <v>2.633509863759665E-2</v>
      </c>
      <c r="G834" t="str">
        <f t="shared" si="54"/>
        <v>Insert into BlueCreditTypeRainbow Values (6, 0, 14, 26.9, 49, 0.0263350986375967)</v>
      </c>
      <c r="N834" s="4">
        <v>831</v>
      </c>
      <c r="O834" s="8">
        <f>$B$7*COUNTIF(Sheet2!$B$1:$B$132,N834)</f>
        <v>0</v>
      </c>
      <c r="P834" s="8">
        <f t="shared" ca="1" si="52"/>
        <v>0</v>
      </c>
      <c r="Q834" s="8">
        <f ca="1">CEILING(R833*(IF(N834&lt;=IF($B$2=0,0,OFFSET(Sheet2!$B$1,Sheet1!$B$2-1,0)),$B$1/(365*100),$B$3/(365*100)))*100,1)/100</f>
        <v>296.60000000000002</v>
      </c>
      <c r="R834" s="9">
        <f t="shared" ca="1" si="53"/>
        <v>726863.33086375496</v>
      </c>
    </row>
    <row r="835" spans="1:18" x14ac:dyDescent="0.25">
      <c r="A835">
        <v>6</v>
      </c>
      <c r="B835">
        <v>0</v>
      </c>
      <c r="C835">
        <v>14</v>
      </c>
      <c r="D835">
        <v>26.9</v>
      </c>
      <c r="E835">
        <v>50</v>
      </c>
      <c r="F835">
        <v>2.6029821011957291E-2</v>
      </c>
      <c r="G835" t="str">
        <f t="shared" si="54"/>
        <v>Insert into BlueCreditTypeRainbow Values (6, 0, 14, 26.9, 50, 0.0260298210119573)</v>
      </c>
      <c r="N835" s="4">
        <v>832</v>
      </c>
      <c r="O835" s="8">
        <f>$B$7*COUNTIF(Sheet2!$B$1:$B$132,N835)</f>
        <v>0</v>
      </c>
      <c r="P835" s="8">
        <f t="shared" ca="1" si="52"/>
        <v>0</v>
      </c>
      <c r="Q835" s="8">
        <f ca="1">CEILING(R834*(IF(N835&lt;=IF($B$2=0,0,OFFSET(Sheet2!$B$1,Sheet1!$B$2-1,0)),$B$1/(365*100),$B$3/(365*100)))*100,1)/100</f>
        <v>296.72000000000003</v>
      </c>
      <c r="R835" s="9">
        <f t="shared" ca="1" si="53"/>
        <v>727160.05086375494</v>
      </c>
    </row>
    <row r="836" spans="1:18" x14ac:dyDescent="0.25">
      <c r="A836">
        <v>6</v>
      </c>
      <c r="B836">
        <v>0</v>
      </c>
      <c r="C836">
        <v>14</v>
      </c>
      <c r="D836">
        <v>26.9</v>
      </c>
      <c r="E836">
        <v>51</v>
      </c>
      <c r="F836">
        <v>2.5737984134001555E-2</v>
      </c>
      <c r="G836" t="str">
        <f t="shared" si="54"/>
        <v>Insert into BlueCreditTypeRainbow Values (6, 0, 14, 26.9, 51, 0.0257379841340016)</v>
      </c>
      <c r="N836" s="4">
        <v>833</v>
      </c>
      <c r="O836" s="8">
        <f>$B$7*COUNTIF(Sheet2!$B$1:$B$132,N836)</f>
        <v>0</v>
      </c>
      <c r="P836" s="8">
        <f t="shared" ca="1" si="52"/>
        <v>0</v>
      </c>
      <c r="Q836" s="8">
        <f ca="1">CEILING(R835*(IF(N836&lt;=IF($B$2=0,0,OFFSET(Sheet2!$B$1,Sheet1!$B$2-1,0)),$B$1/(365*100),$B$3/(365*100)))*100,1)/100</f>
        <v>296.85000000000002</v>
      </c>
      <c r="R836" s="9">
        <f t="shared" ca="1" si="53"/>
        <v>727456.90086375491</v>
      </c>
    </row>
    <row r="837" spans="1:18" x14ac:dyDescent="0.25">
      <c r="A837">
        <v>6</v>
      </c>
      <c r="B837">
        <v>0</v>
      </c>
      <c r="C837">
        <v>14</v>
      </c>
      <c r="D837">
        <v>26.9</v>
      </c>
      <c r="E837">
        <v>52</v>
      </c>
      <c r="F837">
        <v>2.5458993846153858E-2</v>
      </c>
      <c r="G837" t="str">
        <f t="shared" si="54"/>
        <v>Insert into BlueCreditTypeRainbow Values (6, 0, 14, 26.9, 52, 0.0254589938461539)</v>
      </c>
      <c r="N837" s="4">
        <v>834</v>
      </c>
      <c r="O837" s="8">
        <f>$B$7*COUNTIF(Sheet2!$B$1:$B$132,N837)</f>
        <v>0</v>
      </c>
      <c r="P837" s="8">
        <f t="shared" ref="P837:P900" ca="1" si="55">IF(O837-Q837&gt; 0, O837-Q837, 0)</f>
        <v>0</v>
      </c>
      <c r="Q837" s="8">
        <f ca="1">CEILING(R836*(IF(N837&lt;=IF($B$2=0,0,OFFSET(Sheet2!$B$1,Sheet1!$B$2-1,0)),$B$1/(365*100),$B$3/(365*100)))*100,1)/100</f>
        <v>296.97000000000003</v>
      </c>
      <c r="R837" s="9">
        <f t="shared" ref="R837:R900" ca="1" si="56">R836+Q837-O837</f>
        <v>727753.87086375488</v>
      </c>
    </row>
    <row r="838" spans="1:18" x14ac:dyDescent="0.25">
      <c r="A838">
        <v>6</v>
      </c>
      <c r="B838">
        <v>0</v>
      </c>
      <c r="C838">
        <v>14</v>
      </c>
      <c r="D838">
        <v>26.9</v>
      </c>
      <c r="E838">
        <v>53</v>
      </c>
      <c r="F838">
        <v>2.5191892457035913E-2</v>
      </c>
      <c r="G838" t="str">
        <f t="shared" si="54"/>
        <v>Insert into BlueCreditTypeRainbow Values (6, 0, 14, 26.9, 53, 0.0251918924570359)</v>
      </c>
      <c r="N838" s="4">
        <v>835</v>
      </c>
      <c r="O838" s="8">
        <f>$B$7*COUNTIF(Sheet2!$B$1:$B$132,N838)</f>
        <v>0</v>
      </c>
      <c r="P838" s="8">
        <f t="shared" ca="1" si="55"/>
        <v>0</v>
      </c>
      <c r="Q838" s="8">
        <f ca="1">CEILING(R837*(IF(N838&lt;=IF($B$2=0,0,OFFSET(Sheet2!$B$1,Sheet1!$B$2-1,0)),$B$1/(365*100),$B$3/(365*100)))*100,1)/100</f>
        <v>297.08999999999997</v>
      </c>
      <c r="R838" s="9">
        <f t="shared" ca="1" si="56"/>
        <v>728050.96086375485</v>
      </c>
    </row>
    <row r="839" spans="1:18" x14ac:dyDescent="0.25">
      <c r="A839">
        <v>6</v>
      </c>
      <c r="B839">
        <v>0</v>
      </c>
      <c r="C839">
        <v>14</v>
      </c>
      <c r="D839">
        <v>26.9</v>
      </c>
      <c r="E839">
        <v>54</v>
      </c>
      <c r="F839">
        <v>2.4935998770136299E-2</v>
      </c>
      <c r="G839" t="str">
        <f t="shared" si="54"/>
        <v>Insert into BlueCreditTypeRainbow Values (6, 0, 14, 26.9, 54, 0.0249359987701363)</v>
      </c>
      <c r="N839" s="4">
        <v>836</v>
      </c>
      <c r="O839" s="8">
        <f>$B$7*COUNTIF(Sheet2!$B$1:$B$132,N839)</f>
        <v>0</v>
      </c>
      <c r="P839" s="8">
        <f t="shared" ca="1" si="55"/>
        <v>0</v>
      </c>
      <c r="Q839" s="8">
        <f ca="1">CEILING(R838*(IF(N839&lt;=IF($B$2=0,0,OFFSET(Sheet2!$B$1,Sheet1!$B$2-1,0)),$B$1/(365*100),$B$3/(365*100)))*100,1)/100</f>
        <v>297.20999999999998</v>
      </c>
      <c r="R839" s="9">
        <f t="shared" ca="1" si="56"/>
        <v>728348.17086375481</v>
      </c>
    </row>
    <row r="840" spans="1:18" x14ac:dyDescent="0.25">
      <c r="A840">
        <v>6</v>
      </c>
      <c r="B840">
        <v>0</v>
      </c>
      <c r="C840">
        <v>14</v>
      </c>
      <c r="D840">
        <v>26.9</v>
      </c>
      <c r="E840">
        <v>55</v>
      </c>
      <c r="F840">
        <v>2.4690854744287373E-2</v>
      </c>
      <c r="G840" t="str">
        <f t="shared" si="54"/>
        <v>Insert into BlueCreditTypeRainbow Values (6, 0, 14, 26.9, 55, 0.0246908547442874)</v>
      </c>
      <c r="N840" s="4">
        <v>837</v>
      </c>
      <c r="O840" s="8">
        <f>$B$7*COUNTIF(Sheet2!$B$1:$B$132,N840)</f>
        <v>0</v>
      </c>
      <c r="P840" s="8">
        <f t="shared" ca="1" si="55"/>
        <v>0</v>
      </c>
      <c r="Q840" s="8">
        <f ca="1">CEILING(R839*(IF(N840&lt;=IF($B$2=0,0,OFFSET(Sheet2!$B$1,Sheet1!$B$2-1,0)),$B$1/(365*100),$B$3/(365*100)))*100,1)/100</f>
        <v>297.33</v>
      </c>
      <c r="R840" s="9">
        <f t="shared" ca="1" si="56"/>
        <v>728645.50086375477</v>
      </c>
    </row>
    <row r="841" spans="1:18" x14ac:dyDescent="0.25">
      <c r="A841">
        <v>6</v>
      </c>
      <c r="B841">
        <v>0</v>
      </c>
      <c r="C841">
        <v>14</v>
      </c>
      <c r="D841">
        <v>26.9</v>
      </c>
      <c r="E841">
        <v>56</v>
      </c>
      <c r="F841">
        <v>2.4455689744862803E-2</v>
      </c>
      <c r="G841" t="str">
        <f t="shared" si="54"/>
        <v>Insert into BlueCreditTypeRainbow Values (6, 0, 14, 26.9, 56, 0.0244556897448628)</v>
      </c>
      <c r="N841" s="4">
        <v>838</v>
      </c>
      <c r="O841" s="8">
        <f>$B$7*COUNTIF(Sheet2!$B$1:$B$132,N841)</f>
        <v>0</v>
      </c>
      <c r="P841" s="8">
        <f t="shared" ca="1" si="55"/>
        <v>0</v>
      </c>
      <c r="Q841" s="8">
        <f ca="1">CEILING(R840*(IF(N841&lt;=IF($B$2=0,0,OFFSET(Sheet2!$B$1,Sheet1!$B$2-1,0)),$B$1/(365*100),$B$3/(365*100)))*100,1)/100</f>
        <v>297.45</v>
      </c>
      <c r="R841" s="9">
        <f t="shared" ca="1" si="56"/>
        <v>728942.95086375473</v>
      </c>
    </row>
    <row r="842" spans="1:18" x14ac:dyDescent="0.25">
      <c r="A842">
        <v>6</v>
      </c>
      <c r="B842">
        <v>0</v>
      </c>
      <c r="C842">
        <v>14</v>
      </c>
      <c r="D842">
        <v>26.9</v>
      </c>
      <c r="E842">
        <v>57</v>
      </c>
      <c r="F842">
        <v>2.4230123728483998E-2</v>
      </c>
      <c r="G842" t="str">
        <f t="shared" si="54"/>
        <v>Insert into BlueCreditTypeRainbow Values (6, 0, 14, 26.9, 57, 0.024230123728484)</v>
      </c>
      <c r="N842" s="4">
        <v>839</v>
      </c>
      <c r="O842" s="8">
        <f>$B$7*COUNTIF(Sheet2!$B$1:$B$132,N842)</f>
        <v>0</v>
      </c>
      <c r="P842" s="8">
        <f t="shared" ca="1" si="55"/>
        <v>0</v>
      </c>
      <c r="Q842" s="8">
        <f ca="1">CEILING(R841*(IF(N842&lt;=IF($B$2=0,0,OFFSET(Sheet2!$B$1,Sheet1!$B$2-1,0)),$B$1/(365*100),$B$3/(365*100)))*100,1)/100</f>
        <v>297.57</v>
      </c>
      <c r="R842" s="9">
        <f t="shared" ca="1" si="56"/>
        <v>729240.52086375467</v>
      </c>
    </row>
    <row r="843" spans="1:18" x14ac:dyDescent="0.25">
      <c r="A843">
        <v>6</v>
      </c>
      <c r="B843">
        <v>0</v>
      </c>
      <c r="C843">
        <v>14</v>
      </c>
      <c r="D843">
        <v>26.9</v>
      </c>
      <c r="E843">
        <v>58</v>
      </c>
      <c r="F843">
        <v>2.4013477160687493E-2</v>
      </c>
      <c r="G843" t="str">
        <f t="shared" si="54"/>
        <v>Insert into BlueCreditTypeRainbow Values (6, 0, 14, 26.9, 58, 0.0240134771606875)</v>
      </c>
      <c r="N843" s="4">
        <v>840</v>
      </c>
      <c r="O843" s="8">
        <f>$B$7*COUNTIF(Sheet2!$B$1:$B$132,N843)</f>
        <v>0</v>
      </c>
      <c r="P843" s="8">
        <f t="shared" ca="1" si="55"/>
        <v>0</v>
      </c>
      <c r="Q843" s="8">
        <f ca="1">CEILING(R842*(IF(N843&lt;=IF($B$2=0,0,OFFSET(Sheet2!$B$1,Sheet1!$B$2-1,0)),$B$1/(365*100),$B$3/(365*100)))*100,1)/100</f>
        <v>297.69</v>
      </c>
      <c r="R843" s="9">
        <f t="shared" ca="1" si="56"/>
        <v>729538.21086375462</v>
      </c>
    </row>
    <row r="844" spans="1:18" x14ac:dyDescent="0.25">
      <c r="A844">
        <v>6</v>
      </c>
      <c r="B844">
        <v>0</v>
      </c>
      <c r="C844">
        <v>14</v>
      </c>
      <c r="D844">
        <v>26.9</v>
      </c>
      <c r="E844">
        <v>59</v>
      </c>
      <c r="F844">
        <v>2.3805435193733376E-2</v>
      </c>
      <c r="G844" t="str">
        <f t="shared" si="54"/>
        <v>Insert into BlueCreditTypeRainbow Values (6, 0, 14, 26.9, 59, 0.0238054351937334)</v>
      </c>
      <c r="N844" s="4">
        <v>841</v>
      </c>
      <c r="O844" s="8">
        <f>$B$7*COUNTIF(Sheet2!$B$1:$B$132,N844)</f>
        <v>0</v>
      </c>
      <c r="P844" s="8">
        <f t="shared" ca="1" si="55"/>
        <v>0</v>
      </c>
      <c r="Q844" s="8">
        <f ca="1">CEILING(R843*(IF(N844&lt;=IF($B$2=0,0,OFFSET(Sheet2!$B$1,Sheet1!$B$2-1,0)),$B$1/(365*100),$B$3/(365*100)))*100,1)/100</f>
        <v>297.82</v>
      </c>
      <c r="R844" s="9">
        <f t="shared" ca="1" si="56"/>
        <v>729836.03086375457</v>
      </c>
    </row>
    <row r="845" spans="1:18" x14ac:dyDescent="0.25">
      <c r="A845">
        <v>6</v>
      </c>
      <c r="B845">
        <v>0</v>
      </c>
      <c r="C845">
        <v>14</v>
      </c>
      <c r="D845">
        <v>26.9</v>
      </c>
      <c r="E845">
        <v>60</v>
      </c>
      <c r="F845">
        <v>2.3605396666666719E-2</v>
      </c>
      <c r="G845" t="str">
        <f t="shared" si="54"/>
        <v>Insert into BlueCreditTypeRainbow Values (6, 0, 14, 26.9, 60, 0.0236053966666667)</v>
      </c>
      <c r="N845" s="4">
        <v>842</v>
      </c>
      <c r="O845" s="8">
        <f>$B$7*COUNTIF(Sheet2!$B$1:$B$132,N845)</f>
        <v>0</v>
      </c>
      <c r="P845" s="8">
        <f t="shared" ca="1" si="55"/>
        <v>0</v>
      </c>
      <c r="Q845" s="8">
        <f ca="1">CEILING(R844*(IF(N845&lt;=IF($B$2=0,0,OFFSET(Sheet2!$B$1,Sheet1!$B$2-1,0)),$B$1/(365*100),$B$3/(365*100)))*100,1)/100</f>
        <v>297.94</v>
      </c>
      <c r="R845" s="9">
        <f t="shared" ca="1" si="56"/>
        <v>730133.97086375451</v>
      </c>
    </row>
    <row r="846" spans="1:18" x14ac:dyDescent="0.25">
      <c r="A846">
        <v>6</v>
      </c>
      <c r="B846">
        <v>0</v>
      </c>
      <c r="C846">
        <v>13</v>
      </c>
      <c r="D846">
        <v>26.9</v>
      </c>
      <c r="E846">
        <v>48</v>
      </c>
      <c r="F846">
        <v>2.7054124609575299E-2</v>
      </c>
      <c r="G846" t="str">
        <f t="shared" si="54"/>
        <v>Insert into BlueCreditTypeRainbow Values (6, 0, 13, 26.9, 48, 0.0270541246095753)</v>
      </c>
      <c r="N846" s="4">
        <v>843</v>
      </c>
      <c r="O846" s="8">
        <f>$B$7*COUNTIF(Sheet2!$B$1:$B$132,N846)</f>
        <v>0</v>
      </c>
      <c r="P846" s="8">
        <f t="shared" ca="1" si="55"/>
        <v>0</v>
      </c>
      <c r="Q846" s="8">
        <f ca="1">CEILING(R845*(IF(N846&lt;=IF($B$2=0,0,OFFSET(Sheet2!$B$1,Sheet1!$B$2-1,0)),$B$1/(365*100),$B$3/(365*100)))*100,1)/100</f>
        <v>298.06</v>
      </c>
      <c r="R846" s="9">
        <f t="shared" ca="1" si="56"/>
        <v>730432.03086375457</v>
      </c>
    </row>
    <row r="847" spans="1:18" x14ac:dyDescent="0.25">
      <c r="A847">
        <v>6</v>
      </c>
      <c r="B847">
        <v>0</v>
      </c>
      <c r="C847">
        <v>13</v>
      </c>
      <c r="D847">
        <v>26.9</v>
      </c>
      <c r="E847">
        <v>49</v>
      </c>
      <c r="F847">
        <v>2.6732049203293688E-2</v>
      </c>
      <c r="G847" t="str">
        <f t="shared" ref="G847:G910" si="57">CONCATENATE("Insert into BlueCreditTypeRainbow Values (",A847,", ",B847,", ",C847,", ",D847,", ",E847,", ",F847,")")</f>
        <v>Insert into BlueCreditTypeRainbow Values (6, 0, 13, 26.9, 49, 0.0267320492032937)</v>
      </c>
      <c r="N847" s="4">
        <v>844</v>
      </c>
      <c r="O847" s="8">
        <f>$B$7*COUNTIF(Sheet2!$B$1:$B$132,N847)</f>
        <v>0</v>
      </c>
      <c r="P847" s="8">
        <f t="shared" ca="1" si="55"/>
        <v>0</v>
      </c>
      <c r="Q847" s="8">
        <f ca="1">CEILING(R846*(IF(N847&lt;=IF($B$2=0,0,OFFSET(Sheet2!$B$1,Sheet1!$B$2-1,0)),$B$1/(365*100),$B$3/(365*100)))*100,1)/100</f>
        <v>298.18</v>
      </c>
      <c r="R847" s="9">
        <f t="shared" ca="1" si="56"/>
        <v>730730.21086375462</v>
      </c>
    </row>
    <row r="848" spans="1:18" x14ac:dyDescent="0.25">
      <c r="A848">
        <v>6</v>
      </c>
      <c r="B848">
        <v>0</v>
      </c>
      <c r="C848">
        <v>13</v>
      </c>
      <c r="D848">
        <v>26.9</v>
      </c>
      <c r="E848">
        <v>50</v>
      </c>
      <c r="F848">
        <v>2.6424570081544519E-2</v>
      </c>
      <c r="G848" t="str">
        <f t="shared" si="57"/>
        <v>Insert into BlueCreditTypeRainbow Values (6, 0, 13, 26.9, 50, 0.0264245700815445)</v>
      </c>
      <c r="N848" s="4">
        <v>845</v>
      </c>
      <c r="O848" s="8">
        <f>$B$7*COUNTIF(Sheet2!$B$1:$B$132,N848)</f>
        <v>0</v>
      </c>
      <c r="P848" s="8">
        <f t="shared" ca="1" si="55"/>
        <v>0</v>
      </c>
      <c r="Q848" s="8">
        <f ca="1">CEILING(R847*(IF(N848&lt;=IF($B$2=0,0,OFFSET(Sheet2!$B$1,Sheet1!$B$2-1,0)),$B$1/(365*100),$B$3/(365*100)))*100,1)/100</f>
        <v>298.3</v>
      </c>
      <c r="R848" s="9">
        <f t="shared" ca="1" si="56"/>
        <v>731028.51086375467</v>
      </c>
    </row>
    <row r="849" spans="1:18" x14ac:dyDescent="0.25">
      <c r="A849">
        <v>6</v>
      </c>
      <c r="B849">
        <v>0</v>
      </c>
      <c r="C849">
        <v>13</v>
      </c>
      <c r="D849">
        <v>26.9</v>
      </c>
      <c r="E849">
        <v>51</v>
      </c>
      <c r="F849">
        <v>2.6130585686274535E-2</v>
      </c>
      <c r="G849" t="str">
        <f t="shared" si="57"/>
        <v>Insert into BlueCreditTypeRainbow Values (6, 0, 13, 26.9, 51, 0.0261305856862745)</v>
      </c>
      <c r="N849" s="4">
        <v>846</v>
      </c>
      <c r="O849" s="8">
        <f>$B$7*COUNTIF(Sheet2!$B$1:$B$132,N849)</f>
        <v>0</v>
      </c>
      <c r="P849" s="8">
        <f t="shared" ca="1" si="55"/>
        <v>0</v>
      </c>
      <c r="Q849" s="8">
        <f ca="1">CEILING(R848*(IF(N849&lt;=IF($B$2=0,0,OFFSET(Sheet2!$B$1,Sheet1!$B$2-1,0)),$B$1/(365*100),$B$3/(365*100)))*100,1)/100</f>
        <v>298.42</v>
      </c>
      <c r="R849" s="9">
        <f t="shared" ca="1" si="56"/>
        <v>731326.93086375471</v>
      </c>
    </row>
    <row r="850" spans="1:18" x14ac:dyDescent="0.25">
      <c r="A850">
        <v>6</v>
      </c>
      <c r="B850">
        <v>0</v>
      </c>
      <c r="C850">
        <v>13</v>
      </c>
      <c r="D850">
        <v>26.9</v>
      </c>
      <c r="E850">
        <v>52</v>
      </c>
      <c r="F850">
        <v>2.5849489246629862E-2</v>
      </c>
      <c r="G850" t="str">
        <f t="shared" si="57"/>
        <v>Insert into BlueCreditTypeRainbow Values (6, 0, 13, 26.9, 52, 0.0258494892466299)</v>
      </c>
      <c r="N850" s="4">
        <v>847</v>
      </c>
      <c r="O850" s="8">
        <f>$B$7*COUNTIF(Sheet2!$B$1:$B$132,N850)</f>
        <v>0</v>
      </c>
      <c r="P850" s="8">
        <f t="shared" ca="1" si="55"/>
        <v>0</v>
      </c>
      <c r="Q850" s="8">
        <f ca="1">CEILING(R849*(IF(N850&lt;=IF($B$2=0,0,OFFSET(Sheet2!$B$1,Sheet1!$B$2-1,0)),$B$1/(365*100),$B$3/(365*100)))*100,1)/100</f>
        <v>298.55</v>
      </c>
      <c r="R850" s="9">
        <f t="shared" ca="1" si="56"/>
        <v>731625.48086375475</v>
      </c>
    </row>
    <row r="851" spans="1:18" x14ac:dyDescent="0.25">
      <c r="A851">
        <v>6</v>
      </c>
      <c r="B851">
        <v>0</v>
      </c>
      <c r="C851">
        <v>13</v>
      </c>
      <c r="D851">
        <v>26.9</v>
      </c>
      <c r="E851">
        <v>53</v>
      </c>
      <c r="F851">
        <v>2.5580324546169122E-2</v>
      </c>
      <c r="G851" t="str">
        <f t="shared" si="57"/>
        <v>Insert into BlueCreditTypeRainbow Values (6, 0, 13, 26.9, 53, 0.0255803245461691)</v>
      </c>
      <c r="N851" s="4">
        <v>848</v>
      </c>
      <c r="O851" s="8">
        <f>$B$7*COUNTIF(Sheet2!$B$1:$B$132,N851)</f>
        <v>0</v>
      </c>
      <c r="P851" s="8">
        <f t="shared" ca="1" si="55"/>
        <v>0</v>
      </c>
      <c r="Q851" s="8">
        <f ca="1">CEILING(R850*(IF(N851&lt;=IF($B$2=0,0,OFFSET(Sheet2!$B$1,Sheet1!$B$2-1,0)),$B$1/(365*100),$B$3/(365*100)))*100,1)/100</f>
        <v>298.67</v>
      </c>
      <c r="R851" s="9">
        <f t="shared" ca="1" si="56"/>
        <v>731924.1508637548</v>
      </c>
    </row>
    <row r="852" spans="1:18" x14ac:dyDescent="0.25">
      <c r="A852">
        <v>6</v>
      </c>
      <c r="B852">
        <v>0</v>
      </c>
      <c r="C852">
        <v>13</v>
      </c>
      <c r="D852">
        <v>26.9</v>
      </c>
      <c r="E852">
        <v>54</v>
      </c>
      <c r="F852">
        <v>2.5322416778762818E-2</v>
      </c>
      <c r="G852" t="str">
        <f t="shared" si="57"/>
        <v>Insert into BlueCreditTypeRainbow Values (6, 0, 13, 26.9, 54, 0.0253224167787628)</v>
      </c>
      <c r="N852" s="4">
        <v>849</v>
      </c>
      <c r="O852" s="8">
        <f>$B$7*COUNTIF(Sheet2!$B$1:$B$132,N852)</f>
        <v>0</v>
      </c>
      <c r="P852" s="8">
        <f t="shared" ca="1" si="55"/>
        <v>0</v>
      </c>
      <c r="Q852" s="8">
        <f ca="1">CEILING(R851*(IF(N852&lt;=IF($B$2=0,0,OFFSET(Sheet2!$B$1,Sheet1!$B$2-1,0)),$B$1/(365*100),$B$3/(365*100)))*100,1)/100</f>
        <v>298.79000000000002</v>
      </c>
      <c r="R852" s="9">
        <f t="shared" ca="1" si="56"/>
        <v>732222.94086375483</v>
      </c>
    </row>
    <row r="853" spans="1:18" x14ac:dyDescent="0.25">
      <c r="A853">
        <v>6</v>
      </c>
      <c r="B853">
        <v>0</v>
      </c>
      <c r="C853">
        <v>13</v>
      </c>
      <c r="D853">
        <v>26.9</v>
      </c>
      <c r="E853">
        <v>55</v>
      </c>
      <c r="F853">
        <v>2.5075304196748315E-2</v>
      </c>
      <c r="G853" t="str">
        <f t="shared" si="57"/>
        <v>Insert into BlueCreditTypeRainbow Values (6, 0, 13, 26.9, 55, 0.0250753041967483)</v>
      </c>
      <c r="N853" s="4">
        <v>850</v>
      </c>
      <c r="O853" s="8">
        <f>$B$7*COUNTIF(Sheet2!$B$1:$B$132,N853)</f>
        <v>0</v>
      </c>
      <c r="P853" s="8">
        <f t="shared" ca="1" si="55"/>
        <v>0</v>
      </c>
      <c r="Q853" s="8">
        <f ca="1">CEILING(R852*(IF(N853&lt;=IF($B$2=0,0,OFFSET(Sheet2!$B$1,Sheet1!$B$2-1,0)),$B$1/(365*100),$B$3/(365*100)))*100,1)/100</f>
        <v>298.91000000000003</v>
      </c>
      <c r="R853" s="9">
        <f t="shared" ca="1" si="56"/>
        <v>732521.85086375487</v>
      </c>
    </row>
    <row r="854" spans="1:18" x14ac:dyDescent="0.25">
      <c r="A854">
        <v>6</v>
      </c>
      <c r="B854">
        <v>0</v>
      </c>
      <c r="C854">
        <v>13</v>
      </c>
      <c r="D854">
        <v>26.9</v>
      </c>
      <c r="E854">
        <v>56</v>
      </c>
      <c r="F854">
        <v>2.4838221801653428E-2</v>
      </c>
      <c r="G854" t="str">
        <f t="shared" si="57"/>
        <v>Insert into BlueCreditTypeRainbow Values (6, 0, 13, 26.9, 56, 0.0248382218016534)</v>
      </c>
      <c r="N854" s="4">
        <v>851</v>
      </c>
      <c r="O854" s="8">
        <f>$B$7*COUNTIF(Sheet2!$B$1:$B$132,N854)</f>
        <v>0</v>
      </c>
      <c r="P854" s="8">
        <f t="shared" ca="1" si="55"/>
        <v>0</v>
      </c>
      <c r="Q854" s="8">
        <f ca="1">CEILING(R853*(IF(N854&lt;=IF($B$2=0,0,OFFSET(Sheet2!$B$1,Sheet1!$B$2-1,0)),$B$1/(365*100),$B$3/(365*100)))*100,1)/100</f>
        <v>299.02999999999997</v>
      </c>
      <c r="R854" s="9">
        <f t="shared" ca="1" si="56"/>
        <v>732820.88086375489</v>
      </c>
    </row>
    <row r="855" spans="1:18" x14ac:dyDescent="0.25">
      <c r="A855">
        <v>6</v>
      </c>
      <c r="B855">
        <v>0</v>
      </c>
      <c r="C855">
        <v>13</v>
      </c>
      <c r="D855">
        <v>26.9</v>
      </c>
      <c r="E855">
        <v>57</v>
      </c>
      <c r="F855">
        <v>2.4610778963899564E-2</v>
      </c>
      <c r="G855" t="str">
        <f t="shared" si="57"/>
        <v>Insert into BlueCreditTypeRainbow Values (6, 0, 13, 26.9, 57, 0.0246107789638996)</v>
      </c>
      <c r="N855" s="4">
        <v>852</v>
      </c>
      <c r="O855" s="8">
        <f>$B$7*COUNTIF(Sheet2!$B$1:$B$132,N855)</f>
        <v>0</v>
      </c>
      <c r="P855" s="8">
        <f t="shared" ca="1" si="55"/>
        <v>0</v>
      </c>
      <c r="Q855" s="8">
        <f ca="1">CEILING(R854*(IF(N855&lt;=IF($B$2=0,0,OFFSET(Sheet2!$B$1,Sheet1!$B$2-1,0)),$B$1/(365*100),$B$3/(365*100)))*100,1)/100</f>
        <v>299.16000000000003</v>
      </c>
      <c r="R855" s="9">
        <f t="shared" ca="1" si="56"/>
        <v>733120.04086375493</v>
      </c>
    </row>
    <row r="856" spans="1:18" x14ac:dyDescent="0.25">
      <c r="A856">
        <v>6</v>
      </c>
      <c r="B856">
        <v>0</v>
      </c>
      <c r="C856">
        <v>13</v>
      </c>
      <c r="D856">
        <v>26.9</v>
      </c>
      <c r="E856">
        <v>58</v>
      </c>
      <c r="F856">
        <v>2.4392308105683956E-2</v>
      </c>
      <c r="G856" t="str">
        <f t="shared" si="57"/>
        <v>Insert into BlueCreditTypeRainbow Values (6, 0, 13, 26.9, 58, 0.024392308105684)</v>
      </c>
      <c r="N856" s="4">
        <v>853</v>
      </c>
      <c r="O856" s="8">
        <f>$B$7*COUNTIF(Sheet2!$B$1:$B$132,N856)</f>
        <v>0</v>
      </c>
      <c r="P856" s="8">
        <f t="shared" ca="1" si="55"/>
        <v>0</v>
      </c>
      <c r="Q856" s="8">
        <f ca="1">CEILING(R855*(IF(N856&lt;=IF($B$2=0,0,OFFSET(Sheet2!$B$1,Sheet1!$B$2-1,0)),$B$1/(365*100),$B$3/(365*100)))*100,1)/100</f>
        <v>299.27999999999997</v>
      </c>
      <c r="R856" s="9">
        <f t="shared" ca="1" si="56"/>
        <v>733419.32086375495</v>
      </c>
    </row>
    <row r="857" spans="1:18" x14ac:dyDescent="0.25">
      <c r="A857">
        <v>6</v>
      </c>
      <c r="B857">
        <v>0</v>
      </c>
      <c r="C857">
        <v>13</v>
      </c>
      <c r="D857">
        <v>26.9</v>
      </c>
      <c r="E857">
        <v>59</v>
      </c>
      <c r="F857">
        <v>2.4182479863197014E-2</v>
      </c>
      <c r="G857" t="str">
        <f t="shared" si="57"/>
        <v>Insert into BlueCreditTypeRainbow Values (6, 0, 13, 26.9, 59, 0.024182479863197)</v>
      </c>
      <c r="N857" s="4">
        <v>854</v>
      </c>
      <c r="O857" s="8">
        <f>$B$7*COUNTIF(Sheet2!$B$1:$B$132,N857)</f>
        <v>21157.10552356458</v>
      </c>
      <c r="P857" s="8">
        <f t="shared" ca="1" si="55"/>
        <v>20857.705523564578</v>
      </c>
      <c r="Q857" s="8">
        <f ca="1">CEILING(R856*(IF(N857&lt;=IF($B$2=0,0,OFFSET(Sheet2!$B$1,Sheet1!$B$2-1,0)),$B$1/(365*100),$B$3/(365*100)))*100,1)/100</f>
        <v>299.39999999999998</v>
      </c>
      <c r="R857" s="9">
        <f t="shared" ca="1" si="56"/>
        <v>712561.61534019036</v>
      </c>
    </row>
    <row r="858" spans="1:18" x14ac:dyDescent="0.25">
      <c r="A858">
        <v>6</v>
      </c>
      <c r="B858">
        <v>0</v>
      </c>
      <c r="C858">
        <v>13</v>
      </c>
      <c r="D858">
        <v>26.9</v>
      </c>
      <c r="E858">
        <v>60</v>
      </c>
      <c r="F858">
        <v>2.3980706166666713E-2</v>
      </c>
      <c r="G858" t="str">
        <f t="shared" si="57"/>
        <v>Insert into BlueCreditTypeRainbow Values (6, 0, 13, 26.9, 60, 0.0239807061666667)</v>
      </c>
      <c r="N858" s="4">
        <v>855</v>
      </c>
      <c r="O858" s="8">
        <f>$B$7*COUNTIF(Sheet2!$B$1:$B$132,N858)</f>
        <v>0</v>
      </c>
      <c r="P858" s="8">
        <f t="shared" ca="1" si="55"/>
        <v>0</v>
      </c>
      <c r="Q858" s="8">
        <f ca="1">CEILING(R857*(IF(N858&lt;=IF($B$2=0,0,OFFSET(Sheet2!$B$1,Sheet1!$B$2-1,0)),$B$1/(365*100),$B$3/(365*100)))*100,1)/100</f>
        <v>290.89</v>
      </c>
      <c r="R858" s="9">
        <f t="shared" ca="1" si="56"/>
        <v>712852.50534019037</v>
      </c>
    </row>
    <row r="859" spans="1:18" x14ac:dyDescent="0.25">
      <c r="A859">
        <v>6</v>
      </c>
      <c r="B859">
        <v>0</v>
      </c>
      <c r="C859">
        <v>12</v>
      </c>
      <c r="D859">
        <v>26.9</v>
      </c>
      <c r="E859">
        <v>48</v>
      </c>
      <c r="F859">
        <v>2.7473059604081928E-2</v>
      </c>
      <c r="G859" t="str">
        <f t="shared" si="57"/>
        <v>Insert into BlueCreditTypeRainbow Values (6, 0, 12, 26.9, 48, 0.0274730596040819)</v>
      </c>
      <c r="N859" s="4">
        <v>856</v>
      </c>
      <c r="O859" s="8">
        <f>$B$7*COUNTIF(Sheet2!$B$1:$B$132,N859)</f>
        <v>0</v>
      </c>
      <c r="P859" s="8">
        <f t="shared" ca="1" si="55"/>
        <v>0</v>
      </c>
      <c r="Q859" s="8">
        <f ca="1">CEILING(R858*(IF(N859&lt;=IF($B$2=0,0,OFFSET(Sheet2!$B$1,Sheet1!$B$2-1,0)),$B$1/(365*100),$B$3/(365*100)))*100,1)/100</f>
        <v>291.01</v>
      </c>
      <c r="R859" s="9">
        <f t="shared" ca="1" si="56"/>
        <v>713143.51534019038</v>
      </c>
    </row>
    <row r="860" spans="1:18" x14ac:dyDescent="0.25">
      <c r="A860">
        <v>6</v>
      </c>
      <c r="B860">
        <v>0</v>
      </c>
      <c r="C860">
        <v>12</v>
      </c>
      <c r="D860">
        <v>26.9</v>
      </c>
      <c r="E860">
        <v>49</v>
      </c>
      <c r="F860">
        <v>2.714840880438206E-2</v>
      </c>
      <c r="G860" t="str">
        <f t="shared" si="57"/>
        <v>Insert into BlueCreditTypeRainbow Values (6, 0, 12, 26.9, 49, 0.0271484088043821)</v>
      </c>
      <c r="N860" s="4">
        <v>857</v>
      </c>
      <c r="O860" s="8">
        <f>$B$7*COUNTIF(Sheet2!$B$1:$B$132,N860)</f>
        <v>0</v>
      </c>
      <c r="P860" s="8">
        <f t="shared" ca="1" si="55"/>
        <v>0</v>
      </c>
      <c r="Q860" s="8">
        <f ca="1">CEILING(R859*(IF(N860&lt;=IF($B$2=0,0,OFFSET(Sheet2!$B$1,Sheet1!$B$2-1,0)),$B$1/(365*100),$B$3/(365*100)))*100,1)/100</f>
        <v>291.12</v>
      </c>
      <c r="R860" s="9">
        <f t="shared" ca="1" si="56"/>
        <v>713434.63534019038</v>
      </c>
    </row>
    <row r="861" spans="1:18" x14ac:dyDescent="0.25">
      <c r="A861">
        <v>6</v>
      </c>
      <c r="B861">
        <v>0</v>
      </c>
      <c r="C861">
        <v>12</v>
      </c>
      <c r="D861">
        <v>26.9</v>
      </c>
      <c r="E861">
        <v>50</v>
      </c>
      <c r="F861">
        <v>2.6838410806874075E-2</v>
      </c>
      <c r="G861" t="str">
        <f t="shared" si="57"/>
        <v>Insert into BlueCreditTypeRainbow Values (6, 0, 12, 26.9, 50, 0.0268384108068741)</v>
      </c>
      <c r="N861" s="4">
        <v>858</v>
      </c>
      <c r="O861" s="8">
        <f>$B$7*COUNTIF(Sheet2!$B$1:$B$132,N861)</f>
        <v>0</v>
      </c>
      <c r="P861" s="8">
        <f t="shared" ca="1" si="55"/>
        <v>0</v>
      </c>
      <c r="Q861" s="8">
        <f ca="1">CEILING(R860*(IF(N861&lt;=IF($B$2=0,0,OFFSET(Sheet2!$B$1,Sheet1!$B$2-1,0)),$B$1/(365*100),$B$3/(365*100)))*100,1)/100</f>
        <v>291.24</v>
      </c>
      <c r="R861" s="9">
        <f t="shared" ca="1" si="56"/>
        <v>713725.87534019037</v>
      </c>
    </row>
    <row r="862" spans="1:18" x14ac:dyDescent="0.25">
      <c r="A862">
        <v>6</v>
      </c>
      <c r="B862">
        <v>0</v>
      </c>
      <c r="C862">
        <v>12</v>
      </c>
      <c r="D862">
        <v>26.9</v>
      </c>
      <c r="E862">
        <v>51</v>
      </c>
      <c r="F862">
        <v>2.6541967254901953E-2</v>
      </c>
      <c r="G862" t="str">
        <f t="shared" si="57"/>
        <v>Insert into BlueCreditTypeRainbow Values (6, 0, 12, 26.9, 51, 0.026541967254902)</v>
      </c>
      <c r="N862" s="4">
        <v>859</v>
      </c>
      <c r="O862" s="8">
        <f>$B$7*COUNTIF(Sheet2!$B$1:$B$132,N862)</f>
        <v>0</v>
      </c>
      <c r="P862" s="8">
        <f t="shared" ca="1" si="55"/>
        <v>0</v>
      </c>
      <c r="Q862" s="8">
        <f ca="1">CEILING(R861*(IF(N862&lt;=IF($B$2=0,0,OFFSET(Sheet2!$B$1,Sheet1!$B$2-1,0)),$B$1/(365*100),$B$3/(365*100)))*100,1)/100</f>
        <v>291.36</v>
      </c>
      <c r="R862" s="9">
        <f t="shared" ca="1" si="56"/>
        <v>714017.23534019035</v>
      </c>
    </row>
    <row r="863" spans="1:18" x14ac:dyDescent="0.25">
      <c r="A863">
        <v>6</v>
      </c>
      <c r="B863">
        <v>0</v>
      </c>
      <c r="C863">
        <v>12</v>
      </c>
      <c r="D863">
        <v>26.9</v>
      </c>
      <c r="E863">
        <v>52</v>
      </c>
      <c r="F863">
        <v>2.6258475922655372E-2</v>
      </c>
      <c r="G863" t="str">
        <f t="shared" si="57"/>
        <v>Insert into BlueCreditTypeRainbow Values (6, 0, 12, 26.9, 52, 0.0262584759226554)</v>
      </c>
      <c r="N863" s="4">
        <v>860</v>
      </c>
      <c r="O863" s="8">
        <f>$B$7*COUNTIF(Sheet2!$B$1:$B$132,N863)</f>
        <v>0</v>
      </c>
      <c r="P863" s="8">
        <f t="shared" ca="1" si="55"/>
        <v>0</v>
      </c>
      <c r="Q863" s="8">
        <f ca="1">CEILING(R862*(IF(N863&lt;=IF($B$2=0,0,OFFSET(Sheet2!$B$1,Sheet1!$B$2-1,0)),$B$1/(365*100),$B$3/(365*100)))*100,1)/100</f>
        <v>291.48</v>
      </c>
      <c r="R863" s="9">
        <f t="shared" ca="1" si="56"/>
        <v>714308.71534019033</v>
      </c>
    </row>
    <row r="864" spans="1:18" x14ac:dyDescent="0.25">
      <c r="A864">
        <v>6</v>
      </c>
      <c r="B864">
        <v>0</v>
      </c>
      <c r="C864">
        <v>12</v>
      </c>
      <c r="D864">
        <v>26.9</v>
      </c>
      <c r="E864">
        <v>53</v>
      </c>
      <c r="F864">
        <v>2.5986982135481174E-2</v>
      </c>
      <c r="G864" t="str">
        <f t="shared" si="57"/>
        <v>Insert into BlueCreditTypeRainbow Values (6, 0, 12, 26.9, 53, 0.0259869821354812)</v>
      </c>
      <c r="N864" s="4">
        <v>861</v>
      </c>
      <c r="O864" s="8">
        <f>$B$7*COUNTIF(Sheet2!$B$1:$B$132,N864)</f>
        <v>0</v>
      </c>
      <c r="P864" s="8">
        <f t="shared" ca="1" si="55"/>
        <v>0</v>
      </c>
      <c r="Q864" s="8">
        <f ca="1">CEILING(R863*(IF(N864&lt;=IF($B$2=0,0,OFFSET(Sheet2!$B$1,Sheet1!$B$2-1,0)),$B$1/(365*100),$B$3/(365*100)))*100,1)/100</f>
        <v>291.60000000000002</v>
      </c>
      <c r="R864" s="9">
        <f t="shared" ca="1" si="56"/>
        <v>714600.31534019031</v>
      </c>
    </row>
    <row r="865" spans="1:18" x14ac:dyDescent="0.25">
      <c r="A865">
        <v>6</v>
      </c>
      <c r="B865">
        <v>0</v>
      </c>
      <c r="C865">
        <v>12</v>
      </c>
      <c r="D865">
        <v>26.9</v>
      </c>
      <c r="E865">
        <v>54</v>
      </c>
      <c r="F865">
        <v>2.5726798419411508E-2</v>
      </c>
      <c r="G865" t="str">
        <f t="shared" si="57"/>
        <v>Insert into BlueCreditTypeRainbow Values (6, 0, 12, 26.9, 54, 0.0257267984194115)</v>
      </c>
      <c r="N865" s="4">
        <v>862</v>
      </c>
      <c r="O865" s="8">
        <f>$B$7*COUNTIF(Sheet2!$B$1:$B$132,N865)</f>
        <v>0</v>
      </c>
      <c r="P865" s="8">
        <f t="shared" ca="1" si="55"/>
        <v>0</v>
      </c>
      <c r="Q865" s="8">
        <f ca="1">CEILING(R864*(IF(N865&lt;=IF($B$2=0,0,OFFSET(Sheet2!$B$1,Sheet1!$B$2-1,0)),$B$1/(365*100),$B$3/(365*100)))*100,1)/100</f>
        <v>291.72000000000003</v>
      </c>
      <c r="R865" s="9">
        <f t="shared" ca="1" si="56"/>
        <v>714892.03534019028</v>
      </c>
    </row>
    <row r="866" spans="1:18" x14ac:dyDescent="0.25">
      <c r="A866">
        <v>6</v>
      </c>
      <c r="B866">
        <v>0</v>
      </c>
      <c r="C866">
        <v>12</v>
      </c>
      <c r="D866">
        <v>26.9</v>
      </c>
      <c r="E866">
        <v>55</v>
      </c>
      <c r="F866">
        <v>2.547747508480476E-2</v>
      </c>
      <c r="G866" t="str">
        <f t="shared" si="57"/>
        <v>Insert into BlueCreditTypeRainbow Values (6, 0, 12, 26.9, 55, 0.0254774750848048)</v>
      </c>
      <c r="N866" s="4">
        <v>863</v>
      </c>
      <c r="O866" s="8">
        <f>$B$7*COUNTIF(Sheet2!$B$1:$B$132,N866)</f>
        <v>0</v>
      </c>
      <c r="P866" s="8">
        <f t="shared" ca="1" si="55"/>
        <v>0</v>
      </c>
      <c r="Q866" s="8">
        <f ca="1">CEILING(R865*(IF(N866&lt;=IF($B$2=0,0,OFFSET(Sheet2!$B$1,Sheet1!$B$2-1,0)),$B$1/(365*100),$B$3/(365*100)))*100,1)/100</f>
        <v>291.83999999999997</v>
      </c>
      <c r="R866" s="9">
        <f t="shared" ca="1" si="56"/>
        <v>715183.87534019025</v>
      </c>
    </row>
    <row r="867" spans="1:18" x14ac:dyDescent="0.25">
      <c r="A867">
        <v>6</v>
      </c>
      <c r="B867">
        <v>0</v>
      </c>
      <c r="C867">
        <v>12</v>
      </c>
      <c r="D867">
        <v>26.9</v>
      </c>
      <c r="E867">
        <v>56</v>
      </c>
      <c r="F867">
        <v>2.5238233230678603E-2</v>
      </c>
      <c r="G867" t="str">
        <f t="shared" si="57"/>
        <v>Insert into BlueCreditTypeRainbow Values (6, 0, 12, 26.9, 56, 0.0252382332306786)</v>
      </c>
      <c r="N867" s="4">
        <v>864</v>
      </c>
      <c r="O867" s="8">
        <f>$B$7*COUNTIF(Sheet2!$B$1:$B$132,N867)</f>
        <v>0</v>
      </c>
      <c r="P867" s="8">
        <f t="shared" ca="1" si="55"/>
        <v>0</v>
      </c>
      <c r="Q867" s="8">
        <f ca="1">CEILING(R866*(IF(N867&lt;=IF($B$2=0,0,OFFSET(Sheet2!$B$1,Sheet1!$B$2-1,0)),$B$1/(365*100),$B$3/(365*100)))*100,1)/100</f>
        <v>291.95999999999998</v>
      </c>
      <c r="R867" s="9">
        <f t="shared" ca="1" si="56"/>
        <v>715475.83534019021</v>
      </c>
    </row>
    <row r="868" spans="1:18" x14ac:dyDescent="0.25">
      <c r="A868">
        <v>6</v>
      </c>
      <c r="B868">
        <v>0</v>
      </c>
      <c r="C868">
        <v>12</v>
      </c>
      <c r="D868">
        <v>26.9</v>
      </c>
      <c r="E868">
        <v>57</v>
      </c>
      <c r="F868">
        <v>2.5008695275349106E-2</v>
      </c>
      <c r="G868" t="str">
        <f t="shared" si="57"/>
        <v>Insert into BlueCreditTypeRainbow Values (6, 0, 12, 26.9, 57, 0.0250086952753491)</v>
      </c>
      <c r="N868" s="4">
        <v>865</v>
      </c>
      <c r="O868" s="8">
        <f>$B$7*COUNTIF(Sheet2!$B$1:$B$132,N868)</f>
        <v>0</v>
      </c>
      <c r="P868" s="8">
        <f t="shared" ca="1" si="55"/>
        <v>0</v>
      </c>
      <c r="Q868" s="8">
        <f ca="1">CEILING(R867*(IF(N868&lt;=IF($B$2=0,0,OFFSET(Sheet2!$B$1,Sheet1!$B$2-1,0)),$B$1/(365*100),$B$3/(365*100)))*100,1)/100</f>
        <v>292.08</v>
      </c>
      <c r="R868" s="9">
        <f t="shared" ca="1" si="56"/>
        <v>715767.91534019017</v>
      </c>
    </row>
    <row r="869" spans="1:18" x14ac:dyDescent="0.25">
      <c r="A869">
        <v>6</v>
      </c>
      <c r="B869">
        <v>0</v>
      </c>
      <c r="C869">
        <v>12</v>
      </c>
      <c r="D869">
        <v>26.9</v>
      </c>
      <c r="E869">
        <v>58</v>
      </c>
      <c r="F869">
        <v>2.4788181734336796E-2</v>
      </c>
      <c r="G869" t="str">
        <f t="shared" si="57"/>
        <v>Insert into BlueCreditTypeRainbow Values (6, 0, 12, 26.9, 58, 0.0247881817343368)</v>
      </c>
      <c r="N869" s="4">
        <v>866</v>
      </c>
      <c r="O869" s="8">
        <f>$B$7*COUNTIF(Sheet2!$B$1:$B$132,N869)</f>
        <v>0</v>
      </c>
      <c r="P869" s="8">
        <f t="shared" ca="1" si="55"/>
        <v>0</v>
      </c>
      <c r="Q869" s="8">
        <f ca="1">CEILING(R868*(IF(N869&lt;=IF($B$2=0,0,OFFSET(Sheet2!$B$1,Sheet1!$B$2-1,0)),$B$1/(365*100),$B$3/(365*100)))*100,1)/100</f>
        <v>292.2</v>
      </c>
      <c r="R869" s="9">
        <f t="shared" ca="1" si="56"/>
        <v>716060.11534019012</v>
      </c>
    </row>
    <row r="870" spans="1:18" x14ac:dyDescent="0.25">
      <c r="A870">
        <v>6</v>
      </c>
      <c r="B870">
        <v>0</v>
      </c>
      <c r="C870">
        <v>12</v>
      </c>
      <c r="D870">
        <v>26.9</v>
      </c>
      <c r="E870">
        <v>59</v>
      </c>
      <c r="F870">
        <v>2.457637014973146E-2</v>
      </c>
      <c r="G870" t="str">
        <f t="shared" si="57"/>
        <v>Insert into BlueCreditTypeRainbow Values (6, 0, 12, 26.9, 59, 0.0245763701497315)</v>
      </c>
      <c r="N870" s="4">
        <v>867</v>
      </c>
      <c r="O870" s="8">
        <f>$B$7*COUNTIF(Sheet2!$B$1:$B$132,N870)</f>
        <v>0</v>
      </c>
      <c r="P870" s="8">
        <f t="shared" ca="1" si="55"/>
        <v>0</v>
      </c>
      <c r="Q870" s="8">
        <f ca="1">CEILING(R869*(IF(N870&lt;=IF($B$2=0,0,OFFSET(Sheet2!$B$1,Sheet1!$B$2-1,0)),$B$1/(365*100),$B$3/(365*100)))*100,1)/100</f>
        <v>292.31</v>
      </c>
      <c r="R870" s="9">
        <f t="shared" ca="1" si="56"/>
        <v>716352.42534019018</v>
      </c>
    </row>
    <row r="871" spans="1:18" x14ac:dyDescent="0.25">
      <c r="A871">
        <v>6</v>
      </c>
      <c r="B871">
        <v>0</v>
      </c>
      <c r="C871">
        <v>12</v>
      </c>
      <c r="D871">
        <v>26.9</v>
      </c>
      <c r="E871">
        <v>60</v>
      </c>
      <c r="F871">
        <v>2.4372661948113557E-2</v>
      </c>
      <c r="G871" t="str">
        <f t="shared" si="57"/>
        <v>Insert into BlueCreditTypeRainbow Values (6, 0, 12, 26.9, 60, 0.0243726619481136)</v>
      </c>
      <c r="N871" s="4">
        <v>868</v>
      </c>
      <c r="O871" s="8">
        <f>$B$7*COUNTIF(Sheet2!$B$1:$B$132,N871)</f>
        <v>0</v>
      </c>
      <c r="P871" s="8">
        <f t="shared" ca="1" si="55"/>
        <v>0</v>
      </c>
      <c r="Q871" s="8">
        <f ca="1">CEILING(R870*(IF(N871&lt;=IF($B$2=0,0,OFFSET(Sheet2!$B$1,Sheet1!$B$2-1,0)),$B$1/(365*100),$B$3/(365*100)))*100,1)/100</f>
        <v>292.43</v>
      </c>
      <c r="R871" s="9">
        <f t="shared" ca="1" si="56"/>
        <v>716644.85534019023</v>
      </c>
    </row>
    <row r="872" spans="1:18" x14ac:dyDescent="0.25">
      <c r="A872">
        <v>6</v>
      </c>
      <c r="B872">
        <v>0</v>
      </c>
      <c r="C872">
        <v>11</v>
      </c>
      <c r="D872">
        <v>26.9</v>
      </c>
      <c r="E872">
        <v>48</v>
      </c>
      <c r="F872">
        <v>2.7898607502985499E-2</v>
      </c>
      <c r="G872" t="str">
        <f t="shared" si="57"/>
        <v>Insert into BlueCreditTypeRainbow Values (6, 0, 11, 26.9, 48, 0.0278986075029855)</v>
      </c>
      <c r="N872" s="4">
        <v>869</v>
      </c>
      <c r="O872" s="8">
        <f>$B$7*COUNTIF(Sheet2!$B$1:$B$132,N872)</f>
        <v>0</v>
      </c>
      <c r="P872" s="8">
        <f t="shared" ca="1" si="55"/>
        <v>0</v>
      </c>
      <c r="Q872" s="8">
        <f ca="1">CEILING(R871*(IF(N872&lt;=IF($B$2=0,0,OFFSET(Sheet2!$B$1,Sheet1!$B$2-1,0)),$B$1/(365*100),$B$3/(365*100)))*100,1)/100</f>
        <v>292.55</v>
      </c>
      <c r="R872" s="9">
        <f t="shared" ca="1" si="56"/>
        <v>716937.40534019028</v>
      </c>
    </row>
    <row r="873" spans="1:18" x14ac:dyDescent="0.25">
      <c r="A873">
        <v>6</v>
      </c>
      <c r="B873">
        <v>0</v>
      </c>
      <c r="C873">
        <v>11</v>
      </c>
      <c r="D873">
        <v>26.9</v>
      </c>
      <c r="E873">
        <v>49</v>
      </c>
      <c r="F873">
        <v>2.7571107273028941E-2</v>
      </c>
      <c r="G873" t="str">
        <f t="shared" si="57"/>
        <v>Insert into BlueCreditTypeRainbow Values (6, 0, 11, 26.9, 49, 0.0275711072730289)</v>
      </c>
      <c r="N873" s="4">
        <v>870</v>
      </c>
      <c r="O873" s="8">
        <f>$B$7*COUNTIF(Sheet2!$B$1:$B$132,N873)</f>
        <v>0</v>
      </c>
      <c r="P873" s="8">
        <f t="shared" ca="1" si="55"/>
        <v>0</v>
      </c>
      <c r="Q873" s="8">
        <f ca="1">CEILING(R872*(IF(N873&lt;=IF($B$2=0,0,OFFSET(Sheet2!$B$1,Sheet1!$B$2-1,0)),$B$1/(365*100),$B$3/(365*100)))*100,1)/100</f>
        <v>292.67</v>
      </c>
      <c r="R873" s="9">
        <f t="shared" ca="1" si="56"/>
        <v>717230.07534019032</v>
      </c>
    </row>
    <row r="874" spans="1:18" x14ac:dyDescent="0.25">
      <c r="A874">
        <v>6</v>
      </c>
      <c r="B874">
        <v>0</v>
      </c>
      <c r="C874">
        <v>11</v>
      </c>
      <c r="D874">
        <v>26.9</v>
      </c>
      <c r="E874">
        <v>50</v>
      </c>
      <c r="F874">
        <v>2.7258348536589132E-2</v>
      </c>
      <c r="G874" t="str">
        <f t="shared" si="57"/>
        <v>Insert into BlueCreditTypeRainbow Values (6, 0, 11, 26.9, 50, 0.0272583485365891)</v>
      </c>
      <c r="N874" s="4">
        <v>871</v>
      </c>
      <c r="O874" s="8">
        <f>$B$7*COUNTIF(Sheet2!$B$1:$B$132,N874)</f>
        <v>0</v>
      </c>
      <c r="P874" s="8">
        <f t="shared" ca="1" si="55"/>
        <v>0</v>
      </c>
      <c r="Q874" s="8">
        <f ca="1">CEILING(R873*(IF(N874&lt;=IF($B$2=0,0,OFFSET(Sheet2!$B$1,Sheet1!$B$2-1,0)),$B$1/(365*100),$B$3/(365*100)))*100,1)/100</f>
        <v>292.79000000000002</v>
      </c>
      <c r="R874" s="9">
        <f t="shared" ca="1" si="56"/>
        <v>717522.86534019036</v>
      </c>
    </row>
    <row r="875" spans="1:18" x14ac:dyDescent="0.25">
      <c r="A875">
        <v>6</v>
      </c>
      <c r="B875">
        <v>0</v>
      </c>
      <c r="C875">
        <v>11</v>
      </c>
      <c r="D875">
        <v>26.9</v>
      </c>
      <c r="E875">
        <v>51</v>
      </c>
      <c r="F875">
        <v>2.695921773021779E-2</v>
      </c>
      <c r="G875" t="str">
        <f t="shared" si="57"/>
        <v>Insert into BlueCreditTypeRainbow Values (6, 0, 11, 26.9, 51, 0.0269592177302178)</v>
      </c>
      <c r="N875" s="4">
        <v>872</v>
      </c>
      <c r="O875" s="8">
        <f>$B$7*COUNTIF(Sheet2!$B$1:$B$132,N875)</f>
        <v>0</v>
      </c>
      <c r="P875" s="8">
        <f t="shared" ca="1" si="55"/>
        <v>0</v>
      </c>
      <c r="Q875" s="8">
        <f ca="1">CEILING(R874*(IF(N875&lt;=IF($B$2=0,0,OFFSET(Sheet2!$B$1,Sheet1!$B$2-1,0)),$B$1/(365*100),$B$3/(365*100)))*100,1)/100</f>
        <v>292.91000000000003</v>
      </c>
      <c r="R875" s="9">
        <f t="shared" ca="1" si="56"/>
        <v>717815.77534019039</v>
      </c>
    </row>
    <row r="876" spans="1:18" x14ac:dyDescent="0.25">
      <c r="A876">
        <v>6</v>
      </c>
      <c r="B876">
        <v>0</v>
      </c>
      <c r="C876">
        <v>11</v>
      </c>
      <c r="D876">
        <v>26.9</v>
      </c>
      <c r="E876">
        <v>52</v>
      </c>
      <c r="F876">
        <v>2.6673118653846171E-2</v>
      </c>
      <c r="G876" t="str">
        <f t="shared" si="57"/>
        <v>Insert into BlueCreditTypeRainbow Values (6, 0, 11, 26.9, 52, 0.0266731186538462)</v>
      </c>
      <c r="N876" s="4">
        <v>873</v>
      </c>
      <c r="O876" s="8">
        <f>$B$7*COUNTIF(Sheet2!$B$1:$B$132,N876)</f>
        <v>0</v>
      </c>
      <c r="P876" s="8">
        <f t="shared" ca="1" si="55"/>
        <v>0</v>
      </c>
      <c r="Q876" s="8">
        <f ca="1">CEILING(R875*(IF(N876&lt;=IF($B$2=0,0,OFFSET(Sheet2!$B$1,Sheet1!$B$2-1,0)),$B$1/(365*100),$B$3/(365*100)))*100,1)/100</f>
        <v>293.02999999999997</v>
      </c>
      <c r="R876" s="9">
        <f t="shared" ca="1" si="56"/>
        <v>718108.80534019042</v>
      </c>
    </row>
    <row r="877" spans="1:18" x14ac:dyDescent="0.25">
      <c r="A877">
        <v>6</v>
      </c>
      <c r="B877">
        <v>0</v>
      </c>
      <c r="C877">
        <v>11</v>
      </c>
      <c r="D877">
        <v>26.9</v>
      </c>
      <c r="E877">
        <v>53</v>
      </c>
      <c r="F877">
        <v>2.6399085094339639E-2</v>
      </c>
      <c r="G877" t="str">
        <f t="shared" si="57"/>
        <v>Insert into BlueCreditTypeRainbow Values (6, 0, 11, 26.9, 53, 0.0263990850943396)</v>
      </c>
      <c r="N877" s="4">
        <v>874</v>
      </c>
      <c r="O877" s="8">
        <f>$B$7*COUNTIF(Sheet2!$B$1:$B$132,N877)</f>
        <v>0</v>
      </c>
      <c r="P877" s="8">
        <f t="shared" ca="1" si="55"/>
        <v>0</v>
      </c>
      <c r="Q877" s="8">
        <f ca="1">CEILING(R876*(IF(N877&lt;=IF($B$2=0,0,OFFSET(Sheet2!$B$1,Sheet1!$B$2-1,0)),$B$1/(365*100),$B$3/(365*100)))*100,1)/100</f>
        <v>293.14999999999998</v>
      </c>
      <c r="R877" s="9">
        <f t="shared" ca="1" si="56"/>
        <v>718401.95534019044</v>
      </c>
    </row>
    <row r="878" spans="1:18" x14ac:dyDescent="0.25">
      <c r="A878">
        <v>6</v>
      </c>
      <c r="B878">
        <v>0</v>
      </c>
      <c r="C878">
        <v>11</v>
      </c>
      <c r="D878">
        <v>26.9</v>
      </c>
      <c r="E878">
        <v>54</v>
      </c>
      <c r="F878">
        <v>2.6136437881040916E-2</v>
      </c>
      <c r="G878" t="str">
        <f t="shared" si="57"/>
        <v>Insert into BlueCreditTypeRainbow Values (6, 0, 11, 26.9, 54, 0.0261364378810409)</v>
      </c>
      <c r="N878" s="4">
        <v>875</v>
      </c>
      <c r="O878" s="8">
        <f>$B$7*COUNTIF(Sheet2!$B$1:$B$132,N878)</f>
        <v>0</v>
      </c>
      <c r="P878" s="8">
        <f t="shared" ca="1" si="55"/>
        <v>0</v>
      </c>
      <c r="Q878" s="8">
        <f ca="1">CEILING(R877*(IF(N878&lt;=IF($B$2=0,0,OFFSET(Sheet2!$B$1,Sheet1!$B$2-1,0)),$B$1/(365*100),$B$3/(365*100)))*100,1)/100</f>
        <v>293.27</v>
      </c>
      <c r="R878" s="9">
        <f t="shared" ca="1" si="56"/>
        <v>718695.22534019046</v>
      </c>
    </row>
    <row r="879" spans="1:18" x14ac:dyDescent="0.25">
      <c r="A879">
        <v>6</v>
      </c>
      <c r="B879">
        <v>0</v>
      </c>
      <c r="C879">
        <v>11</v>
      </c>
      <c r="D879">
        <v>26.9</v>
      </c>
      <c r="E879">
        <v>55</v>
      </c>
      <c r="F879">
        <v>2.5884721821769274E-2</v>
      </c>
      <c r="G879" t="str">
        <f t="shared" si="57"/>
        <v>Insert into BlueCreditTypeRainbow Values (6, 0, 11, 26.9, 55, 0.0258847218217693)</v>
      </c>
      <c r="N879" s="4">
        <v>876</v>
      </c>
      <c r="O879" s="8">
        <f>$B$7*COUNTIF(Sheet2!$B$1:$B$132,N879)</f>
        <v>0</v>
      </c>
      <c r="P879" s="8">
        <f t="shared" ca="1" si="55"/>
        <v>0</v>
      </c>
      <c r="Q879" s="8">
        <f ca="1">CEILING(R878*(IF(N879&lt;=IF($B$2=0,0,OFFSET(Sheet2!$B$1,Sheet1!$B$2-1,0)),$B$1/(365*100),$B$3/(365*100)))*100,1)/100</f>
        <v>293.39</v>
      </c>
      <c r="R879" s="9">
        <f t="shared" ca="1" si="56"/>
        <v>718988.61534019047</v>
      </c>
    </row>
    <row r="880" spans="1:18" x14ac:dyDescent="0.25">
      <c r="A880">
        <v>6</v>
      </c>
      <c r="B880">
        <v>0</v>
      </c>
      <c r="C880">
        <v>11</v>
      </c>
      <c r="D880">
        <v>26.9</v>
      </c>
      <c r="E880">
        <v>56</v>
      </c>
      <c r="F880">
        <v>2.5643150680583291E-2</v>
      </c>
      <c r="G880" t="str">
        <f t="shared" si="57"/>
        <v>Insert into BlueCreditTypeRainbow Values (6, 0, 11, 26.9, 56, 0.0256431506805833)</v>
      </c>
      <c r="N880" s="4">
        <v>877</v>
      </c>
      <c r="O880" s="8">
        <f>$B$7*COUNTIF(Sheet2!$B$1:$B$132,N880)</f>
        <v>0</v>
      </c>
      <c r="P880" s="8">
        <f t="shared" ca="1" si="55"/>
        <v>0</v>
      </c>
      <c r="Q880" s="8">
        <f ca="1">CEILING(R879*(IF(N880&lt;=IF($B$2=0,0,OFFSET(Sheet2!$B$1,Sheet1!$B$2-1,0)),$B$1/(365*100),$B$3/(365*100)))*100,1)/100</f>
        <v>293.51</v>
      </c>
      <c r="R880" s="9">
        <f t="shared" ca="1" si="56"/>
        <v>719282.12534019048</v>
      </c>
    </row>
    <row r="881" spans="1:18" x14ac:dyDescent="0.25">
      <c r="A881">
        <v>6</v>
      </c>
      <c r="B881">
        <v>0</v>
      </c>
      <c r="C881">
        <v>11</v>
      </c>
      <c r="D881">
        <v>26.9</v>
      </c>
      <c r="E881">
        <v>57</v>
      </c>
      <c r="F881">
        <v>2.5411358405440974E-2</v>
      </c>
      <c r="G881" t="str">
        <f t="shared" si="57"/>
        <v>Insert into BlueCreditTypeRainbow Values (6, 0, 11, 26.9, 57, 0.025411358405441)</v>
      </c>
      <c r="N881" s="4">
        <v>878</v>
      </c>
      <c r="O881" s="8">
        <f>$B$7*COUNTIF(Sheet2!$B$1:$B$132,N881)</f>
        <v>0</v>
      </c>
      <c r="P881" s="8">
        <f t="shared" ca="1" si="55"/>
        <v>0</v>
      </c>
      <c r="Q881" s="8">
        <f ca="1">CEILING(R880*(IF(N881&lt;=IF($B$2=0,0,OFFSET(Sheet2!$B$1,Sheet1!$B$2-1,0)),$B$1/(365*100),$B$3/(365*100)))*100,1)/100</f>
        <v>293.63</v>
      </c>
      <c r="R881" s="9">
        <f t="shared" ca="1" si="56"/>
        <v>719575.75534019049</v>
      </c>
    </row>
    <row r="882" spans="1:18" x14ac:dyDescent="0.25">
      <c r="A882">
        <v>6</v>
      </c>
      <c r="B882">
        <v>0</v>
      </c>
      <c r="C882">
        <v>11</v>
      </c>
      <c r="D882">
        <v>26.9</v>
      </c>
      <c r="E882">
        <v>58</v>
      </c>
      <c r="F882">
        <v>2.5188648275862063E-2</v>
      </c>
      <c r="G882" t="str">
        <f t="shared" si="57"/>
        <v>Insert into BlueCreditTypeRainbow Values (6, 0, 11, 26.9, 58, 0.0251886482758621)</v>
      </c>
      <c r="N882" s="4">
        <v>879</v>
      </c>
      <c r="O882" s="8">
        <f>$B$7*COUNTIF(Sheet2!$B$1:$B$132,N882)</f>
        <v>0</v>
      </c>
      <c r="P882" s="8">
        <f t="shared" ca="1" si="55"/>
        <v>0</v>
      </c>
      <c r="Q882" s="8">
        <f ca="1">CEILING(R881*(IF(N882&lt;=IF($B$2=0,0,OFFSET(Sheet2!$B$1,Sheet1!$B$2-1,0)),$B$1/(365*100),$B$3/(365*100)))*100,1)/100</f>
        <v>293.75</v>
      </c>
      <c r="R882" s="9">
        <f t="shared" ca="1" si="56"/>
        <v>719869.50534019049</v>
      </c>
    </row>
    <row r="883" spans="1:18" x14ac:dyDescent="0.25">
      <c r="A883">
        <v>6</v>
      </c>
      <c r="B883">
        <v>0</v>
      </c>
      <c r="C883">
        <v>11</v>
      </c>
      <c r="D883">
        <v>26.9</v>
      </c>
      <c r="E883">
        <v>59</v>
      </c>
      <c r="F883">
        <v>2.4974707966101743E-2</v>
      </c>
      <c r="G883" t="str">
        <f t="shared" si="57"/>
        <v>Insert into BlueCreditTypeRainbow Values (6, 0, 11, 26.9, 59, 0.0249747079661017)</v>
      </c>
      <c r="N883" s="4">
        <v>880</v>
      </c>
      <c r="O883" s="8">
        <f>$B$7*COUNTIF(Sheet2!$B$1:$B$132,N883)</f>
        <v>0</v>
      </c>
      <c r="P883" s="8">
        <f t="shared" ca="1" si="55"/>
        <v>0</v>
      </c>
      <c r="Q883" s="8">
        <f ca="1">CEILING(R882*(IF(N883&lt;=IF($B$2=0,0,OFFSET(Sheet2!$B$1,Sheet1!$B$2-1,0)),$B$1/(365*100),$B$3/(365*100)))*100,1)/100</f>
        <v>293.87</v>
      </c>
      <c r="R883" s="9">
        <f t="shared" ca="1" si="56"/>
        <v>720163.37534019048</v>
      </c>
    </row>
    <row r="884" spans="1:18" x14ac:dyDescent="0.25">
      <c r="A884">
        <v>6</v>
      </c>
      <c r="B884">
        <v>0</v>
      </c>
      <c r="C884">
        <v>11</v>
      </c>
      <c r="D884">
        <v>26.9</v>
      </c>
      <c r="E884">
        <v>60</v>
      </c>
      <c r="F884">
        <v>2.4768933146005759E-2</v>
      </c>
      <c r="G884" t="str">
        <f t="shared" si="57"/>
        <v>Insert into BlueCreditTypeRainbow Values (6, 0, 11, 26.9, 60, 0.0247689331460058)</v>
      </c>
      <c r="N884" s="4">
        <v>881</v>
      </c>
      <c r="O884" s="8">
        <f>$B$7*COUNTIF(Sheet2!$B$1:$B$132,N884)</f>
        <v>0</v>
      </c>
      <c r="P884" s="8">
        <f t="shared" ca="1" si="55"/>
        <v>0</v>
      </c>
      <c r="Q884" s="8">
        <f ca="1">CEILING(R883*(IF(N884&lt;=IF($B$2=0,0,OFFSET(Sheet2!$B$1,Sheet1!$B$2-1,0)),$B$1/(365*100),$B$3/(365*100)))*100,1)/100</f>
        <v>293.99</v>
      </c>
      <c r="R884" s="9">
        <f t="shared" ca="1" si="56"/>
        <v>720457.36534019047</v>
      </c>
    </row>
    <row r="885" spans="1:18" x14ac:dyDescent="0.25">
      <c r="A885">
        <v>6</v>
      </c>
      <c r="B885">
        <v>0</v>
      </c>
      <c r="C885">
        <v>10</v>
      </c>
      <c r="D885">
        <v>26.9</v>
      </c>
      <c r="E885">
        <v>48</v>
      </c>
      <c r="F885">
        <v>2.836031603345723E-2</v>
      </c>
      <c r="G885" t="str">
        <f t="shared" si="57"/>
        <v>Insert into BlueCreditTypeRainbow Values (6, 0, 10, 26.9, 48, 0.0283603160334572)</v>
      </c>
      <c r="N885" s="4">
        <v>882</v>
      </c>
      <c r="O885" s="8">
        <f>$B$7*COUNTIF(Sheet2!$B$1:$B$132,N885)</f>
        <v>0</v>
      </c>
      <c r="P885" s="8">
        <f t="shared" ca="1" si="55"/>
        <v>0</v>
      </c>
      <c r="Q885" s="8">
        <f ca="1">CEILING(R884*(IF(N885&lt;=IF($B$2=0,0,OFFSET(Sheet2!$B$1,Sheet1!$B$2-1,0)),$B$1/(365*100),$B$3/(365*100)))*100,1)/100</f>
        <v>294.11</v>
      </c>
      <c r="R885" s="9">
        <f t="shared" ca="1" si="56"/>
        <v>720751.47534019046</v>
      </c>
    </row>
    <row r="886" spans="1:18" x14ac:dyDescent="0.25">
      <c r="A886">
        <v>6</v>
      </c>
      <c r="B886">
        <v>0</v>
      </c>
      <c r="C886">
        <v>10</v>
      </c>
      <c r="D886">
        <v>26.9</v>
      </c>
      <c r="E886">
        <v>49</v>
      </c>
      <c r="F886">
        <v>2.8029502408095784E-2</v>
      </c>
      <c r="G886" t="str">
        <f t="shared" si="57"/>
        <v>Insert into BlueCreditTypeRainbow Values (6, 0, 10, 26.9, 49, 0.0280295024080958)</v>
      </c>
      <c r="N886" s="4">
        <v>883</v>
      </c>
      <c r="O886" s="8">
        <f>$B$7*COUNTIF(Sheet2!$B$1:$B$132,N886)</f>
        <v>0</v>
      </c>
      <c r="P886" s="8">
        <f t="shared" ca="1" si="55"/>
        <v>0</v>
      </c>
      <c r="Q886" s="8">
        <f ca="1">CEILING(R885*(IF(N886&lt;=IF($B$2=0,0,OFFSET(Sheet2!$B$1,Sheet1!$B$2-1,0)),$B$1/(365*100),$B$3/(365*100)))*100,1)/100</f>
        <v>294.23</v>
      </c>
      <c r="R886" s="9">
        <f t="shared" ca="1" si="56"/>
        <v>721045.70534019044</v>
      </c>
    </row>
    <row r="887" spans="1:18" x14ac:dyDescent="0.25">
      <c r="A887">
        <v>6</v>
      </c>
      <c r="B887">
        <v>0</v>
      </c>
      <c r="C887">
        <v>10</v>
      </c>
      <c r="D887">
        <v>26.9</v>
      </c>
      <c r="E887">
        <v>50</v>
      </c>
      <c r="F887">
        <v>2.7713533901226439E-2</v>
      </c>
      <c r="G887" t="str">
        <f t="shared" si="57"/>
        <v>Insert into BlueCreditTypeRainbow Values (6, 0, 10, 26.9, 50, 0.0277135339012264)</v>
      </c>
      <c r="N887" s="4">
        <v>884</v>
      </c>
      <c r="O887" s="8">
        <f>$B$7*COUNTIF(Sheet2!$B$1:$B$132,N887)</f>
        <v>21157.10552356458</v>
      </c>
      <c r="P887" s="8">
        <f t="shared" ca="1" si="55"/>
        <v>20862.755523564581</v>
      </c>
      <c r="Q887" s="8">
        <f ca="1">CEILING(R886*(IF(N887&lt;=IF($B$2=0,0,OFFSET(Sheet2!$B$1,Sheet1!$B$2-1,0)),$B$1/(365*100),$B$3/(365*100)))*100,1)/100</f>
        <v>294.35000000000002</v>
      </c>
      <c r="R887" s="9">
        <f t="shared" ca="1" si="56"/>
        <v>700182.9498166258</v>
      </c>
    </row>
    <row r="888" spans="1:18" x14ac:dyDescent="0.25">
      <c r="A888">
        <v>6</v>
      </c>
      <c r="B888">
        <v>0</v>
      </c>
      <c r="C888">
        <v>10</v>
      </c>
      <c r="D888">
        <v>26.9</v>
      </c>
      <c r="E888">
        <v>51</v>
      </c>
      <c r="F888">
        <v>2.7411290784313796E-2</v>
      </c>
      <c r="G888" t="str">
        <f t="shared" si="57"/>
        <v>Insert into BlueCreditTypeRainbow Values (6, 0, 10, 26.9, 51, 0.0274112907843138)</v>
      </c>
      <c r="N888" s="4">
        <v>885</v>
      </c>
      <c r="O888" s="8">
        <f>$B$7*COUNTIF(Sheet2!$B$1:$B$132,N888)</f>
        <v>0</v>
      </c>
      <c r="P888" s="8">
        <f t="shared" ca="1" si="55"/>
        <v>0</v>
      </c>
      <c r="Q888" s="8">
        <f ca="1">CEILING(R887*(IF(N888&lt;=IF($B$2=0,0,OFFSET(Sheet2!$B$1,Sheet1!$B$2-1,0)),$B$1/(365*100),$B$3/(365*100)))*100,1)/100</f>
        <v>285.83</v>
      </c>
      <c r="R888" s="9">
        <f t="shared" ca="1" si="56"/>
        <v>700468.77981662576</v>
      </c>
    </row>
    <row r="889" spans="1:18" x14ac:dyDescent="0.25">
      <c r="A889">
        <v>6</v>
      </c>
      <c r="B889">
        <v>0</v>
      </c>
      <c r="C889">
        <v>10</v>
      </c>
      <c r="D889">
        <v>26.9</v>
      </c>
      <c r="E889">
        <v>52</v>
      </c>
      <c r="F889">
        <v>2.7122172983286147E-2</v>
      </c>
      <c r="G889" t="str">
        <f t="shared" si="57"/>
        <v>Insert into BlueCreditTypeRainbow Values (6, 0, 10, 26.9, 52, 0.0271221729832861)</v>
      </c>
      <c r="N889" s="4">
        <v>886</v>
      </c>
      <c r="O889" s="8">
        <f>$B$7*COUNTIF(Sheet2!$B$1:$B$132,N889)</f>
        <v>0</v>
      </c>
      <c r="P889" s="8">
        <f t="shared" ca="1" si="55"/>
        <v>0</v>
      </c>
      <c r="Q889" s="8">
        <f ca="1">CEILING(R888*(IF(N889&lt;=IF($B$2=0,0,OFFSET(Sheet2!$B$1,Sheet1!$B$2-1,0)),$B$1/(365*100),$B$3/(365*100)))*100,1)/100</f>
        <v>285.95</v>
      </c>
      <c r="R889" s="9">
        <f t="shared" ca="1" si="56"/>
        <v>700754.72981662571</v>
      </c>
    </row>
    <row r="890" spans="1:18" x14ac:dyDescent="0.25">
      <c r="A890">
        <v>6</v>
      </c>
      <c r="B890">
        <v>0</v>
      </c>
      <c r="C890">
        <v>10</v>
      </c>
      <c r="D890">
        <v>26.9</v>
      </c>
      <c r="E890">
        <v>53</v>
      </c>
      <c r="F890">
        <v>2.6845219298205054E-2</v>
      </c>
      <c r="G890" t="str">
        <f t="shared" si="57"/>
        <v>Insert into BlueCreditTypeRainbow Values (6, 0, 10, 26.9, 53, 0.0268452192982051)</v>
      </c>
      <c r="N890" s="4">
        <v>887</v>
      </c>
      <c r="O890" s="8">
        <f>$B$7*COUNTIF(Sheet2!$B$1:$B$132,N890)</f>
        <v>0</v>
      </c>
      <c r="P890" s="8">
        <f t="shared" ca="1" si="55"/>
        <v>0</v>
      </c>
      <c r="Q890" s="8">
        <f ca="1">CEILING(R889*(IF(N890&lt;=IF($B$2=0,0,OFFSET(Sheet2!$B$1,Sheet1!$B$2-1,0)),$B$1/(365*100),$B$3/(365*100)))*100,1)/100</f>
        <v>286.07</v>
      </c>
      <c r="R890" s="9">
        <f t="shared" ca="1" si="56"/>
        <v>701040.79981662566</v>
      </c>
    </row>
    <row r="891" spans="1:18" x14ac:dyDescent="0.25">
      <c r="A891">
        <v>6</v>
      </c>
      <c r="B891">
        <v>0</v>
      </c>
      <c r="C891">
        <v>10</v>
      </c>
      <c r="D891">
        <v>26.9</v>
      </c>
      <c r="E891">
        <v>54</v>
      </c>
      <c r="F891">
        <v>2.6579729647542707E-2</v>
      </c>
      <c r="G891" t="str">
        <f t="shared" si="57"/>
        <v>Insert into BlueCreditTypeRainbow Values (6, 0, 10, 26.9, 54, 0.0265797296475427)</v>
      </c>
      <c r="N891" s="4">
        <v>888</v>
      </c>
      <c r="O891" s="8">
        <f>$B$7*COUNTIF(Sheet2!$B$1:$B$132,N891)</f>
        <v>0</v>
      </c>
      <c r="P891" s="8">
        <f t="shared" ca="1" si="55"/>
        <v>0</v>
      </c>
      <c r="Q891" s="8">
        <f ca="1">CEILING(R890*(IF(N891&lt;=IF($B$2=0,0,OFFSET(Sheet2!$B$1,Sheet1!$B$2-1,0)),$B$1/(365*100),$B$3/(365*100)))*100,1)/100</f>
        <v>286.18</v>
      </c>
      <c r="R891" s="9">
        <f t="shared" ca="1" si="56"/>
        <v>701326.97981662571</v>
      </c>
    </row>
    <row r="892" spans="1:18" x14ac:dyDescent="0.25">
      <c r="A892">
        <v>6</v>
      </c>
      <c r="B892">
        <v>0</v>
      </c>
      <c r="C892">
        <v>10</v>
      </c>
      <c r="D892">
        <v>26.9</v>
      </c>
      <c r="E892">
        <v>55</v>
      </c>
      <c r="F892">
        <v>2.6325274475409832E-2</v>
      </c>
      <c r="G892" t="str">
        <f t="shared" si="57"/>
        <v>Insert into BlueCreditTypeRainbow Values (6, 0, 10, 26.9, 55, 0.0263252744754098)</v>
      </c>
      <c r="N892" s="4">
        <v>889</v>
      </c>
      <c r="O892" s="8">
        <f>$B$7*COUNTIF(Sheet2!$B$1:$B$132,N892)</f>
        <v>0</v>
      </c>
      <c r="P892" s="8">
        <f t="shared" ca="1" si="55"/>
        <v>0</v>
      </c>
      <c r="Q892" s="8">
        <f ca="1">CEILING(R891*(IF(N892&lt;=IF($B$2=0,0,OFFSET(Sheet2!$B$1,Sheet1!$B$2-1,0)),$B$1/(365*100),$B$3/(365*100)))*100,1)/100</f>
        <v>286.3</v>
      </c>
      <c r="R892" s="9">
        <f t="shared" ca="1" si="56"/>
        <v>701613.27981662576</v>
      </c>
    </row>
    <row r="893" spans="1:18" x14ac:dyDescent="0.25">
      <c r="A893">
        <v>6</v>
      </c>
      <c r="B893">
        <v>0</v>
      </c>
      <c r="C893">
        <v>10</v>
      </c>
      <c r="D893">
        <v>26.9</v>
      </c>
      <c r="E893">
        <v>56</v>
      </c>
      <c r="F893">
        <v>2.6081033588847499E-2</v>
      </c>
      <c r="G893" t="str">
        <f t="shared" si="57"/>
        <v>Insert into BlueCreditTypeRainbow Values (6, 0, 10, 26.9, 56, 0.0260810335888475)</v>
      </c>
      <c r="N893" s="4">
        <v>890</v>
      </c>
      <c r="O893" s="8">
        <f>$B$7*COUNTIF(Sheet2!$B$1:$B$132,N893)</f>
        <v>0</v>
      </c>
      <c r="P893" s="8">
        <f t="shared" ca="1" si="55"/>
        <v>0</v>
      </c>
      <c r="Q893" s="8">
        <f ca="1">CEILING(R892*(IF(N893&lt;=IF($B$2=0,0,OFFSET(Sheet2!$B$1,Sheet1!$B$2-1,0)),$B$1/(365*100),$B$3/(365*100)))*100,1)/100</f>
        <v>286.42</v>
      </c>
      <c r="R893" s="9">
        <f t="shared" ca="1" si="56"/>
        <v>701899.6998166258</v>
      </c>
    </row>
    <row r="894" spans="1:18" x14ac:dyDescent="0.25">
      <c r="A894">
        <v>6</v>
      </c>
      <c r="B894">
        <v>0</v>
      </c>
      <c r="C894">
        <v>10</v>
      </c>
      <c r="D894">
        <v>26.9</v>
      </c>
      <c r="E894">
        <v>57</v>
      </c>
      <c r="F894">
        <v>2.5846660877193065E-2</v>
      </c>
      <c r="G894" t="str">
        <f t="shared" si="57"/>
        <v>Insert into BlueCreditTypeRainbow Values (6, 0, 10, 26.9, 57, 0.0258466608771931)</v>
      </c>
      <c r="N894" s="4">
        <v>891</v>
      </c>
      <c r="O894" s="8">
        <f>$B$7*COUNTIF(Sheet2!$B$1:$B$132,N894)</f>
        <v>0</v>
      </c>
      <c r="P894" s="8">
        <f t="shared" ca="1" si="55"/>
        <v>0</v>
      </c>
      <c r="Q894" s="8">
        <f ca="1">CEILING(R893*(IF(N894&lt;=IF($B$2=0,0,OFFSET(Sheet2!$B$1,Sheet1!$B$2-1,0)),$B$1/(365*100),$B$3/(365*100)))*100,1)/100</f>
        <v>286.52999999999997</v>
      </c>
      <c r="R894" s="9">
        <f t="shared" ca="1" si="56"/>
        <v>702186.22981662583</v>
      </c>
    </row>
    <row r="895" spans="1:18" x14ac:dyDescent="0.25">
      <c r="A895">
        <v>6</v>
      </c>
      <c r="B895">
        <v>0</v>
      </c>
      <c r="C895">
        <v>10</v>
      </c>
      <c r="D895">
        <v>26.9</v>
      </c>
      <c r="E895">
        <v>58</v>
      </c>
      <c r="F895">
        <v>2.5621444844448032E-2</v>
      </c>
      <c r="G895" t="str">
        <f t="shared" si="57"/>
        <v>Insert into BlueCreditTypeRainbow Values (6, 0, 10, 26.9, 58, 0.025621444844448)</v>
      </c>
      <c r="N895" s="4">
        <v>892</v>
      </c>
      <c r="O895" s="8">
        <f>$B$7*COUNTIF(Sheet2!$B$1:$B$132,N895)</f>
        <v>0</v>
      </c>
      <c r="P895" s="8">
        <f t="shared" ca="1" si="55"/>
        <v>0</v>
      </c>
      <c r="Q895" s="8">
        <f ca="1">CEILING(R894*(IF(N895&lt;=IF($B$2=0,0,OFFSET(Sheet2!$B$1,Sheet1!$B$2-1,0)),$B$1/(365*100),$B$3/(365*100)))*100,1)/100</f>
        <v>286.64999999999998</v>
      </c>
      <c r="R895" s="9">
        <f t="shared" ca="1" si="56"/>
        <v>702472.87981662585</v>
      </c>
    </row>
    <row r="896" spans="1:18" x14ac:dyDescent="0.25">
      <c r="A896">
        <v>6</v>
      </c>
      <c r="B896">
        <v>0</v>
      </c>
      <c r="C896">
        <v>10</v>
      </c>
      <c r="D896">
        <v>26.9</v>
      </c>
      <c r="E896">
        <v>59</v>
      </c>
      <c r="F896">
        <v>2.5405078660368334E-2</v>
      </c>
      <c r="G896" t="str">
        <f t="shared" si="57"/>
        <v>Insert into BlueCreditTypeRainbow Values (6, 0, 10, 26.9, 59, 0.0254050786603683)</v>
      </c>
      <c r="N896" s="4">
        <v>893</v>
      </c>
      <c r="O896" s="8">
        <f>$B$7*COUNTIF(Sheet2!$B$1:$B$132,N896)</f>
        <v>0</v>
      </c>
      <c r="P896" s="8">
        <f t="shared" ca="1" si="55"/>
        <v>0</v>
      </c>
      <c r="Q896" s="8">
        <f ca="1">CEILING(R895*(IF(N896&lt;=IF($B$2=0,0,OFFSET(Sheet2!$B$1,Sheet1!$B$2-1,0)),$B$1/(365*100),$B$3/(365*100)))*100,1)/100</f>
        <v>286.77</v>
      </c>
      <c r="R896" s="9">
        <f t="shared" ca="1" si="56"/>
        <v>702759.64981662587</v>
      </c>
    </row>
    <row r="897" spans="1:18" x14ac:dyDescent="0.25">
      <c r="A897">
        <v>6</v>
      </c>
      <c r="B897">
        <v>0</v>
      </c>
      <c r="C897">
        <v>10</v>
      </c>
      <c r="D897">
        <v>26.9</v>
      </c>
      <c r="E897">
        <v>60</v>
      </c>
      <c r="F897">
        <v>2.5196945951053231E-2</v>
      </c>
      <c r="G897" t="str">
        <f t="shared" si="57"/>
        <v>Insert into BlueCreditTypeRainbow Values (6, 0, 10, 26.9, 60, 0.0251969459510532)</v>
      </c>
      <c r="N897" s="4">
        <v>894</v>
      </c>
      <c r="O897" s="8">
        <f>$B$7*COUNTIF(Sheet2!$B$1:$B$132,N897)</f>
        <v>0</v>
      </c>
      <c r="P897" s="8">
        <f t="shared" ca="1" si="55"/>
        <v>0</v>
      </c>
      <c r="Q897" s="8">
        <f ca="1">CEILING(R896*(IF(N897&lt;=IF($B$2=0,0,OFFSET(Sheet2!$B$1,Sheet1!$B$2-1,0)),$B$1/(365*100),$B$3/(365*100)))*100,1)/100</f>
        <v>286.88</v>
      </c>
      <c r="R897" s="9">
        <f t="shared" ca="1" si="56"/>
        <v>703046.52981662587</v>
      </c>
    </row>
    <row r="898" spans="1:18" x14ac:dyDescent="0.25">
      <c r="A898">
        <v>6</v>
      </c>
      <c r="B898">
        <v>0</v>
      </c>
      <c r="C898">
        <v>9</v>
      </c>
      <c r="D898">
        <v>26.9</v>
      </c>
      <c r="E898">
        <v>48</v>
      </c>
      <c r="F898">
        <v>2.8829651990824948E-2</v>
      </c>
      <c r="G898" t="str">
        <f t="shared" si="57"/>
        <v>Insert into BlueCreditTypeRainbow Values (6, 0, 9, 26.9, 48, 0.0288296519908249)</v>
      </c>
      <c r="N898" s="4">
        <v>895</v>
      </c>
      <c r="O898" s="8">
        <f>$B$7*COUNTIF(Sheet2!$B$1:$B$132,N898)</f>
        <v>0</v>
      </c>
      <c r="P898" s="8">
        <f t="shared" ca="1" si="55"/>
        <v>0</v>
      </c>
      <c r="Q898" s="8">
        <f ca="1">CEILING(R897*(IF(N898&lt;=IF($B$2=0,0,OFFSET(Sheet2!$B$1,Sheet1!$B$2-1,0)),$B$1/(365*100),$B$3/(365*100)))*100,1)/100</f>
        <v>287</v>
      </c>
      <c r="R898" s="9">
        <f t="shared" ca="1" si="56"/>
        <v>703333.52981662587</v>
      </c>
    </row>
    <row r="899" spans="1:18" x14ac:dyDescent="0.25">
      <c r="A899">
        <v>6</v>
      </c>
      <c r="B899">
        <v>0</v>
      </c>
      <c r="C899">
        <v>9</v>
      </c>
      <c r="D899">
        <v>26.9</v>
      </c>
      <c r="E899">
        <v>49</v>
      </c>
      <c r="F899">
        <v>2.8495251694922417E-2</v>
      </c>
      <c r="G899" t="str">
        <f t="shared" si="57"/>
        <v>Insert into BlueCreditTypeRainbow Values (6, 0, 9, 26.9, 49, 0.0284952516949224)</v>
      </c>
      <c r="N899" s="4">
        <v>896</v>
      </c>
      <c r="O899" s="8">
        <f>$B$7*COUNTIF(Sheet2!$B$1:$B$132,N899)</f>
        <v>0</v>
      </c>
      <c r="P899" s="8">
        <f t="shared" ca="1" si="55"/>
        <v>0</v>
      </c>
      <c r="Q899" s="8">
        <f ca="1">CEILING(R898*(IF(N899&lt;=IF($B$2=0,0,OFFSET(Sheet2!$B$1,Sheet1!$B$2-1,0)),$B$1/(365*100),$B$3/(365*100)))*100,1)/100</f>
        <v>287.12</v>
      </c>
      <c r="R899" s="9">
        <f t="shared" ca="1" si="56"/>
        <v>703620.64981662587</v>
      </c>
    </row>
    <row r="900" spans="1:18" x14ac:dyDescent="0.25">
      <c r="A900">
        <v>6</v>
      </c>
      <c r="B900">
        <v>0</v>
      </c>
      <c r="C900">
        <v>9</v>
      </c>
      <c r="D900">
        <v>26.9</v>
      </c>
      <c r="E900">
        <v>50</v>
      </c>
      <c r="F900">
        <v>2.8175815215050096E-2</v>
      </c>
      <c r="G900" t="str">
        <f t="shared" si="57"/>
        <v>Insert into BlueCreditTypeRainbow Values (6, 0, 9, 26.9, 50, 0.0281758152150501)</v>
      </c>
      <c r="N900" s="4">
        <v>897</v>
      </c>
      <c r="O900" s="8">
        <f>$B$7*COUNTIF(Sheet2!$B$1:$B$132,N900)</f>
        <v>0</v>
      </c>
      <c r="P900" s="8">
        <f t="shared" ca="1" si="55"/>
        <v>0</v>
      </c>
      <c r="Q900" s="8">
        <f ca="1">CEILING(R899*(IF(N900&lt;=IF($B$2=0,0,OFFSET(Sheet2!$B$1,Sheet1!$B$2-1,0)),$B$1/(365*100),$B$3/(365*100)))*100,1)/100</f>
        <v>287.24</v>
      </c>
      <c r="R900" s="9">
        <f t="shared" ca="1" si="56"/>
        <v>703907.88981662586</v>
      </c>
    </row>
    <row r="901" spans="1:18" x14ac:dyDescent="0.25">
      <c r="A901">
        <v>6</v>
      </c>
      <c r="B901">
        <v>0</v>
      </c>
      <c r="C901">
        <v>9</v>
      </c>
      <c r="D901">
        <v>26.9</v>
      </c>
      <c r="E901">
        <v>51</v>
      </c>
      <c r="F901">
        <v>2.7870210784313728E-2</v>
      </c>
      <c r="G901" t="str">
        <f t="shared" si="57"/>
        <v>Insert into BlueCreditTypeRainbow Values (6, 0, 9, 26.9, 51, 0.0278702107843137)</v>
      </c>
      <c r="N901" s="4">
        <v>898</v>
      </c>
      <c r="O901" s="8">
        <f>$B$7*COUNTIF(Sheet2!$B$1:$B$132,N901)</f>
        <v>0</v>
      </c>
      <c r="P901" s="8">
        <f t="shared" ref="P901:P964" ca="1" si="58">IF(O901-Q901&gt; 0, O901-Q901, 0)</f>
        <v>0</v>
      </c>
      <c r="Q901" s="8">
        <f ca="1">CEILING(R900*(IF(N901&lt;=IF($B$2=0,0,OFFSET(Sheet2!$B$1,Sheet1!$B$2-1,0)),$B$1/(365*100),$B$3/(365*100)))*100,1)/100</f>
        <v>287.35000000000002</v>
      </c>
      <c r="R901" s="9">
        <f t="shared" ref="R901:R964" ca="1" si="59">R900+Q901-O901</f>
        <v>704195.23981662584</v>
      </c>
    </row>
    <row r="902" spans="1:18" x14ac:dyDescent="0.25">
      <c r="A902">
        <v>6</v>
      </c>
      <c r="B902">
        <v>0</v>
      </c>
      <c r="C902">
        <v>9</v>
      </c>
      <c r="D902">
        <v>26.9</v>
      </c>
      <c r="E902">
        <v>52</v>
      </c>
      <c r="F902">
        <v>2.7577850588928608E-2</v>
      </c>
      <c r="G902" t="str">
        <f t="shared" si="57"/>
        <v>Insert into BlueCreditTypeRainbow Values (6, 0, 9, 26.9, 52, 0.0275778505889286)</v>
      </c>
      <c r="N902" s="4">
        <v>899</v>
      </c>
      <c r="O902" s="8">
        <f>$B$7*COUNTIF(Sheet2!$B$1:$B$132,N902)</f>
        <v>0</v>
      </c>
      <c r="P902" s="8">
        <f t="shared" ca="1" si="58"/>
        <v>0</v>
      </c>
      <c r="Q902" s="8">
        <f ca="1">CEILING(R901*(IF(N902&lt;=IF($B$2=0,0,OFFSET(Sheet2!$B$1,Sheet1!$B$2-1,0)),$B$1/(365*100),$B$3/(365*100)))*100,1)/100</f>
        <v>287.47000000000003</v>
      </c>
      <c r="R902" s="9">
        <f t="shared" ca="1" si="59"/>
        <v>704482.70981662581</v>
      </c>
    </row>
    <row r="903" spans="1:18" x14ac:dyDescent="0.25">
      <c r="A903">
        <v>6</v>
      </c>
      <c r="B903">
        <v>0</v>
      </c>
      <c r="C903">
        <v>9</v>
      </c>
      <c r="D903">
        <v>26.9</v>
      </c>
      <c r="E903">
        <v>53</v>
      </c>
      <c r="F903">
        <v>2.7297754161808251E-2</v>
      </c>
      <c r="G903" t="str">
        <f t="shared" si="57"/>
        <v>Insert into BlueCreditTypeRainbow Values (6, 0, 9, 26.9, 53, 0.0272977541618083)</v>
      </c>
      <c r="N903" s="4">
        <v>900</v>
      </c>
      <c r="O903" s="8">
        <f>$B$7*COUNTIF(Sheet2!$B$1:$B$132,N903)</f>
        <v>0</v>
      </c>
      <c r="P903" s="8">
        <f t="shared" ca="1" si="58"/>
        <v>0</v>
      </c>
      <c r="Q903" s="8">
        <f ca="1">CEILING(R902*(IF(N903&lt;=IF($B$2=0,0,OFFSET(Sheet2!$B$1,Sheet1!$B$2-1,0)),$B$1/(365*100),$B$3/(365*100)))*100,1)/100</f>
        <v>287.58999999999997</v>
      </c>
      <c r="R903" s="9">
        <f t="shared" ca="1" si="59"/>
        <v>704770.29981662577</v>
      </c>
    </row>
    <row r="904" spans="1:18" x14ac:dyDescent="0.25">
      <c r="A904">
        <v>6</v>
      </c>
      <c r="B904">
        <v>0</v>
      </c>
      <c r="C904">
        <v>9</v>
      </c>
      <c r="D904">
        <v>26.9</v>
      </c>
      <c r="E904">
        <v>54</v>
      </c>
      <c r="F904">
        <v>2.7029228293060731E-2</v>
      </c>
      <c r="G904" t="str">
        <f t="shared" si="57"/>
        <v>Insert into BlueCreditTypeRainbow Values (6, 0, 9, 26.9, 54, 0.0270292282930607)</v>
      </c>
      <c r="N904" s="4">
        <v>901</v>
      </c>
      <c r="O904" s="8">
        <f>$B$7*COUNTIF(Sheet2!$B$1:$B$132,N904)</f>
        <v>0</v>
      </c>
      <c r="P904" s="8">
        <f t="shared" ca="1" si="58"/>
        <v>0</v>
      </c>
      <c r="Q904" s="8">
        <f ca="1">CEILING(R903*(IF(N904&lt;=IF($B$2=0,0,OFFSET(Sheet2!$B$1,Sheet1!$B$2-1,0)),$B$1/(365*100),$B$3/(365*100)))*100,1)/100</f>
        <v>287.70999999999998</v>
      </c>
      <c r="R904" s="9">
        <f t="shared" ca="1" si="59"/>
        <v>705058.00981662574</v>
      </c>
    </row>
    <row r="905" spans="1:18" x14ac:dyDescent="0.25">
      <c r="A905">
        <v>6</v>
      </c>
      <c r="B905">
        <v>0</v>
      </c>
      <c r="C905">
        <v>9</v>
      </c>
      <c r="D905">
        <v>26.9</v>
      </c>
      <c r="E905">
        <v>55</v>
      </c>
      <c r="F905">
        <v>2.6771823277719403E-2</v>
      </c>
      <c r="G905" t="str">
        <f t="shared" si="57"/>
        <v>Insert into BlueCreditTypeRainbow Values (6, 0, 9, 26.9, 55, 0.0267718232777194)</v>
      </c>
      <c r="N905" s="4">
        <v>902</v>
      </c>
      <c r="O905" s="8">
        <f>$B$7*COUNTIF(Sheet2!$B$1:$B$132,N905)</f>
        <v>0</v>
      </c>
      <c r="P905" s="8">
        <f t="shared" ca="1" si="58"/>
        <v>0</v>
      </c>
      <c r="Q905" s="8">
        <f ca="1">CEILING(R904*(IF(N905&lt;=IF($B$2=0,0,OFFSET(Sheet2!$B$1,Sheet1!$B$2-1,0)),$B$1/(365*100),$B$3/(365*100)))*100,1)/100</f>
        <v>287.82</v>
      </c>
      <c r="R905" s="9">
        <f t="shared" ca="1" si="59"/>
        <v>705345.82981662569</v>
      </c>
    </row>
    <row r="906" spans="1:18" x14ac:dyDescent="0.25">
      <c r="A906">
        <v>6</v>
      </c>
      <c r="B906">
        <v>0</v>
      </c>
      <c r="C906">
        <v>9</v>
      </c>
      <c r="D906">
        <v>26.9</v>
      </c>
      <c r="E906">
        <v>56</v>
      </c>
      <c r="F906">
        <v>2.6524747002543477E-2</v>
      </c>
      <c r="G906" t="str">
        <f t="shared" si="57"/>
        <v>Insert into BlueCreditTypeRainbow Values (6, 0, 9, 26.9, 56, 0.0265247470025435)</v>
      </c>
      <c r="N906" s="4">
        <v>903</v>
      </c>
      <c r="O906" s="8">
        <f>$B$7*COUNTIF(Sheet2!$B$1:$B$132,N906)</f>
        <v>0</v>
      </c>
      <c r="P906" s="8">
        <f t="shared" ca="1" si="58"/>
        <v>0</v>
      </c>
      <c r="Q906" s="8">
        <f ca="1">CEILING(R905*(IF(N906&lt;=IF($B$2=0,0,OFFSET(Sheet2!$B$1,Sheet1!$B$2-1,0)),$B$1/(365*100),$B$3/(365*100)))*100,1)/100</f>
        <v>287.94</v>
      </c>
      <c r="R906" s="9">
        <f t="shared" ca="1" si="59"/>
        <v>705633.76981662563</v>
      </c>
    </row>
    <row r="907" spans="1:18" x14ac:dyDescent="0.25">
      <c r="A907">
        <v>6</v>
      </c>
      <c r="B907">
        <v>0</v>
      </c>
      <c r="C907">
        <v>9</v>
      </c>
      <c r="D907">
        <v>26.9</v>
      </c>
      <c r="E907">
        <v>57</v>
      </c>
      <c r="F907">
        <v>2.628761737032486E-2</v>
      </c>
      <c r="G907" t="str">
        <f t="shared" si="57"/>
        <v>Insert into BlueCreditTypeRainbow Values (6, 0, 9, 26.9, 57, 0.0262876173703249)</v>
      </c>
      <c r="N907" s="4">
        <v>904</v>
      </c>
      <c r="O907" s="8">
        <f>$B$7*COUNTIF(Sheet2!$B$1:$B$132,N907)</f>
        <v>0</v>
      </c>
      <c r="P907" s="8">
        <f t="shared" ca="1" si="58"/>
        <v>0</v>
      </c>
      <c r="Q907" s="8">
        <f ca="1">CEILING(R906*(IF(N907&lt;=IF($B$2=0,0,OFFSET(Sheet2!$B$1,Sheet1!$B$2-1,0)),$B$1/(365*100),$B$3/(365*100)))*100,1)/100</f>
        <v>288.06</v>
      </c>
      <c r="R907" s="9">
        <f t="shared" ca="1" si="59"/>
        <v>705921.82981662569</v>
      </c>
    </row>
    <row r="908" spans="1:18" x14ac:dyDescent="0.25">
      <c r="A908">
        <v>6</v>
      </c>
      <c r="B908">
        <v>0</v>
      </c>
      <c r="C908">
        <v>9</v>
      </c>
      <c r="D908">
        <v>26.9</v>
      </c>
      <c r="E908">
        <v>58</v>
      </c>
      <c r="F908">
        <v>2.6059729859879876E-2</v>
      </c>
      <c r="G908" t="str">
        <f t="shared" si="57"/>
        <v>Insert into BlueCreditTypeRainbow Values (6, 0, 9, 26.9, 58, 0.0260597298598799)</v>
      </c>
      <c r="N908" s="4">
        <v>905</v>
      </c>
      <c r="O908" s="8">
        <f>$B$7*COUNTIF(Sheet2!$B$1:$B$132,N908)</f>
        <v>0</v>
      </c>
      <c r="P908" s="8">
        <f t="shared" ca="1" si="58"/>
        <v>0</v>
      </c>
      <c r="Q908" s="8">
        <f ca="1">CEILING(R907*(IF(N908&lt;=IF($B$2=0,0,OFFSET(Sheet2!$B$1,Sheet1!$B$2-1,0)),$B$1/(365*100),$B$3/(365*100)))*100,1)/100</f>
        <v>288.18</v>
      </c>
      <c r="R908" s="9">
        <f t="shared" ca="1" si="59"/>
        <v>706210.00981662574</v>
      </c>
    </row>
    <row r="909" spans="1:18" x14ac:dyDescent="0.25">
      <c r="A909">
        <v>6</v>
      </c>
      <c r="B909">
        <v>0</v>
      </c>
      <c r="C909">
        <v>9</v>
      </c>
      <c r="D909">
        <v>26.9</v>
      </c>
      <c r="E909">
        <v>59</v>
      </c>
      <c r="F909">
        <v>2.5840783508585475E-2</v>
      </c>
      <c r="G909" t="str">
        <f t="shared" si="57"/>
        <v>Insert into BlueCreditTypeRainbow Values (6, 0, 9, 26.9, 59, 0.0258407835085855)</v>
      </c>
      <c r="N909" s="4">
        <v>906</v>
      </c>
      <c r="O909" s="8">
        <f>$B$7*COUNTIF(Sheet2!$B$1:$B$132,N909)</f>
        <v>0</v>
      </c>
      <c r="P909" s="8">
        <f t="shared" ca="1" si="58"/>
        <v>0</v>
      </c>
      <c r="Q909" s="8">
        <f ca="1">CEILING(R908*(IF(N909&lt;=IF($B$2=0,0,OFFSET(Sheet2!$B$1,Sheet1!$B$2-1,0)),$B$1/(365*100),$B$3/(365*100)))*100,1)/100</f>
        <v>288.29000000000002</v>
      </c>
      <c r="R909" s="9">
        <f t="shared" ca="1" si="59"/>
        <v>706498.29981662577</v>
      </c>
    </row>
    <row r="910" spans="1:18" x14ac:dyDescent="0.25">
      <c r="A910">
        <v>6</v>
      </c>
      <c r="B910">
        <v>0</v>
      </c>
      <c r="C910">
        <v>9</v>
      </c>
      <c r="D910">
        <v>26.9</v>
      </c>
      <c r="E910">
        <v>60</v>
      </c>
      <c r="F910">
        <v>2.5630146848278326E-2</v>
      </c>
      <c r="G910" t="str">
        <f t="shared" si="57"/>
        <v>Insert into BlueCreditTypeRainbow Values (6, 0, 9, 26.9, 60, 0.0256301468482783)</v>
      </c>
      <c r="N910" s="4">
        <v>907</v>
      </c>
      <c r="O910" s="8">
        <f>$B$7*COUNTIF(Sheet2!$B$1:$B$132,N910)</f>
        <v>0</v>
      </c>
      <c r="P910" s="8">
        <f t="shared" ca="1" si="58"/>
        <v>0</v>
      </c>
      <c r="Q910" s="8">
        <f ca="1">CEILING(R909*(IF(N910&lt;=IF($B$2=0,0,OFFSET(Sheet2!$B$1,Sheet1!$B$2-1,0)),$B$1/(365*100),$B$3/(365*100)))*100,1)/100</f>
        <v>288.41000000000003</v>
      </c>
      <c r="R910" s="9">
        <f t="shared" ca="1" si="59"/>
        <v>706786.70981662581</v>
      </c>
    </row>
    <row r="911" spans="1:18" x14ac:dyDescent="0.25">
      <c r="A911">
        <v>6</v>
      </c>
      <c r="B911">
        <v>0</v>
      </c>
      <c r="C911">
        <v>8</v>
      </c>
      <c r="D911">
        <v>26.9</v>
      </c>
      <c r="E911">
        <v>48</v>
      </c>
      <c r="F911">
        <v>2.9322792083333327E-2</v>
      </c>
      <c r="G911" t="str">
        <f t="shared" ref="G911:G974" si="60">CONCATENATE("Insert into BlueCreditTypeRainbow Values (",A911,", ",B911,", ",C911,", ",D911,", ",E911,", ",F911,")")</f>
        <v>Insert into BlueCreditTypeRainbow Values (6, 0, 8, 26.9, 48, 0.0293227920833333)</v>
      </c>
      <c r="N911" s="4">
        <v>908</v>
      </c>
      <c r="O911" s="8">
        <f>$B$7*COUNTIF(Sheet2!$B$1:$B$132,N911)</f>
        <v>0</v>
      </c>
      <c r="P911" s="8">
        <f t="shared" ca="1" si="58"/>
        <v>0</v>
      </c>
      <c r="Q911" s="8">
        <f ca="1">CEILING(R910*(IF(N911&lt;=IF($B$2=0,0,OFFSET(Sheet2!$B$1,Sheet1!$B$2-1,0)),$B$1/(365*100),$B$3/(365*100)))*100,1)/100</f>
        <v>288.52999999999997</v>
      </c>
      <c r="R911" s="9">
        <f t="shared" ca="1" si="59"/>
        <v>707075.23981662584</v>
      </c>
    </row>
    <row r="912" spans="1:18" x14ac:dyDescent="0.25">
      <c r="A912">
        <v>6</v>
      </c>
      <c r="B912">
        <v>0</v>
      </c>
      <c r="C912">
        <v>8</v>
      </c>
      <c r="D912">
        <v>26.9</v>
      </c>
      <c r="E912">
        <v>49</v>
      </c>
      <c r="F912">
        <v>2.898439204770752E-2</v>
      </c>
      <c r="G912" t="str">
        <f t="shared" si="60"/>
        <v>Insert into BlueCreditTypeRainbow Values (6, 0, 8, 26.9, 49, 0.0289843920477075)</v>
      </c>
      <c r="N912" s="4">
        <v>909</v>
      </c>
      <c r="O912" s="8">
        <f>$B$7*COUNTIF(Sheet2!$B$1:$B$132,N912)</f>
        <v>0</v>
      </c>
      <c r="P912" s="8">
        <f t="shared" ca="1" si="58"/>
        <v>0</v>
      </c>
      <c r="Q912" s="8">
        <f ca="1">CEILING(R911*(IF(N912&lt;=IF($B$2=0,0,OFFSET(Sheet2!$B$1,Sheet1!$B$2-1,0)),$B$1/(365*100),$B$3/(365*100)))*100,1)/100</f>
        <v>288.64999999999998</v>
      </c>
      <c r="R912" s="9">
        <f t="shared" ca="1" si="59"/>
        <v>707363.88981662586</v>
      </c>
    </row>
    <row r="913" spans="1:18" x14ac:dyDescent="0.25">
      <c r="A913">
        <v>6</v>
      </c>
      <c r="B913">
        <v>0</v>
      </c>
      <c r="C913">
        <v>8</v>
      </c>
      <c r="D913">
        <v>26.9</v>
      </c>
      <c r="E913">
        <v>50</v>
      </c>
      <c r="F913">
        <v>2.8661101000000067E-2</v>
      </c>
      <c r="G913" t="str">
        <f t="shared" si="60"/>
        <v>Insert into BlueCreditTypeRainbow Values (6, 0, 8, 26.9, 50, 0.0286611010000001)</v>
      </c>
      <c r="N913" s="4">
        <v>910</v>
      </c>
      <c r="O913" s="8">
        <f>$B$7*COUNTIF(Sheet2!$B$1:$B$132,N913)</f>
        <v>0</v>
      </c>
      <c r="P913" s="8">
        <f t="shared" ca="1" si="58"/>
        <v>0</v>
      </c>
      <c r="Q913" s="8">
        <f ca="1">CEILING(R912*(IF(N913&lt;=IF($B$2=0,0,OFFSET(Sheet2!$B$1,Sheet1!$B$2-1,0)),$B$1/(365*100),$B$3/(365*100)))*100,1)/100</f>
        <v>288.76</v>
      </c>
      <c r="R913" s="9">
        <f t="shared" ca="1" si="59"/>
        <v>707652.64981662587</v>
      </c>
    </row>
    <row r="914" spans="1:18" x14ac:dyDescent="0.25">
      <c r="A914">
        <v>6</v>
      </c>
      <c r="B914">
        <v>0</v>
      </c>
      <c r="C914">
        <v>8</v>
      </c>
      <c r="D914">
        <v>26.9</v>
      </c>
      <c r="E914">
        <v>51</v>
      </c>
      <c r="F914">
        <v>2.8351775501341409E-2</v>
      </c>
      <c r="G914" t="str">
        <f t="shared" si="60"/>
        <v>Insert into BlueCreditTypeRainbow Values (6, 0, 8, 26.9, 51, 0.0283517755013414)</v>
      </c>
      <c r="N914" s="4">
        <v>911</v>
      </c>
      <c r="O914" s="8">
        <f>$B$7*COUNTIF(Sheet2!$B$1:$B$132,N914)</f>
        <v>0</v>
      </c>
      <c r="P914" s="8">
        <f t="shared" ca="1" si="58"/>
        <v>0</v>
      </c>
      <c r="Q914" s="8">
        <f ca="1">CEILING(R913*(IF(N914&lt;=IF($B$2=0,0,OFFSET(Sheet2!$B$1,Sheet1!$B$2-1,0)),$B$1/(365*100),$B$3/(365*100)))*100,1)/100</f>
        <v>288.88</v>
      </c>
      <c r="R914" s="9">
        <f t="shared" ca="1" si="59"/>
        <v>707941.52981662587</v>
      </c>
    </row>
    <row r="915" spans="1:18" x14ac:dyDescent="0.25">
      <c r="A915">
        <v>6</v>
      </c>
      <c r="B915">
        <v>0</v>
      </c>
      <c r="C915">
        <v>8</v>
      </c>
      <c r="D915">
        <v>26.9</v>
      </c>
      <c r="E915">
        <v>52</v>
      </c>
      <c r="F915">
        <v>2.8055820769230824E-2</v>
      </c>
      <c r="G915" t="str">
        <f t="shared" si="60"/>
        <v>Insert into BlueCreditTypeRainbow Values (6, 0, 8, 26.9, 52, 0.0280558207692308)</v>
      </c>
      <c r="N915" s="4">
        <v>912</v>
      </c>
      <c r="O915" s="8">
        <f>$B$7*COUNTIF(Sheet2!$B$1:$B$132,N915)</f>
        <v>0</v>
      </c>
      <c r="P915" s="8">
        <f t="shared" ca="1" si="58"/>
        <v>0</v>
      </c>
      <c r="Q915" s="8">
        <f ca="1">CEILING(R914*(IF(N915&lt;=IF($B$2=0,0,OFFSET(Sheet2!$B$1,Sheet1!$B$2-1,0)),$B$1/(365*100),$B$3/(365*100)))*100,1)/100</f>
        <v>289</v>
      </c>
      <c r="R915" s="9">
        <f t="shared" ca="1" si="59"/>
        <v>708230.52981662587</v>
      </c>
    </row>
    <row r="916" spans="1:18" x14ac:dyDescent="0.25">
      <c r="A916">
        <v>6</v>
      </c>
      <c r="B916">
        <v>0</v>
      </c>
      <c r="C916">
        <v>8</v>
      </c>
      <c r="D916">
        <v>26.9</v>
      </c>
      <c r="E916">
        <v>53</v>
      </c>
      <c r="F916">
        <v>2.7772253602923562E-2</v>
      </c>
      <c r="G916" t="str">
        <f t="shared" si="60"/>
        <v>Insert into BlueCreditTypeRainbow Values (6, 0, 8, 26.9, 53, 0.0277722536029236)</v>
      </c>
      <c r="N916" s="4">
        <v>913</v>
      </c>
      <c r="O916" s="8">
        <f>$B$7*COUNTIF(Sheet2!$B$1:$B$132,N916)</f>
        <v>0</v>
      </c>
      <c r="P916" s="8">
        <f t="shared" ca="1" si="58"/>
        <v>0</v>
      </c>
      <c r="Q916" s="8">
        <f ca="1">CEILING(R915*(IF(N916&lt;=IF($B$2=0,0,OFFSET(Sheet2!$B$1,Sheet1!$B$2-1,0)),$B$1/(365*100),$B$3/(365*100)))*100,1)/100</f>
        <v>289.12</v>
      </c>
      <c r="R916" s="9">
        <f t="shared" ca="1" si="59"/>
        <v>708519.64981662587</v>
      </c>
    </row>
    <row r="917" spans="1:18" x14ac:dyDescent="0.25">
      <c r="A917">
        <v>6</v>
      </c>
      <c r="B917">
        <v>0</v>
      </c>
      <c r="C917">
        <v>8</v>
      </c>
      <c r="D917">
        <v>26.9</v>
      </c>
      <c r="E917">
        <v>54</v>
      </c>
      <c r="F917">
        <v>2.7500376874002037E-2</v>
      </c>
      <c r="G917" t="str">
        <f t="shared" si="60"/>
        <v>Insert into BlueCreditTypeRainbow Values (6, 0, 8, 26.9, 54, 0.027500376874002)</v>
      </c>
      <c r="N917" s="4">
        <v>914</v>
      </c>
      <c r="O917" s="8">
        <f>$B$7*COUNTIF(Sheet2!$B$1:$B$132,N917)</f>
        <v>0</v>
      </c>
      <c r="P917" s="8">
        <f t="shared" ca="1" si="58"/>
        <v>0</v>
      </c>
      <c r="Q917" s="8">
        <f ca="1">CEILING(R916*(IF(N917&lt;=IF($B$2=0,0,OFFSET(Sheet2!$B$1,Sheet1!$B$2-1,0)),$B$1/(365*100),$B$3/(365*100)))*100,1)/100</f>
        <v>289.24</v>
      </c>
      <c r="R917" s="9">
        <f t="shared" ca="1" si="59"/>
        <v>708808.88981662586</v>
      </c>
    </row>
    <row r="918" spans="1:18" x14ac:dyDescent="0.25">
      <c r="A918">
        <v>6</v>
      </c>
      <c r="B918">
        <v>0</v>
      </c>
      <c r="C918">
        <v>8</v>
      </c>
      <c r="D918">
        <v>26.9</v>
      </c>
      <c r="E918">
        <v>55</v>
      </c>
      <c r="F918">
        <v>2.7239731302973986E-2</v>
      </c>
      <c r="G918" t="str">
        <f t="shared" si="60"/>
        <v>Insert into BlueCreditTypeRainbow Values (6, 0, 8, 26.9, 55, 0.027239731302974)</v>
      </c>
      <c r="N918" s="4">
        <v>915</v>
      </c>
      <c r="O918" s="8">
        <f>$B$7*COUNTIF(Sheet2!$B$1:$B$132,N918)</f>
        <v>21157.10552356458</v>
      </c>
      <c r="P918" s="8">
        <f t="shared" ca="1" si="58"/>
        <v>20867.755523564581</v>
      </c>
      <c r="Q918" s="8">
        <f ca="1">CEILING(R917*(IF(N918&lt;=IF($B$2=0,0,OFFSET(Sheet2!$B$1,Sheet1!$B$2-1,0)),$B$1/(365*100),$B$3/(365*100)))*100,1)/100</f>
        <v>289.35000000000002</v>
      </c>
      <c r="R918" s="9">
        <f t="shared" ca="1" si="59"/>
        <v>687941.13429306122</v>
      </c>
    </row>
    <row r="919" spans="1:18" x14ac:dyDescent="0.25">
      <c r="A919">
        <v>6</v>
      </c>
      <c r="B919">
        <v>0</v>
      </c>
      <c r="C919">
        <v>8</v>
      </c>
      <c r="D919">
        <v>26.9</v>
      </c>
      <c r="E919">
        <v>56</v>
      </c>
      <c r="F919">
        <v>2.6989527543178453E-2</v>
      </c>
      <c r="G919" t="str">
        <f t="shared" si="60"/>
        <v>Insert into BlueCreditTypeRainbow Values (6, 0, 8, 26.9, 56, 0.0269895275431785)</v>
      </c>
      <c r="N919" s="4">
        <v>916</v>
      </c>
      <c r="O919" s="8">
        <f>$B$7*COUNTIF(Sheet2!$B$1:$B$132,N919)</f>
        <v>0</v>
      </c>
      <c r="P919" s="8">
        <f t="shared" ca="1" si="58"/>
        <v>0</v>
      </c>
      <c r="Q919" s="8">
        <f ca="1">CEILING(R918*(IF(N919&lt;=IF($B$2=0,0,OFFSET(Sheet2!$B$1,Sheet1!$B$2-1,0)),$B$1/(365*100),$B$3/(365*100)))*100,1)/100</f>
        <v>280.83999999999997</v>
      </c>
      <c r="R919" s="9">
        <f t="shared" ca="1" si="59"/>
        <v>688221.97429306118</v>
      </c>
    </row>
    <row r="920" spans="1:18" x14ac:dyDescent="0.25">
      <c r="A920">
        <v>6</v>
      </c>
      <c r="B920">
        <v>0</v>
      </c>
      <c r="C920">
        <v>8</v>
      </c>
      <c r="D920">
        <v>26.9</v>
      </c>
      <c r="E920">
        <v>57</v>
      </c>
      <c r="F920">
        <v>2.6749366731569427E-2</v>
      </c>
      <c r="G920" t="str">
        <f t="shared" si="60"/>
        <v>Insert into BlueCreditTypeRainbow Values (6, 0, 8, 26.9, 57, 0.0267493667315694)</v>
      </c>
      <c r="N920" s="4">
        <v>917</v>
      </c>
      <c r="O920" s="8">
        <f>$B$7*COUNTIF(Sheet2!$B$1:$B$132,N920)</f>
        <v>0</v>
      </c>
      <c r="P920" s="8">
        <f t="shared" ca="1" si="58"/>
        <v>0</v>
      </c>
      <c r="Q920" s="8">
        <f ca="1">CEILING(R919*(IF(N920&lt;=IF($B$2=0,0,OFFSET(Sheet2!$B$1,Sheet1!$B$2-1,0)),$B$1/(365*100),$B$3/(365*100)))*100,1)/100</f>
        <v>280.95</v>
      </c>
      <c r="R920" s="9">
        <f t="shared" ca="1" si="59"/>
        <v>688502.92429306114</v>
      </c>
    </row>
    <row r="921" spans="1:18" x14ac:dyDescent="0.25">
      <c r="A921">
        <v>6</v>
      </c>
      <c r="B921">
        <v>0</v>
      </c>
      <c r="C921">
        <v>8</v>
      </c>
      <c r="D921">
        <v>26.9</v>
      </c>
      <c r="E921">
        <v>58</v>
      </c>
      <c r="F921">
        <v>2.6518554155307648E-2</v>
      </c>
      <c r="G921" t="str">
        <f t="shared" si="60"/>
        <v>Insert into BlueCreditTypeRainbow Values (6, 0, 8, 26.9, 58, 0.0265185541553076)</v>
      </c>
      <c r="N921" s="4">
        <v>918</v>
      </c>
      <c r="O921" s="8">
        <f>$B$7*COUNTIF(Sheet2!$B$1:$B$132,N921)</f>
        <v>0</v>
      </c>
      <c r="P921" s="8">
        <f t="shared" ca="1" si="58"/>
        <v>0</v>
      </c>
      <c r="Q921" s="8">
        <f ca="1">CEILING(R920*(IF(N921&lt;=IF($B$2=0,0,OFFSET(Sheet2!$B$1,Sheet1!$B$2-1,0)),$B$1/(365*100),$B$3/(365*100)))*100,1)/100</f>
        <v>281.07</v>
      </c>
      <c r="R921" s="9">
        <f t="shared" ca="1" si="59"/>
        <v>688783.99429306109</v>
      </c>
    </row>
    <row r="922" spans="1:18" x14ac:dyDescent="0.25">
      <c r="A922">
        <v>6</v>
      </c>
      <c r="B922">
        <v>0</v>
      </c>
      <c r="C922">
        <v>8</v>
      </c>
      <c r="D922">
        <v>26.9</v>
      </c>
      <c r="E922">
        <v>59</v>
      </c>
      <c r="F922">
        <v>2.6296779738047914E-2</v>
      </c>
      <c r="G922" t="str">
        <f t="shared" si="60"/>
        <v>Insert into BlueCreditTypeRainbow Values (6, 0, 8, 26.9, 59, 0.0262967797380479)</v>
      </c>
      <c r="N922" s="4">
        <v>919</v>
      </c>
      <c r="O922" s="8">
        <f>$B$7*COUNTIF(Sheet2!$B$1:$B$132,N922)</f>
        <v>0</v>
      </c>
      <c r="P922" s="8">
        <f t="shared" ca="1" si="58"/>
        <v>0</v>
      </c>
      <c r="Q922" s="8">
        <f ca="1">CEILING(R921*(IF(N922&lt;=IF($B$2=0,0,OFFSET(Sheet2!$B$1,Sheet1!$B$2-1,0)),$B$1/(365*100),$B$3/(365*100)))*100,1)/100</f>
        <v>281.18</v>
      </c>
      <c r="R922" s="9">
        <f t="shared" ca="1" si="59"/>
        <v>689065.17429306114</v>
      </c>
    </row>
    <row r="923" spans="1:18" x14ac:dyDescent="0.25">
      <c r="A923">
        <v>6</v>
      </c>
      <c r="B923">
        <v>0</v>
      </c>
      <c r="C923">
        <v>8</v>
      </c>
      <c r="D923">
        <v>26.9</v>
      </c>
      <c r="E923">
        <v>60</v>
      </c>
      <c r="F923">
        <v>2.6083403250253465E-2</v>
      </c>
      <c r="G923" t="str">
        <f t="shared" si="60"/>
        <v>Insert into BlueCreditTypeRainbow Values (6, 0, 8, 26.9, 60, 0.0260834032502535)</v>
      </c>
      <c r="N923" s="4">
        <v>920</v>
      </c>
      <c r="O923" s="8">
        <f>$B$7*COUNTIF(Sheet2!$B$1:$B$132,N923)</f>
        <v>0</v>
      </c>
      <c r="P923" s="8">
        <f t="shared" ca="1" si="58"/>
        <v>0</v>
      </c>
      <c r="Q923" s="8">
        <f ca="1">CEILING(R922*(IF(N923&lt;=IF($B$2=0,0,OFFSET(Sheet2!$B$1,Sheet1!$B$2-1,0)),$B$1/(365*100),$B$3/(365*100)))*100,1)/100</f>
        <v>281.29000000000002</v>
      </c>
      <c r="R923" s="9">
        <f t="shared" ca="1" si="59"/>
        <v>689346.46429306117</v>
      </c>
    </row>
    <row r="924" spans="1:18" x14ac:dyDescent="0.25">
      <c r="A924">
        <v>6</v>
      </c>
      <c r="B924">
        <v>0</v>
      </c>
      <c r="C924">
        <v>7</v>
      </c>
      <c r="D924">
        <v>26.9</v>
      </c>
      <c r="E924">
        <v>48</v>
      </c>
      <c r="F924">
        <v>2.9841203188764921E-2</v>
      </c>
      <c r="G924" t="str">
        <f t="shared" si="60"/>
        <v>Insert into BlueCreditTypeRainbow Values (6, 0, 7, 26.9, 48, 0.0298412031887649)</v>
      </c>
      <c r="N924" s="4">
        <v>921</v>
      </c>
      <c r="O924" s="8">
        <f>$B$7*COUNTIF(Sheet2!$B$1:$B$132,N924)</f>
        <v>0</v>
      </c>
      <c r="P924" s="8">
        <f t="shared" ca="1" si="58"/>
        <v>0</v>
      </c>
      <c r="Q924" s="8">
        <f ca="1">CEILING(R923*(IF(N924&lt;=IF($B$2=0,0,OFFSET(Sheet2!$B$1,Sheet1!$B$2-1,0)),$B$1/(365*100),$B$3/(365*100)))*100,1)/100</f>
        <v>281.41000000000003</v>
      </c>
      <c r="R924" s="9">
        <f t="shared" ca="1" si="59"/>
        <v>689627.87429306121</v>
      </c>
    </row>
    <row r="925" spans="1:18" x14ac:dyDescent="0.25">
      <c r="A925">
        <v>6</v>
      </c>
      <c r="B925">
        <v>0</v>
      </c>
      <c r="C925">
        <v>7</v>
      </c>
      <c r="D925">
        <v>26.9</v>
      </c>
      <c r="E925">
        <v>49</v>
      </c>
      <c r="F925">
        <v>2.9498376643201749E-2</v>
      </c>
      <c r="G925" t="str">
        <f t="shared" si="60"/>
        <v>Insert into BlueCreditTypeRainbow Values (6, 0, 7, 26.9, 49, 0.0294983766432017)</v>
      </c>
      <c r="N925" s="4">
        <v>922</v>
      </c>
      <c r="O925" s="8">
        <f>$B$7*COUNTIF(Sheet2!$B$1:$B$132,N925)</f>
        <v>0</v>
      </c>
      <c r="P925" s="8">
        <f t="shared" ca="1" si="58"/>
        <v>0</v>
      </c>
      <c r="Q925" s="8">
        <f ca="1">CEILING(R924*(IF(N925&lt;=IF($B$2=0,0,OFFSET(Sheet2!$B$1,Sheet1!$B$2-1,0)),$B$1/(365*100),$B$3/(365*100)))*100,1)/100</f>
        <v>281.52</v>
      </c>
      <c r="R925" s="9">
        <f t="shared" ca="1" si="59"/>
        <v>689909.39429306122</v>
      </c>
    </row>
    <row r="926" spans="1:18" x14ac:dyDescent="0.25">
      <c r="A926">
        <v>6</v>
      </c>
      <c r="B926">
        <v>0</v>
      </c>
      <c r="C926">
        <v>7</v>
      </c>
      <c r="D926">
        <v>26.9</v>
      </c>
      <c r="E926">
        <v>50</v>
      </c>
      <c r="F926">
        <v>2.9170819000000025E-2</v>
      </c>
      <c r="G926" t="str">
        <f t="shared" si="60"/>
        <v>Insert into BlueCreditTypeRainbow Values (6, 0, 7, 26.9, 50, 0.029170819)</v>
      </c>
      <c r="N926" s="4">
        <v>923</v>
      </c>
      <c r="O926" s="8">
        <f>$B$7*COUNTIF(Sheet2!$B$1:$B$132,N926)</f>
        <v>0</v>
      </c>
      <c r="P926" s="8">
        <f t="shared" ca="1" si="58"/>
        <v>0</v>
      </c>
      <c r="Q926" s="8">
        <f ca="1">CEILING(R925*(IF(N926&lt;=IF($B$2=0,0,OFFSET(Sheet2!$B$1,Sheet1!$B$2-1,0)),$B$1/(365*100),$B$3/(365*100)))*100,1)/100</f>
        <v>281.64</v>
      </c>
      <c r="R926" s="9">
        <f t="shared" ca="1" si="59"/>
        <v>690191.03429306124</v>
      </c>
    </row>
    <row r="927" spans="1:18" x14ac:dyDescent="0.25">
      <c r="A927">
        <v>6</v>
      </c>
      <c r="B927">
        <v>0</v>
      </c>
      <c r="C927">
        <v>7</v>
      </c>
      <c r="D927">
        <v>26.9</v>
      </c>
      <c r="E927">
        <v>51</v>
      </c>
      <c r="F927">
        <v>2.8857384329922867E-2</v>
      </c>
      <c r="G927" t="str">
        <f t="shared" si="60"/>
        <v>Insert into BlueCreditTypeRainbow Values (6, 0, 7, 26.9, 51, 0.0288573843299229)</v>
      </c>
      <c r="N927" s="4">
        <v>924</v>
      </c>
      <c r="O927" s="8">
        <f>$B$7*COUNTIF(Sheet2!$B$1:$B$132,N927)</f>
        <v>0</v>
      </c>
      <c r="P927" s="8">
        <f t="shared" ca="1" si="58"/>
        <v>0</v>
      </c>
      <c r="Q927" s="8">
        <f ca="1">CEILING(R926*(IF(N927&lt;=IF($B$2=0,0,OFFSET(Sheet2!$B$1,Sheet1!$B$2-1,0)),$B$1/(365*100),$B$3/(365*100)))*100,1)/100</f>
        <v>281.75</v>
      </c>
      <c r="R927" s="9">
        <f t="shared" ca="1" si="59"/>
        <v>690472.78429306124</v>
      </c>
    </row>
    <row r="928" spans="1:18" x14ac:dyDescent="0.25">
      <c r="A928">
        <v>6</v>
      </c>
      <c r="B928">
        <v>0</v>
      </c>
      <c r="C928">
        <v>7</v>
      </c>
      <c r="D928">
        <v>26.9</v>
      </c>
      <c r="E928">
        <v>52</v>
      </c>
      <c r="F928">
        <v>2.8557467894327719E-2</v>
      </c>
      <c r="G928" t="str">
        <f t="shared" si="60"/>
        <v>Insert into BlueCreditTypeRainbow Values (6, 0, 7, 26.9, 52, 0.0285574678943277)</v>
      </c>
      <c r="N928" s="4">
        <v>925</v>
      </c>
      <c r="O928" s="8">
        <f>$B$7*COUNTIF(Sheet2!$B$1:$B$132,N928)</f>
        <v>0</v>
      </c>
      <c r="P928" s="8">
        <f t="shared" ca="1" si="58"/>
        <v>0</v>
      </c>
      <c r="Q928" s="8">
        <f ca="1">CEILING(R927*(IF(N928&lt;=IF($B$2=0,0,OFFSET(Sheet2!$B$1,Sheet1!$B$2-1,0)),$B$1/(365*100),$B$3/(365*100)))*100,1)/100</f>
        <v>281.87</v>
      </c>
      <c r="R928" s="9">
        <f t="shared" ca="1" si="59"/>
        <v>690754.65429306123</v>
      </c>
    </row>
    <row r="929" spans="1:18" x14ac:dyDescent="0.25">
      <c r="A929">
        <v>6</v>
      </c>
      <c r="B929">
        <v>0</v>
      </c>
      <c r="C929">
        <v>7</v>
      </c>
      <c r="D929">
        <v>26.9</v>
      </c>
      <c r="E929">
        <v>53</v>
      </c>
      <c r="F929">
        <v>2.8270081459375065E-2</v>
      </c>
      <c r="G929" t="str">
        <f t="shared" si="60"/>
        <v>Insert into BlueCreditTypeRainbow Values (6, 0, 7, 26.9, 53, 0.0282700814593751)</v>
      </c>
      <c r="N929" s="4">
        <v>926</v>
      </c>
      <c r="O929" s="8">
        <f>$B$7*COUNTIF(Sheet2!$B$1:$B$132,N929)</f>
        <v>0</v>
      </c>
      <c r="P929" s="8">
        <f t="shared" ca="1" si="58"/>
        <v>0</v>
      </c>
      <c r="Q929" s="8">
        <f ca="1">CEILING(R928*(IF(N929&lt;=IF($B$2=0,0,OFFSET(Sheet2!$B$1,Sheet1!$B$2-1,0)),$B$1/(365*100),$B$3/(365*100)))*100,1)/100</f>
        <v>281.98</v>
      </c>
      <c r="R929" s="9">
        <f t="shared" ca="1" si="59"/>
        <v>691036.63429306122</v>
      </c>
    </row>
    <row r="930" spans="1:18" x14ac:dyDescent="0.25">
      <c r="A930">
        <v>6</v>
      </c>
      <c r="B930">
        <v>0</v>
      </c>
      <c r="C930">
        <v>7</v>
      </c>
      <c r="D930">
        <v>26.9</v>
      </c>
      <c r="E930">
        <v>54</v>
      </c>
      <c r="F930">
        <v>2.7994514580622635E-2</v>
      </c>
      <c r="G930" t="str">
        <f t="shared" si="60"/>
        <v>Insert into BlueCreditTypeRainbow Values (6, 0, 7, 26.9, 54, 0.0279945145806226)</v>
      </c>
      <c r="N930" s="4">
        <v>927</v>
      </c>
      <c r="O930" s="8">
        <f>$B$7*COUNTIF(Sheet2!$B$1:$B$132,N930)</f>
        <v>0</v>
      </c>
      <c r="P930" s="8">
        <f t="shared" ca="1" si="58"/>
        <v>0</v>
      </c>
      <c r="Q930" s="8">
        <f ca="1">CEILING(R929*(IF(N930&lt;=IF($B$2=0,0,OFFSET(Sheet2!$B$1,Sheet1!$B$2-1,0)),$B$1/(365*100),$B$3/(365*100)))*100,1)/100</f>
        <v>282.10000000000002</v>
      </c>
      <c r="R930" s="9">
        <f t="shared" ca="1" si="59"/>
        <v>691318.73429306119</v>
      </c>
    </row>
    <row r="931" spans="1:18" x14ac:dyDescent="0.25">
      <c r="A931">
        <v>6</v>
      </c>
      <c r="B931">
        <v>0</v>
      </c>
      <c r="C931">
        <v>7</v>
      </c>
      <c r="D931">
        <v>26.9</v>
      </c>
      <c r="E931">
        <v>55</v>
      </c>
      <c r="F931">
        <v>2.773031510759039E-2</v>
      </c>
      <c r="G931" t="str">
        <f t="shared" si="60"/>
        <v>Insert into BlueCreditTypeRainbow Values (6, 0, 7, 26.9, 55, 0.0277303151075904)</v>
      </c>
      <c r="N931" s="4">
        <v>928</v>
      </c>
      <c r="O931" s="8">
        <f>$B$7*COUNTIF(Sheet2!$B$1:$B$132,N931)</f>
        <v>0</v>
      </c>
      <c r="P931" s="8">
        <f t="shared" ca="1" si="58"/>
        <v>0</v>
      </c>
      <c r="Q931" s="8">
        <f ca="1">CEILING(R930*(IF(N931&lt;=IF($B$2=0,0,OFFSET(Sheet2!$B$1,Sheet1!$B$2-1,0)),$B$1/(365*100),$B$3/(365*100)))*100,1)/100</f>
        <v>282.20999999999998</v>
      </c>
      <c r="R931" s="9">
        <f t="shared" ca="1" si="59"/>
        <v>691600.94429306115</v>
      </c>
    </row>
    <row r="932" spans="1:18" x14ac:dyDescent="0.25">
      <c r="A932">
        <v>6</v>
      </c>
      <c r="B932">
        <v>0</v>
      </c>
      <c r="C932">
        <v>7</v>
      </c>
      <c r="D932">
        <v>26.9</v>
      </c>
      <c r="E932">
        <v>56</v>
      </c>
      <c r="F932">
        <v>2.7476666298327096E-2</v>
      </c>
      <c r="G932" t="str">
        <f t="shared" si="60"/>
        <v>Insert into BlueCreditTypeRainbow Values (6, 0, 7, 26.9, 56, 0.0274766662983271)</v>
      </c>
      <c r="N932" s="4">
        <v>929</v>
      </c>
      <c r="O932" s="8">
        <f>$B$7*COUNTIF(Sheet2!$B$1:$B$132,N932)</f>
        <v>0</v>
      </c>
      <c r="P932" s="8">
        <f t="shared" ca="1" si="58"/>
        <v>0</v>
      </c>
      <c r="Q932" s="8">
        <f ca="1">CEILING(R931*(IF(N932&lt;=IF($B$2=0,0,OFFSET(Sheet2!$B$1,Sheet1!$B$2-1,0)),$B$1/(365*100),$B$3/(365*100)))*100,1)/100</f>
        <v>282.33</v>
      </c>
      <c r="R932" s="9">
        <f t="shared" ca="1" si="59"/>
        <v>691883.27429306111</v>
      </c>
    </row>
    <row r="933" spans="1:18" x14ac:dyDescent="0.25">
      <c r="A933">
        <v>6</v>
      </c>
      <c r="B933">
        <v>0</v>
      </c>
      <c r="C933">
        <v>7</v>
      </c>
      <c r="D933">
        <v>26.9</v>
      </c>
      <c r="E933">
        <v>57</v>
      </c>
      <c r="F933">
        <v>2.7233189849530871E-2</v>
      </c>
      <c r="G933" t="str">
        <f t="shared" si="60"/>
        <v>Insert into BlueCreditTypeRainbow Values (6, 0, 7, 26.9, 57, 0.0272331898495309)</v>
      </c>
      <c r="N933" s="4">
        <v>930</v>
      </c>
      <c r="O933" s="8">
        <f>$B$7*COUNTIF(Sheet2!$B$1:$B$132,N933)</f>
        <v>0</v>
      </c>
      <c r="P933" s="8">
        <f t="shared" ca="1" si="58"/>
        <v>0</v>
      </c>
      <c r="Q933" s="8">
        <f ca="1">CEILING(R932*(IF(N933&lt;=IF($B$2=0,0,OFFSET(Sheet2!$B$1,Sheet1!$B$2-1,0)),$B$1/(365*100),$B$3/(365*100)))*100,1)/100</f>
        <v>282.45</v>
      </c>
      <c r="R933" s="9">
        <f t="shared" ca="1" si="59"/>
        <v>692165.72429306107</v>
      </c>
    </row>
    <row r="934" spans="1:18" x14ac:dyDescent="0.25">
      <c r="A934">
        <v>6</v>
      </c>
      <c r="B934">
        <v>0</v>
      </c>
      <c r="C934">
        <v>7</v>
      </c>
      <c r="D934">
        <v>26.9</v>
      </c>
      <c r="E934">
        <v>58</v>
      </c>
      <c r="F934">
        <v>2.6999180629767854E-2</v>
      </c>
      <c r="G934" t="str">
        <f t="shared" si="60"/>
        <v>Insert into BlueCreditTypeRainbow Values (6, 0, 7, 26.9, 58, 0.0269991806297679)</v>
      </c>
      <c r="N934" s="4">
        <v>931</v>
      </c>
      <c r="O934" s="8">
        <f>$B$7*COUNTIF(Sheet2!$B$1:$B$132,N934)</f>
        <v>0</v>
      </c>
      <c r="P934" s="8">
        <f t="shared" ca="1" si="58"/>
        <v>0</v>
      </c>
      <c r="Q934" s="8">
        <f ca="1">CEILING(R933*(IF(N934&lt;=IF($B$2=0,0,OFFSET(Sheet2!$B$1,Sheet1!$B$2-1,0)),$B$1/(365*100),$B$3/(365*100)))*100,1)/100</f>
        <v>282.56</v>
      </c>
      <c r="R934" s="9">
        <f t="shared" ca="1" si="59"/>
        <v>692448.28429306112</v>
      </c>
    </row>
    <row r="935" spans="1:18" x14ac:dyDescent="0.25">
      <c r="A935">
        <v>6</v>
      </c>
      <c r="B935">
        <v>0</v>
      </c>
      <c r="C935">
        <v>7</v>
      </c>
      <c r="D935">
        <v>26.9</v>
      </c>
      <c r="E935">
        <v>59</v>
      </c>
      <c r="F935">
        <v>2.6774301694915324E-2</v>
      </c>
      <c r="G935" t="str">
        <f t="shared" si="60"/>
        <v>Insert into BlueCreditTypeRainbow Values (6, 0, 7, 26.9, 59, 0.0267743016949153)</v>
      </c>
      <c r="N935" s="4">
        <v>932</v>
      </c>
      <c r="O935" s="8">
        <f>$B$7*COUNTIF(Sheet2!$B$1:$B$132,N935)</f>
        <v>0</v>
      </c>
      <c r="P935" s="8">
        <f t="shared" ca="1" si="58"/>
        <v>0</v>
      </c>
      <c r="Q935" s="8">
        <f ca="1">CEILING(R934*(IF(N935&lt;=IF($B$2=0,0,OFFSET(Sheet2!$B$1,Sheet1!$B$2-1,0)),$B$1/(365*100),$B$3/(365*100)))*100,1)/100</f>
        <v>282.68</v>
      </c>
      <c r="R935" s="9">
        <f t="shared" ca="1" si="59"/>
        <v>692730.96429306117</v>
      </c>
    </row>
    <row r="936" spans="1:18" x14ac:dyDescent="0.25">
      <c r="A936">
        <v>6</v>
      </c>
      <c r="B936">
        <v>0</v>
      </c>
      <c r="C936">
        <v>7</v>
      </c>
      <c r="D936">
        <v>26.9</v>
      </c>
      <c r="E936">
        <v>60</v>
      </c>
      <c r="F936">
        <v>2.6557938668331324E-2</v>
      </c>
      <c r="G936" t="str">
        <f t="shared" si="60"/>
        <v>Insert into BlueCreditTypeRainbow Values (6, 0, 7, 26.9, 60, 0.0265579386683313)</v>
      </c>
      <c r="N936" s="4">
        <v>933</v>
      </c>
      <c r="O936" s="8">
        <f>$B$7*COUNTIF(Sheet2!$B$1:$B$132,N936)</f>
        <v>0</v>
      </c>
      <c r="P936" s="8">
        <f t="shared" ca="1" si="58"/>
        <v>0</v>
      </c>
      <c r="Q936" s="8">
        <f ca="1">CEILING(R935*(IF(N936&lt;=IF($B$2=0,0,OFFSET(Sheet2!$B$1,Sheet1!$B$2-1,0)),$B$1/(365*100),$B$3/(365*100)))*100,1)/100</f>
        <v>282.79000000000002</v>
      </c>
      <c r="R936" s="9">
        <f t="shared" ca="1" si="59"/>
        <v>693013.75429306121</v>
      </c>
    </row>
    <row r="937" spans="1:18" x14ac:dyDescent="0.25">
      <c r="A937">
        <v>6</v>
      </c>
      <c r="B937">
        <v>0</v>
      </c>
      <c r="C937">
        <v>6</v>
      </c>
      <c r="D937">
        <v>26.9</v>
      </c>
      <c r="E937">
        <v>48</v>
      </c>
      <c r="F937">
        <v>3.040480585348947E-2</v>
      </c>
      <c r="G937" t="str">
        <f t="shared" si="60"/>
        <v>Insert into BlueCreditTypeRainbow Values (6, 0, 6, 26.9, 48, 0.0304048058534895)</v>
      </c>
      <c r="N937" s="4">
        <v>934</v>
      </c>
      <c r="O937" s="8">
        <f>$B$7*COUNTIF(Sheet2!$B$1:$B$132,N937)</f>
        <v>0</v>
      </c>
      <c r="P937" s="8">
        <f t="shared" ca="1" si="58"/>
        <v>0</v>
      </c>
      <c r="Q937" s="8">
        <f ca="1">CEILING(R936*(IF(N937&lt;=IF($B$2=0,0,OFFSET(Sheet2!$B$1,Sheet1!$B$2-1,0)),$B$1/(365*100),$B$3/(365*100)))*100,1)/100</f>
        <v>282.91000000000003</v>
      </c>
      <c r="R937" s="9">
        <f t="shared" ca="1" si="59"/>
        <v>693296.66429306124</v>
      </c>
    </row>
    <row r="938" spans="1:18" x14ac:dyDescent="0.25">
      <c r="A938">
        <v>6</v>
      </c>
      <c r="B938">
        <v>0</v>
      </c>
      <c r="C938">
        <v>6</v>
      </c>
      <c r="D938">
        <v>26.9</v>
      </c>
      <c r="E938">
        <v>49</v>
      </c>
      <c r="F938">
        <v>3.0056923167932723E-2</v>
      </c>
      <c r="G938" t="str">
        <f t="shared" si="60"/>
        <v>Insert into BlueCreditTypeRainbow Values (6, 0, 6, 26.9, 49, 0.0300569231679327)</v>
      </c>
      <c r="N938" s="4">
        <v>935</v>
      </c>
      <c r="O938" s="8">
        <f>$B$7*COUNTIF(Sheet2!$B$1:$B$132,N938)</f>
        <v>0</v>
      </c>
      <c r="P938" s="8">
        <f t="shared" ca="1" si="58"/>
        <v>0</v>
      </c>
      <c r="Q938" s="8">
        <f ca="1">CEILING(R937*(IF(N938&lt;=IF($B$2=0,0,OFFSET(Sheet2!$B$1,Sheet1!$B$2-1,0)),$B$1/(365*100),$B$3/(365*100)))*100,1)/100</f>
        <v>283.02</v>
      </c>
      <c r="R938" s="9">
        <f t="shared" ca="1" si="59"/>
        <v>693579.68429306126</v>
      </c>
    </row>
    <row r="939" spans="1:18" x14ac:dyDescent="0.25">
      <c r="A939">
        <v>6</v>
      </c>
      <c r="B939">
        <v>0</v>
      </c>
      <c r="C939">
        <v>6</v>
      </c>
      <c r="D939">
        <v>26.9</v>
      </c>
      <c r="E939">
        <v>50</v>
      </c>
      <c r="F939">
        <v>2.9724512200000053E-2</v>
      </c>
      <c r="G939" t="str">
        <f t="shared" si="60"/>
        <v>Insert into BlueCreditTypeRainbow Values (6, 0, 6, 26.9, 50, 0.0297245122000001)</v>
      </c>
      <c r="N939" s="4">
        <v>936</v>
      </c>
      <c r="O939" s="8">
        <f>$B$7*COUNTIF(Sheet2!$B$1:$B$132,N939)</f>
        <v>0</v>
      </c>
      <c r="P939" s="8">
        <f t="shared" ca="1" si="58"/>
        <v>0</v>
      </c>
      <c r="Q939" s="8">
        <f ca="1">CEILING(R938*(IF(N939&lt;=IF($B$2=0,0,OFFSET(Sheet2!$B$1,Sheet1!$B$2-1,0)),$B$1/(365*100),$B$3/(365*100)))*100,1)/100</f>
        <v>283.14</v>
      </c>
      <c r="R939" s="9">
        <f t="shared" ca="1" si="59"/>
        <v>693862.82429306128</v>
      </c>
    </row>
    <row r="940" spans="1:18" x14ac:dyDescent="0.25">
      <c r="A940">
        <v>6</v>
      </c>
      <c r="B940">
        <v>0</v>
      </c>
      <c r="C940">
        <v>6</v>
      </c>
      <c r="D940">
        <v>26.9</v>
      </c>
      <c r="E940">
        <v>51</v>
      </c>
      <c r="F940">
        <v>2.9406399617705033E-2</v>
      </c>
      <c r="G940" t="str">
        <f t="shared" si="60"/>
        <v>Insert into BlueCreditTypeRainbow Values (6, 0, 6, 26.9, 51, 0.029406399617705)</v>
      </c>
      <c r="N940" s="4">
        <v>937</v>
      </c>
      <c r="O940" s="8">
        <f>$B$7*COUNTIF(Sheet2!$B$1:$B$132,N940)</f>
        <v>0</v>
      </c>
      <c r="P940" s="8">
        <f t="shared" ca="1" si="58"/>
        <v>0</v>
      </c>
      <c r="Q940" s="8">
        <f ca="1">CEILING(R939*(IF(N940&lt;=IF($B$2=0,0,OFFSET(Sheet2!$B$1,Sheet1!$B$2-1,0)),$B$1/(365*100),$B$3/(365*100)))*100,1)/100</f>
        <v>283.25</v>
      </c>
      <c r="R940" s="9">
        <f t="shared" ca="1" si="59"/>
        <v>694146.07429306128</v>
      </c>
    </row>
    <row r="941" spans="1:18" x14ac:dyDescent="0.25">
      <c r="A941">
        <v>6</v>
      </c>
      <c r="B941">
        <v>0</v>
      </c>
      <c r="C941">
        <v>6</v>
      </c>
      <c r="D941">
        <v>26.9</v>
      </c>
      <c r="E941">
        <v>52</v>
      </c>
      <c r="F941">
        <v>2.9101985000000056E-2</v>
      </c>
      <c r="G941" t="str">
        <f t="shared" si="60"/>
        <v>Insert into BlueCreditTypeRainbow Values (6, 0, 6, 26.9, 52, 0.0291019850000001)</v>
      </c>
      <c r="N941" s="4">
        <v>938</v>
      </c>
      <c r="O941" s="8">
        <f>$B$7*COUNTIF(Sheet2!$B$1:$B$132,N941)</f>
        <v>0</v>
      </c>
      <c r="P941" s="8">
        <f t="shared" ca="1" si="58"/>
        <v>0</v>
      </c>
      <c r="Q941" s="8">
        <f ca="1">CEILING(R940*(IF(N941&lt;=IF($B$2=0,0,OFFSET(Sheet2!$B$1,Sheet1!$B$2-1,0)),$B$1/(365*100),$B$3/(365*100)))*100,1)/100</f>
        <v>283.37</v>
      </c>
      <c r="R941" s="9">
        <f t="shared" ca="1" si="59"/>
        <v>694429.44429306127</v>
      </c>
    </row>
    <row r="942" spans="1:18" x14ac:dyDescent="0.25">
      <c r="A942">
        <v>6</v>
      </c>
      <c r="B942">
        <v>0</v>
      </c>
      <c r="C942">
        <v>6</v>
      </c>
      <c r="D942">
        <v>26.9</v>
      </c>
      <c r="E942">
        <v>53</v>
      </c>
      <c r="F942">
        <v>2.8810257622094586E-2</v>
      </c>
      <c r="G942" t="str">
        <f t="shared" si="60"/>
        <v>Insert into BlueCreditTypeRainbow Values (6, 0, 6, 26.9, 53, 0.0288102576220946)</v>
      </c>
      <c r="N942" s="4">
        <v>939</v>
      </c>
      <c r="O942" s="8">
        <f>$B$7*COUNTIF(Sheet2!$B$1:$B$132,N942)</f>
        <v>0</v>
      </c>
      <c r="P942" s="8">
        <f t="shared" ca="1" si="58"/>
        <v>0</v>
      </c>
      <c r="Q942" s="8">
        <f ca="1">CEILING(R941*(IF(N942&lt;=IF($B$2=0,0,OFFSET(Sheet2!$B$1,Sheet1!$B$2-1,0)),$B$1/(365*100),$B$3/(365*100)))*100,1)/100</f>
        <v>283.48</v>
      </c>
      <c r="R942" s="9">
        <f t="shared" ca="1" si="59"/>
        <v>694712.92429306125</v>
      </c>
    </row>
    <row r="943" spans="1:18" x14ac:dyDescent="0.25">
      <c r="A943">
        <v>6</v>
      </c>
      <c r="B943">
        <v>0</v>
      </c>
      <c r="C943">
        <v>6</v>
      </c>
      <c r="D943">
        <v>26.9</v>
      </c>
      <c r="E943">
        <v>54</v>
      </c>
      <c r="F943">
        <v>2.8530508148148177E-2</v>
      </c>
      <c r="G943" t="str">
        <f t="shared" si="60"/>
        <v>Insert into BlueCreditTypeRainbow Values (6, 0, 6, 26.9, 54, 0.0285305081481482)</v>
      </c>
      <c r="N943" s="4">
        <v>940</v>
      </c>
      <c r="O943" s="8">
        <f>$B$7*COUNTIF(Sheet2!$B$1:$B$132,N943)</f>
        <v>0</v>
      </c>
      <c r="P943" s="8">
        <f t="shared" ca="1" si="58"/>
        <v>0</v>
      </c>
      <c r="Q943" s="8">
        <f ca="1">CEILING(R942*(IF(N943&lt;=IF($B$2=0,0,OFFSET(Sheet2!$B$1,Sheet1!$B$2-1,0)),$B$1/(365*100),$B$3/(365*100)))*100,1)/100</f>
        <v>283.60000000000002</v>
      </c>
      <c r="R943" s="9">
        <f t="shared" ca="1" si="59"/>
        <v>694996.52429306123</v>
      </c>
    </row>
    <row r="944" spans="1:18" x14ac:dyDescent="0.25">
      <c r="A944">
        <v>6</v>
      </c>
      <c r="B944">
        <v>0</v>
      </c>
      <c r="C944">
        <v>6</v>
      </c>
      <c r="D944">
        <v>26.9</v>
      </c>
      <c r="E944">
        <v>55</v>
      </c>
      <c r="F944">
        <v>2.8262281468280311E-2</v>
      </c>
      <c r="G944" t="str">
        <f t="shared" si="60"/>
        <v>Insert into BlueCreditTypeRainbow Values (6, 0, 6, 26.9, 55, 0.0282622814682803)</v>
      </c>
      <c r="N944" s="4">
        <v>941</v>
      </c>
      <c r="O944" s="8">
        <f>$B$7*COUNTIF(Sheet2!$B$1:$B$132,N944)</f>
        <v>0</v>
      </c>
      <c r="P944" s="8">
        <f t="shared" ca="1" si="58"/>
        <v>0</v>
      </c>
      <c r="Q944" s="8">
        <f ca="1">CEILING(R943*(IF(N944&lt;=IF($B$2=0,0,OFFSET(Sheet2!$B$1,Sheet1!$B$2-1,0)),$B$1/(365*100),$B$3/(365*100)))*100,1)/100</f>
        <v>283.72000000000003</v>
      </c>
      <c r="R944" s="9">
        <f t="shared" ca="1" si="59"/>
        <v>695280.2442930612</v>
      </c>
    </row>
    <row r="945" spans="1:18" x14ac:dyDescent="0.25">
      <c r="A945">
        <v>6</v>
      </c>
      <c r="B945">
        <v>0</v>
      </c>
      <c r="C945">
        <v>6</v>
      </c>
      <c r="D945">
        <v>26.9</v>
      </c>
      <c r="E945">
        <v>56</v>
      </c>
      <c r="F945">
        <v>2.8004752326389694E-2</v>
      </c>
      <c r="G945" t="str">
        <f t="shared" si="60"/>
        <v>Insert into BlueCreditTypeRainbow Values (6, 0, 6, 26.9, 56, 0.0280047523263897)</v>
      </c>
      <c r="N945" s="4">
        <v>942</v>
      </c>
      <c r="O945" s="8">
        <f>$B$7*COUNTIF(Sheet2!$B$1:$B$132,N945)</f>
        <v>0</v>
      </c>
      <c r="P945" s="8">
        <f t="shared" ca="1" si="58"/>
        <v>0</v>
      </c>
      <c r="Q945" s="8">
        <f ca="1">CEILING(R944*(IF(N945&lt;=IF($B$2=0,0,OFFSET(Sheet2!$B$1,Sheet1!$B$2-1,0)),$B$1/(365*100),$B$3/(365*100)))*100,1)/100</f>
        <v>283.83</v>
      </c>
      <c r="R945" s="9">
        <f t="shared" ca="1" si="59"/>
        <v>695564.07429306116</v>
      </c>
    </row>
    <row r="946" spans="1:18" x14ac:dyDescent="0.25">
      <c r="A946">
        <v>6</v>
      </c>
      <c r="B946">
        <v>0</v>
      </c>
      <c r="C946">
        <v>6</v>
      </c>
      <c r="D946">
        <v>26.9</v>
      </c>
      <c r="E946">
        <v>57</v>
      </c>
      <c r="F946">
        <v>2.7757530877566276E-2</v>
      </c>
      <c r="G946" t="str">
        <f t="shared" si="60"/>
        <v>Insert into BlueCreditTypeRainbow Values (6, 0, 6, 26.9, 57, 0.0277575308775663)</v>
      </c>
      <c r="N946" s="4">
        <v>943</v>
      </c>
      <c r="O946" s="8">
        <f>$B$7*COUNTIF(Sheet2!$B$1:$B$132,N946)</f>
        <v>0</v>
      </c>
      <c r="P946" s="8">
        <f t="shared" ca="1" si="58"/>
        <v>0</v>
      </c>
      <c r="Q946" s="8">
        <f ca="1">CEILING(R945*(IF(N946&lt;=IF($B$2=0,0,OFFSET(Sheet2!$B$1,Sheet1!$B$2-1,0)),$B$1/(365*100),$B$3/(365*100)))*100,1)/100</f>
        <v>283.95</v>
      </c>
      <c r="R946" s="9">
        <f t="shared" ca="1" si="59"/>
        <v>695848.02429306111</v>
      </c>
    </row>
    <row r="947" spans="1:18" x14ac:dyDescent="0.25">
      <c r="A947">
        <v>6</v>
      </c>
      <c r="B947">
        <v>0</v>
      </c>
      <c r="C947">
        <v>6</v>
      </c>
      <c r="D947">
        <v>26.9</v>
      </c>
      <c r="E947">
        <v>58</v>
      </c>
      <c r="F947">
        <v>2.7519900172413816E-2</v>
      </c>
      <c r="G947" t="str">
        <f t="shared" si="60"/>
        <v>Insert into BlueCreditTypeRainbow Values (6, 0, 6, 26.9, 58, 0.0275199001724138)</v>
      </c>
      <c r="N947" s="4">
        <v>944</v>
      </c>
      <c r="O947" s="8">
        <f>$B$7*COUNTIF(Sheet2!$B$1:$B$132,N947)</f>
        <v>0</v>
      </c>
      <c r="P947" s="8">
        <f t="shared" ca="1" si="58"/>
        <v>0</v>
      </c>
      <c r="Q947" s="8">
        <f ca="1">CEILING(R946*(IF(N947&lt;=IF($B$2=0,0,OFFSET(Sheet2!$B$1,Sheet1!$B$2-1,0)),$B$1/(365*100),$B$3/(365*100)))*100,1)/100</f>
        <v>284.06</v>
      </c>
      <c r="R947" s="9">
        <f t="shared" ca="1" si="59"/>
        <v>696132.08429306117</v>
      </c>
    </row>
    <row r="948" spans="1:18" x14ac:dyDescent="0.25">
      <c r="A948">
        <v>6</v>
      </c>
      <c r="B948">
        <v>0</v>
      </c>
      <c r="C948">
        <v>6</v>
      </c>
      <c r="D948">
        <v>26.9</v>
      </c>
      <c r="E948">
        <v>59</v>
      </c>
      <c r="F948">
        <v>2.7291531525423782E-2</v>
      </c>
      <c r="G948" t="str">
        <f t="shared" si="60"/>
        <v>Insert into BlueCreditTypeRainbow Values (6, 0, 6, 26.9, 59, 0.0272915315254238)</v>
      </c>
      <c r="N948" s="4">
        <v>945</v>
      </c>
      <c r="O948" s="8">
        <f>$B$7*COUNTIF(Sheet2!$B$1:$B$132,N948)</f>
        <v>21157.10552356458</v>
      </c>
      <c r="P948" s="8">
        <f t="shared" ca="1" si="58"/>
        <v>20872.92552356458</v>
      </c>
      <c r="Q948" s="8">
        <f ca="1">CEILING(R947*(IF(N948&lt;=IF($B$2=0,0,OFFSET(Sheet2!$B$1,Sheet1!$B$2-1,0)),$B$1/(365*100),$B$3/(365*100)))*100,1)/100</f>
        <v>284.18</v>
      </c>
      <c r="R948" s="9">
        <f t="shared" ca="1" si="59"/>
        <v>675259.1587694966</v>
      </c>
    </row>
    <row r="949" spans="1:18" x14ac:dyDescent="0.25">
      <c r="A949">
        <v>6</v>
      </c>
      <c r="B949">
        <v>0</v>
      </c>
      <c r="C949">
        <v>6</v>
      </c>
      <c r="D949">
        <v>26.9</v>
      </c>
      <c r="E949">
        <v>60</v>
      </c>
      <c r="F949">
        <v>2.7071796169559761E-2</v>
      </c>
      <c r="G949" t="str">
        <f t="shared" si="60"/>
        <v>Insert into BlueCreditTypeRainbow Values (6, 0, 6, 26.9, 60, 0.0270717961695598)</v>
      </c>
      <c r="N949" s="4">
        <v>946</v>
      </c>
      <c r="O949" s="8">
        <f>$B$7*COUNTIF(Sheet2!$B$1:$B$132,N949)</f>
        <v>0</v>
      </c>
      <c r="P949" s="8">
        <f t="shared" ca="1" si="58"/>
        <v>0</v>
      </c>
      <c r="Q949" s="8">
        <f ca="1">CEILING(R948*(IF(N949&lt;=IF($B$2=0,0,OFFSET(Sheet2!$B$1,Sheet1!$B$2-1,0)),$B$1/(365*100),$B$3/(365*100)))*100,1)/100</f>
        <v>275.66000000000003</v>
      </c>
      <c r="R949" s="9">
        <f t="shared" ca="1" si="59"/>
        <v>675534.81876949663</v>
      </c>
    </row>
    <row r="950" spans="1:18" x14ac:dyDescent="0.25">
      <c r="A950">
        <v>6</v>
      </c>
      <c r="B950">
        <v>0</v>
      </c>
      <c r="C950">
        <v>5</v>
      </c>
      <c r="D950">
        <v>26.9</v>
      </c>
      <c r="E950">
        <v>48</v>
      </c>
      <c r="F950">
        <v>3.0998319166666732E-2</v>
      </c>
      <c r="G950" t="str">
        <f t="shared" si="60"/>
        <v>Insert into BlueCreditTypeRainbow Values (6, 0, 5, 26.9, 48, 0.0309983191666667)</v>
      </c>
      <c r="N950" s="4">
        <v>947</v>
      </c>
      <c r="O950" s="8">
        <f>$B$7*COUNTIF(Sheet2!$B$1:$B$132,N950)</f>
        <v>0</v>
      </c>
      <c r="P950" s="8">
        <f t="shared" ca="1" si="58"/>
        <v>0</v>
      </c>
      <c r="Q950" s="8">
        <f ca="1">CEILING(R949*(IF(N950&lt;=IF($B$2=0,0,OFFSET(Sheet2!$B$1,Sheet1!$B$2-1,0)),$B$1/(365*100),$B$3/(365*100)))*100,1)/100</f>
        <v>275.77</v>
      </c>
      <c r="R950" s="9">
        <f t="shared" ca="1" si="59"/>
        <v>675810.58876949665</v>
      </c>
    </row>
    <row r="951" spans="1:18" x14ac:dyDescent="0.25">
      <c r="A951">
        <v>6</v>
      </c>
      <c r="B951">
        <v>0</v>
      </c>
      <c r="C951">
        <v>5</v>
      </c>
      <c r="D951">
        <v>26.9</v>
      </c>
      <c r="E951">
        <v>49</v>
      </c>
      <c r="F951">
        <v>3.0644881518336945E-2</v>
      </c>
      <c r="G951" t="str">
        <f t="shared" si="60"/>
        <v>Insert into BlueCreditTypeRainbow Values (6, 0, 5, 26.9, 49, 0.0306448815183369)</v>
      </c>
      <c r="N951" s="4">
        <v>948</v>
      </c>
      <c r="O951" s="8">
        <f>$B$7*COUNTIF(Sheet2!$B$1:$B$132,N951)</f>
        <v>0</v>
      </c>
      <c r="P951" s="8">
        <f t="shared" ca="1" si="58"/>
        <v>0</v>
      </c>
      <c r="Q951" s="8">
        <f ca="1">CEILING(R950*(IF(N951&lt;=IF($B$2=0,0,OFFSET(Sheet2!$B$1,Sheet1!$B$2-1,0)),$B$1/(365*100),$B$3/(365*100)))*100,1)/100</f>
        <v>275.88</v>
      </c>
      <c r="R951" s="9">
        <f t="shared" ca="1" si="59"/>
        <v>676086.46876949666</v>
      </c>
    </row>
    <row r="952" spans="1:18" x14ac:dyDescent="0.25">
      <c r="A952">
        <v>6</v>
      </c>
      <c r="B952">
        <v>0</v>
      </c>
      <c r="C952">
        <v>5</v>
      </c>
      <c r="D952">
        <v>26.9</v>
      </c>
      <c r="E952">
        <v>50</v>
      </c>
      <c r="F952">
        <v>3.0307122001217587E-2</v>
      </c>
      <c r="G952" t="str">
        <f t="shared" si="60"/>
        <v>Insert into BlueCreditTypeRainbow Values (6, 0, 5, 26.9, 50, 0.0303071220012176)</v>
      </c>
      <c r="N952" s="4">
        <v>949</v>
      </c>
      <c r="O952" s="8">
        <f>$B$7*COUNTIF(Sheet2!$B$1:$B$132,N952)</f>
        <v>0</v>
      </c>
      <c r="P952" s="8">
        <f t="shared" ca="1" si="58"/>
        <v>0</v>
      </c>
      <c r="Q952" s="8">
        <f ca="1">CEILING(R951*(IF(N952&lt;=IF($B$2=0,0,OFFSET(Sheet2!$B$1,Sheet1!$B$2-1,0)),$B$1/(365*100),$B$3/(365*100)))*100,1)/100</f>
        <v>276</v>
      </c>
      <c r="R952" s="9">
        <f t="shared" ca="1" si="59"/>
        <v>676362.46876949666</v>
      </c>
    </row>
    <row r="953" spans="1:18" x14ac:dyDescent="0.25">
      <c r="A953">
        <v>6</v>
      </c>
      <c r="B953">
        <v>0</v>
      </c>
      <c r="C953">
        <v>5</v>
      </c>
      <c r="D953">
        <v>26.9</v>
      </c>
      <c r="E953">
        <v>51</v>
      </c>
      <c r="F953">
        <v>2.9983875098039268E-2</v>
      </c>
      <c r="G953" t="str">
        <f t="shared" si="60"/>
        <v>Insert into BlueCreditTypeRainbow Values (6, 0, 5, 26.9, 51, 0.0299838750980393)</v>
      </c>
      <c r="N953" s="4">
        <v>950</v>
      </c>
      <c r="O953" s="8">
        <f>$B$7*COUNTIF(Sheet2!$B$1:$B$132,N953)</f>
        <v>0</v>
      </c>
      <c r="P953" s="8">
        <f t="shared" ca="1" si="58"/>
        <v>0</v>
      </c>
      <c r="Q953" s="8">
        <f ca="1">CEILING(R952*(IF(N953&lt;=IF($B$2=0,0,OFFSET(Sheet2!$B$1,Sheet1!$B$2-1,0)),$B$1/(365*100),$B$3/(365*100)))*100,1)/100</f>
        <v>276.11</v>
      </c>
      <c r="R953" s="9">
        <f t="shared" ca="1" si="59"/>
        <v>676638.57876949664</v>
      </c>
    </row>
    <row r="954" spans="1:18" x14ac:dyDescent="0.25">
      <c r="A954">
        <v>6</v>
      </c>
      <c r="B954">
        <v>0</v>
      </c>
      <c r="C954">
        <v>5</v>
      </c>
      <c r="D954">
        <v>26.9</v>
      </c>
      <c r="E954">
        <v>52</v>
      </c>
      <c r="F954">
        <v>2.9674518846153883E-2</v>
      </c>
      <c r="G954" t="str">
        <f t="shared" si="60"/>
        <v>Insert into BlueCreditTypeRainbow Values (6, 0, 5, 26.9, 52, 0.0296745188461539)</v>
      </c>
      <c r="N954" s="4">
        <v>951</v>
      </c>
      <c r="O954" s="8">
        <f>$B$7*COUNTIF(Sheet2!$B$1:$B$132,N954)</f>
        <v>0</v>
      </c>
      <c r="P954" s="8">
        <f t="shared" ca="1" si="58"/>
        <v>0</v>
      </c>
      <c r="Q954" s="8">
        <f ca="1">CEILING(R953*(IF(N954&lt;=IF($B$2=0,0,OFFSET(Sheet2!$B$1,Sheet1!$B$2-1,0)),$B$1/(365*100),$B$3/(365*100)))*100,1)/100</f>
        <v>276.22000000000003</v>
      </c>
      <c r="R954" s="9">
        <f t="shared" ca="1" si="59"/>
        <v>676914.79876949661</v>
      </c>
    </row>
    <row r="955" spans="1:18" x14ac:dyDescent="0.25">
      <c r="A955">
        <v>6</v>
      </c>
      <c r="B955">
        <v>0</v>
      </c>
      <c r="C955">
        <v>5</v>
      </c>
      <c r="D955">
        <v>26.9</v>
      </c>
      <c r="E955">
        <v>53</v>
      </c>
      <c r="F955">
        <v>2.9378039073765853E-2</v>
      </c>
      <c r="G955" t="str">
        <f t="shared" si="60"/>
        <v>Insert into BlueCreditTypeRainbow Values (6, 0, 5, 26.9, 53, 0.0293780390737659)</v>
      </c>
      <c r="N955" s="4">
        <v>952</v>
      </c>
      <c r="O955" s="8">
        <f>$B$7*COUNTIF(Sheet2!$B$1:$B$132,N955)</f>
        <v>0</v>
      </c>
      <c r="P955" s="8">
        <f t="shared" ca="1" si="58"/>
        <v>0</v>
      </c>
      <c r="Q955" s="8">
        <f ca="1">CEILING(R954*(IF(N955&lt;=IF($B$2=0,0,OFFSET(Sheet2!$B$1,Sheet1!$B$2-1,0)),$B$1/(365*100),$B$3/(365*100)))*100,1)/100</f>
        <v>276.33</v>
      </c>
      <c r="R955" s="9">
        <f t="shared" ca="1" si="59"/>
        <v>677191.12876949657</v>
      </c>
    </row>
    <row r="956" spans="1:18" x14ac:dyDescent="0.25">
      <c r="A956">
        <v>6</v>
      </c>
      <c r="B956">
        <v>0</v>
      </c>
      <c r="C956">
        <v>5</v>
      </c>
      <c r="D956">
        <v>26.9</v>
      </c>
      <c r="E956">
        <v>54</v>
      </c>
      <c r="F956">
        <v>2.9093722594256275E-2</v>
      </c>
      <c r="G956" t="str">
        <f t="shared" si="60"/>
        <v>Insert into BlueCreditTypeRainbow Values (6, 0, 5, 26.9, 54, 0.0290937225942563)</v>
      </c>
      <c r="N956" s="4">
        <v>953</v>
      </c>
      <c r="O956" s="8">
        <f>$B$7*COUNTIF(Sheet2!$B$1:$B$132,N956)</f>
        <v>0</v>
      </c>
      <c r="P956" s="8">
        <f t="shared" ca="1" si="58"/>
        <v>0</v>
      </c>
      <c r="Q956" s="8">
        <f ca="1">CEILING(R955*(IF(N956&lt;=IF($B$2=0,0,OFFSET(Sheet2!$B$1,Sheet1!$B$2-1,0)),$B$1/(365*100),$B$3/(365*100)))*100,1)/100</f>
        <v>276.45</v>
      </c>
      <c r="R956" s="9">
        <f t="shared" ca="1" si="59"/>
        <v>677467.57876949653</v>
      </c>
    </row>
    <row r="957" spans="1:18" x14ac:dyDescent="0.25">
      <c r="A957">
        <v>6</v>
      </c>
      <c r="B957">
        <v>0</v>
      </c>
      <c r="C957">
        <v>5</v>
      </c>
      <c r="D957">
        <v>26.9</v>
      </c>
      <c r="E957">
        <v>55</v>
      </c>
      <c r="F957">
        <v>2.8821088632495585E-2</v>
      </c>
      <c r="G957" t="str">
        <f t="shared" si="60"/>
        <v>Insert into BlueCreditTypeRainbow Values (6, 0, 5, 26.9, 55, 0.0288210886324956)</v>
      </c>
      <c r="N957" s="4">
        <v>954</v>
      </c>
      <c r="O957" s="8">
        <f>$B$7*COUNTIF(Sheet2!$B$1:$B$132,N957)</f>
        <v>0</v>
      </c>
      <c r="P957" s="8">
        <f t="shared" ca="1" si="58"/>
        <v>0</v>
      </c>
      <c r="Q957" s="8">
        <f ca="1">CEILING(R956*(IF(N957&lt;=IF($B$2=0,0,OFFSET(Sheet2!$B$1,Sheet1!$B$2-1,0)),$B$1/(365*100),$B$3/(365*100)))*100,1)/100</f>
        <v>276.56</v>
      </c>
      <c r="R957" s="9">
        <f t="shared" ca="1" si="59"/>
        <v>677744.13876949658</v>
      </c>
    </row>
    <row r="958" spans="1:18" x14ac:dyDescent="0.25">
      <c r="A958">
        <v>6</v>
      </c>
      <c r="B958">
        <v>0</v>
      </c>
      <c r="C958">
        <v>5</v>
      </c>
      <c r="D958">
        <v>26.9</v>
      </c>
      <c r="E958">
        <v>56</v>
      </c>
      <c r="F958">
        <v>2.8559309472833392E-2</v>
      </c>
      <c r="G958" t="str">
        <f t="shared" si="60"/>
        <v>Insert into BlueCreditTypeRainbow Values (6, 0, 5, 26.9, 56, 0.0285593094728334)</v>
      </c>
      <c r="N958" s="4">
        <v>955</v>
      </c>
      <c r="O958" s="8">
        <f>$B$7*COUNTIF(Sheet2!$B$1:$B$132,N958)</f>
        <v>0</v>
      </c>
      <c r="P958" s="8">
        <f t="shared" ca="1" si="58"/>
        <v>0</v>
      </c>
      <c r="Q958" s="8">
        <f ca="1">CEILING(R957*(IF(N958&lt;=IF($B$2=0,0,OFFSET(Sheet2!$B$1,Sheet1!$B$2-1,0)),$B$1/(365*100),$B$3/(365*100)))*100,1)/100</f>
        <v>276.67</v>
      </c>
      <c r="R958" s="9">
        <f t="shared" ca="1" si="59"/>
        <v>678020.80876949662</v>
      </c>
    </row>
    <row r="959" spans="1:18" x14ac:dyDescent="0.25">
      <c r="A959">
        <v>6</v>
      </c>
      <c r="B959">
        <v>0</v>
      </c>
      <c r="C959">
        <v>5</v>
      </c>
      <c r="D959">
        <v>26.9</v>
      </c>
      <c r="E959">
        <v>57</v>
      </c>
      <c r="F959">
        <v>2.8307997857634618E-2</v>
      </c>
      <c r="G959" t="str">
        <f t="shared" si="60"/>
        <v>Insert into BlueCreditTypeRainbow Values (6, 0, 5, 26.9, 57, 0.0283079978576346)</v>
      </c>
      <c r="N959" s="4">
        <v>956</v>
      </c>
      <c r="O959" s="8">
        <f>$B$7*COUNTIF(Sheet2!$B$1:$B$132,N959)</f>
        <v>0</v>
      </c>
      <c r="P959" s="8">
        <f t="shared" ca="1" si="58"/>
        <v>0</v>
      </c>
      <c r="Q959" s="8">
        <f ca="1">CEILING(R958*(IF(N959&lt;=IF($B$2=0,0,OFFSET(Sheet2!$B$1,Sheet1!$B$2-1,0)),$B$1/(365*100),$B$3/(365*100)))*100,1)/100</f>
        <v>276.79000000000002</v>
      </c>
      <c r="R959" s="9">
        <f t="shared" ca="1" si="59"/>
        <v>678297.59876949666</v>
      </c>
    </row>
    <row r="960" spans="1:18" x14ac:dyDescent="0.25">
      <c r="A960">
        <v>6</v>
      </c>
      <c r="B960">
        <v>0</v>
      </c>
      <c r="C960">
        <v>5</v>
      </c>
      <c r="D960">
        <v>26.9</v>
      </c>
      <c r="E960">
        <v>58</v>
      </c>
      <c r="F960">
        <v>2.8066422592862739E-2</v>
      </c>
      <c r="G960" t="str">
        <f t="shared" si="60"/>
        <v>Insert into BlueCreditTypeRainbow Values (6, 0, 5, 26.9, 58, 0.0280664225928627)</v>
      </c>
      <c r="N960" s="4">
        <v>957</v>
      </c>
      <c r="O960" s="8">
        <f>$B$7*COUNTIF(Sheet2!$B$1:$B$132,N960)</f>
        <v>0</v>
      </c>
      <c r="P960" s="8">
        <f t="shared" ca="1" si="58"/>
        <v>0</v>
      </c>
      <c r="Q960" s="8">
        <f ca="1">CEILING(R959*(IF(N960&lt;=IF($B$2=0,0,OFFSET(Sheet2!$B$1,Sheet1!$B$2-1,0)),$B$1/(365*100),$B$3/(365*100)))*100,1)/100</f>
        <v>276.89999999999998</v>
      </c>
      <c r="R960" s="9">
        <f t="shared" ca="1" si="59"/>
        <v>678574.49876949668</v>
      </c>
    </row>
    <row r="961" spans="1:18" x14ac:dyDescent="0.25">
      <c r="A961">
        <v>6</v>
      </c>
      <c r="B961">
        <v>0</v>
      </c>
      <c r="C961">
        <v>5</v>
      </c>
      <c r="D961">
        <v>26.9</v>
      </c>
      <c r="E961">
        <v>59</v>
      </c>
      <c r="F961">
        <v>2.783425859317128E-2</v>
      </c>
      <c r="G961" t="str">
        <f t="shared" si="60"/>
        <v>Insert into BlueCreditTypeRainbow Values (6, 0, 5, 26.9, 59, 0.0278342585931713)</v>
      </c>
      <c r="N961" s="4">
        <v>958</v>
      </c>
      <c r="O961" s="8">
        <f>$B$7*COUNTIF(Sheet2!$B$1:$B$132,N961)</f>
        <v>0</v>
      </c>
      <c r="P961" s="8">
        <f t="shared" ca="1" si="58"/>
        <v>0</v>
      </c>
      <c r="Q961" s="8">
        <f ca="1">CEILING(R960*(IF(N961&lt;=IF($B$2=0,0,OFFSET(Sheet2!$B$1,Sheet1!$B$2-1,0)),$B$1/(365*100),$B$3/(365*100)))*100,1)/100</f>
        <v>277.01</v>
      </c>
      <c r="R961" s="9">
        <f t="shared" ca="1" si="59"/>
        <v>678851.50876949669</v>
      </c>
    </row>
    <row r="962" spans="1:18" x14ac:dyDescent="0.25">
      <c r="A962">
        <v>6</v>
      </c>
      <c r="B962">
        <v>0</v>
      </c>
      <c r="C962">
        <v>5</v>
      </c>
      <c r="D962">
        <v>26.9</v>
      </c>
      <c r="E962">
        <v>60</v>
      </c>
      <c r="F962">
        <v>2.7610844804832654E-2</v>
      </c>
      <c r="G962" t="str">
        <f t="shared" si="60"/>
        <v>Insert into BlueCreditTypeRainbow Values (6, 0, 5, 26.9, 60, 0.0276108448048327)</v>
      </c>
      <c r="N962" s="4">
        <v>959</v>
      </c>
      <c r="O962" s="8">
        <f>$B$7*COUNTIF(Sheet2!$B$1:$B$132,N962)</f>
        <v>0</v>
      </c>
      <c r="P962" s="8">
        <f t="shared" ca="1" si="58"/>
        <v>0</v>
      </c>
      <c r="Q962" s="8">
        <f ca="1">CEILING(R961*(IF(N962&lt;=IF($B$2=0,0,OFFSET(Sheet2!$B$1,Sheet1!$B$2-1,0)),$B$1/(365*100),$B$3/(365*100)))*100,1)/100</f>
        <v>277.13</v>
      </c>
      <c r="R962" s="9">
        <f t="shared" ca="1" si="59"/>
        <v>679128.6387694967</v>
      </c>
    </row>
    <row r="963" spans="1:18" x14ac:dyDescent="0.25">
      <c r="A963">
        <v>6</v>
      </c>
      <c r="B963">
        <v>0</v>
      </c>
      <c r="C963">
        <v>4</v>
      </c>
      <c r="D963">
        <v>26.9</v>
      </c>
      <c r="E963">
        <v>48</v>
      </c>
      <c r="F963">
        <v>3.1603488861048606E-2</v>
      </c>
      <c r="G963" t="str">
        <f t="shared" si="60"/>
        <v>Insert into BlueCreditTypeRainbow Values (6, 0, 4, 26.9, 48, 0.0316034888610486)</v>
      </c>
      <c r="N963" s="4">
        <v>960</v>
      </c>
      <c r="O963" s="8">
        <f>$B$7*COUNTIF(Sheet2!$B$1:$B$132,N963)</f>
        <v>0</v>
      </c>
      <c r="P963" s="8">
        <f t="shared" ca="1" si="58"/>
        <v>0</v>
      </c>
      <c r="Q963" s="8">
        <f ca="1">CEILING(R962*(IF(N963&lt;=IF($B$2=0,0,OFFSET(Sheet2!$B$1,Sheet1!$B$2-1,0)),$B$1/(365*100),$B$3/(365*100)))*100,1)/100</f>
        <v>277.24</v>
      </c>
      <c r="R963" s="9">
        <f t="shared" ca="1" si="59"/>
        <v>679405.87876949669</v>
      </c>
    </row>
    <row r="964" spans="1:18" x14ac:dyDescent="0.25">
      <c r="A964">
        <v>6</v>
      </c>
      <c r="B964">
        <v>0</v>
      </c>
      <c r="C964">
        <v>4</v>
      </c>
      <c r="D964">
        <v>26.9</v>
      </c>
      <c r="E964">
        <v>49</v>
      </c>
      <c r="F964">
        <v>3.1244131450661444E-2</v>
      </c>
      <c r="G964" t="str">
        <f t="shared" si="60"/>
        <v>Insert into BlueCreditTypeRainbow Values (6, 0, 4, 26.9, 49, 0.0312441314506614)</v>
      </c>
      <c r="N964" s="4">
        <v>961</v>
      </c>
      <c r="O964" s="8">
        <f>$B$7*COUNTIF(Sheet2!$B$1:$B$132,N964)</f>
        <v>0</v>
      </c>
      <c r="P964" s="8">
        <f t="shared" ca="1" si="58"/>
        <v>0</v>
      </c>
      <c r="Q964" s="8">
        <f ca="1">CEILING(R963*(IF(N964&lt;=IF($B$2=0,0,OFFSET(Sheet2!$B$1,Sheet1!$B$2-1,0)),$B$1/(365*100),$B$3/(365*100)))*100,1)/100</f>
        <v>277.35000000000002</v>
      </c>
      <c r="R964" s="9">
        <f t="shared" ca="1" si="59"/>
        <v>679683.22876949667</v>
      </c>
    </row>
    <row r="965" spans="1:18" x14ac:dyDescent="0.25">
      <c r="A965">
        <v>6</v>
      </c>
      <c r="B965">
        <v>0</v>
      </c>
      <c r="C965">
        <v>4</v>
      </c>
      <c r="D965">
        <v>26.9</v>
      </c>
      <c r="E965">
        <v>50</v>
      </c>
      <c r="F965">
        <v>3.0900698406994862E-2</v>
      </c>
      <c r="G965" t="str">
        <f t="shared" si="60"/>
        <v>Insert into BlueCreditTypeRainbow Values (6, 0, 4, 26.9, 50, 0.0309006984069949)</v>
      </c>
      <c r="N965" s="4">
        <v>962</v>
      </c>
      <c r="O965" s="8">
        <f>$B$7*COUNTIF(Sheet2!$B$1:$B$132,N965)</f>
        <v>0</v>
      </c>
      <c r="P965" s="8">
        <f t="shared" ref="P965:P1028" ca="1" si="61">IF(O965-Q965&gt; 0, O965-Q965, 0)</f>
        <v>0</v>
      </c>
      <c r="Q965" s="8">
        <f ca="1">CEILING(R964*(IF(N965&lt;=IF($B$2=0,0,OFFSET(Sheet2!$B$1,Sheet1!$B$2-1,0)),$B$1/(365*100),$B$3/(365*100)))*100,1)/100</f>
        <v>277.45999999999998</v>
      </c>
      <c r="R965" s="9">
        <f t="shared" ref="R965:R1028" ca="1" si="62">R964+Q965-O965</f>
        <v>679960.68876949663</v>
      </c>
    </row>
    <row r="966" spans="1:18" x14ac:dyDescent="0.25">
      <c r="A966">
        <v>6</v>
      </c>
      <c r="B966">
        <v>0</v>
      </c>
      <c r="C966">
        <v>4</v>
      </c>
      <c r="D966">
        <v>26.9</v>
      </c>
      <c r="E966">
        <v>51</v>
      </c>
      <c r="F966">
        <v>3.0572000196078405E-2</v>
      </c>
      <c r="G966" t="str">
        <f t="shared" si="60"/>
        <v>Insert into BlueCreditTypeRainbow Values (6, 0, 4, 26.9, 51, 0.0305720001960784)</v>
      </c>
      <c r="N966" s="4">
        <v>963</v>
      </c>
      <c r="O966" s="8">
        <f>$B$7*COUNTIF(Sheet2!$B$1:$B$132,N966)</f>
        <v>0</v>
      </c>
      <c r="P966" s="8">
        <f t="shared" ca="1" si="61"/>
        <v>0</v>
      </c>
      <c r="Q966" s="8">
        <f ca="1">CEILING(R965*(IF(N966&lt;=IF($B$2=0,0,OFFSET(Sheet2!$B$1,Sheet1!$B$2-1,0)),$B$1/(365*100),$B$3/(365*100)))*100,1)/100</f>
        <v>277.58</v>
      </c>
      <c r="R966" s="9">
        <f t="shared" ca="1" si="62"/>
        <v>680238.26876949659</v>
      </c>
    </row>
    <row r="967" spans="1:18" x14ac:dyDescent="0.25">
      <c r="A967">
        <v>6</v>
      </c>
      <c r="B967">
        <v>0</v>
      </c>
      <c r="C967">
        <v>4</v>
      </c>
      <c r="D967">
        <v>26.9</v>
      </c>
      <c r="E967">
        <v>52</v>
      </c>
      <c r="F967">
        <v>3.0257408093758625E-2</v>
      </c>
      <c r="G967" t="str">
        <f t="shared" si="60"/>
        <v>Insert into BlueCreditTypeRainbow Values (6, 0, 4, 26.9, 52, 0.0302574080937586)</v>
      </c>
      <c r="N967" s="4">
        <v>964</v>
      </c>
      <c r="O967" s="8">
        <f>$B$7*COUNTIF(Sheet2!$B$1:$B$132,N967)</f>
        <v>0</v>
      </c>
      <c r="P967" s="8">
        <f t="shared" ca="1" si="61"/>
        <v>0</v>
      </c>
      <c r="Q967" s="8">
        <f ca="1">CEILING(R966*(IF(N967&lt;=IF($B$2=0,0,OFFSET(Sheet2!$B$1,Sheet1!$B$2-1,0)),$B$1/(365*100),$B$3/(365*100)))*100,1)/100</f>
        <v>277.69</v>
      </c>
      <c r="R967" s="9">
        <f t="shared" ca="1" si="62"/>
        <v>680515.95876949653</v>
      </c>
    </row>
    <row r="968" spans="1:18" x14ac:dyDescent="0.25">
      <c r="A968">
        <v>6</v>
      </c>
      <c r="B968">
        <v>0</v>
      </c>
      <c r="C968">
        <v>4</v>
      </c>
      <c r="D968">
        <v>26.9</v>
      </c>
      <c r="E968">
        <v>53</v>
      </c>
      <c r="F968">
        <v>2.9955901903383587E-2</v>
      </c>
      <c r="G968" t="str">
        <f t="shared" si="60"/>
        <v>Insert into BlueCreditTypeRainbow Values (6, 0, 4, 26.9, 53, 0.0299559019033836)</v>
      </c>
      <c r="N968" s="4">
        <v>965</v>
      </c>
      <c r="O968" s="8">
        <f>$B$7*COUNTIF(Sheet2!$B$1:$B$132,N968)</f>
        <v>0</v>
      </c>
      <c r="P968" s="8">
        <f t="shared" ca="1" si="61"/>
        <v>0</v>
      </c>
      <c r="Q968" s="8">
        <f ca="1">CEILING(R967*(IF(N968&lt;=IF($B$2=0,0,OFFSET(Sheet2!$B$1,Sheet1!$B$2-1,0)),$B$1/(365*100),$B$3/(365*100)))*100,1)/100</f>
        <v>277.8</v>
      </c>
      <c r="R968" s="9">
        <f t="shared" ca="1" si="62"/>
        <v>680793.75876949658</v>
      </c>
    </row>
    <row r="969" spans="1:18" x14ac:dyDescent="0.25">
      <c r="A969">
        <v>6</v>
      </c>
      <c r="B969">
        <v>0</v>
      </c>
      <c r="C969">
        <v>4</v>
      </c>
      <c r="D969">
        <v>26.9</v>
      </c>
      <c r="E969">
        <v>54</v>
      </c>
      <c r="F969">
        <v>2.9666735763810861E-2</v>
      </c>
      <c r="G969" t="str">
        <f t="shared" si="60"/>
        <v>Insert into BlueCreditTypeRainbow Values (6, 0, 4, 26.9, 54, 0.0296667357638109)</v>
      </c>
      <c r="N969" s="4">
        <v>966</v>
      </c>
      <c r="O969" s="8">
        <f>$B$7*COUNTIF(Sheet2!$B$1:$B$132,N969)</f>
        <v>0</v>
      </c>
      <c r="P969" s="8">
        <f t="shared" ca="1" si="61"/>
        <v>0</v>
      </c>
      <c r="Q969" s="8">
        <f ca="1">CEILING(R968*(IF(N969&lt;=IF($B$2=0,0,OFFSET(Sheet2!$B$1,Sheet1!$B$2-1,0)),$B$1/(365*100),$B$3/(365*100)))*100,1)/100</f>
        <v>277.92</v>
      </c>
      <c r="R969" s="9">
        <f t="shared" ca="1" si="62"/>
        <v>681071.67876949662</v>
      </c>
    </row>
    <row r="970" spans="1:18" x14ac:dyDescent="0.25">
      <c r="A970">
        <v>6</v>
      </c>
      <c r="B970">
        <v>0</v>
      </c>
      <c r="C970">
        <v>4</v>
      </c>
      <c r="D970">
        <v>26.9</v>
      </c>
      <c r="E970">
        <v>55</v>
      </c>
      <c r="F970">
        <v>2.9389448183974348E-2</v>
      </c>
      <c r="G970" t="str">
        <f t="shared" si="60"/>
        <v>Insert into BlueCreditTypeRainbow Values (6, 0, 4, 26.9, 55, 0.0293894481839743)</v>
      </c>
      <c r="N970" s="4">
        <v>967</v>
      </c>
      <c r="O970" s="8">
        <f>$B$7*COUNTIF(Sheet2!$B$1:$B$132,N970)</f>
        <v>0</v>
      </c>
      <c r="P970" s="8">
        <f t="shared" ca="1" si="61"/>
        <v>0</v>
      </c>
      <c r="Q970" s="8">
        <f ca="1">CEILING(R969*(IF(N970&lt;=IF($B$2=0,0,OFFSET(Sheet2!$B$1,Sheet1!$B$2-1,0)),$B$1/(365*100),$B$3/(365*100)))*100,1)/100</f>
        <v>278.02999999999997</v>
      </c>
      <c r="R970" s="9">
        <f t="shared" ca="1" si="62"/>
        <v>681349.70876949665</v>
      </c>
    </row>
    <row r="971" spans="1:18" x14ac:dyDescent="0.25">
      <c r="A971">
        <v>6</v>
      </c>
      <c r="B971">
        <v>0</v>
      </c>
      <c r="C971">
        <v>4</v>
      </c>
      <c r="D971">
        <v>26.9</v>
      </c>
      <c r="E971">
        <v>56</v>
      </c>
      <c r="F971">
        <v>2.9123190401648583E-2</v>
      </c>
      <c r="G971" t="str">
        <f t="shared" si="60"/>
        <v>Insert into BlueCreditTypeRainbow Values (6, 0, 4, 26.9, 56, 0.0291231904016486)</v>
      </c>
      <c r="N971" s="4">
        <v>968</v>
      </c>
      <c r="O971" s="8">
        <f>$B$7*COUNTIF(Sheet2!$B$1:$B$132,N971)</f>
        <v>0</v>
      </c>
      <c r="P971" s="8">
        <f t="shared" ca="1" si="61"/>
        <v>0</v>
      </c>
      <c r="Q971" s="8">
        <f ca="1">CEILING(R970*(IF(N971&lt;=IF($B$2=0,0,OFFSET(Sheet2!$B$1,Sheet1!$B$2-1,0)),$B$1/(365*100),$B$3/(365*100)))*100,1)/100</f>
        <v>278.14999999999998</v>
      </c>
      <c r="R971" s="9">
        <f t="shared" ca="1" si="62"/>
        <v>681627.85876949667</v>
      </c>
    </row>
    <row r="972" spans="1:18" x14ac:dyDescent="0.25">
      <c r="A972">
        <v>6</v>
      </c>
      <c r="B972">
        <v>0</v>
      </c>
      <c r="C972">
        <v>4</v>
      </c>
      <c r="D972">
        <v>26.9</v>
      </c>
      <c r="E972">
        <v>57</v>
      </c>
      <c r="F972">
        <v>2.8867566333241522E-2</v>
      </c>
      <c r="G972" t="str">
        <f t="shared" si="60"/>
        <v>Insert into BlueCreditTypeRainbow Values (6, 0, 4, 26.9, 57, 0.0288675663332415)</v>
      </c>
      <c r="N972" s="4">
        <v>969</v>
      </c>
      <c r="O972" s="8">
        <f>$B$7*COUNTIF(Sheet2!$B$1:$B$132,N972)</f>
        <v>0</v>
      </c>
      <c r="P972" s="8">
        <f t="shared" ca="1" si="61"/>
        <v>0</v>
      </c>
      <c r="Q972" s="8">
        <f ca="1">CEILING(R971*(IF(N972&lt;=IF($B$2=0,0,OFFSET(Sheet2!$B$1,Sheet1!$B$2-1,0)),$B$1/(365*100),$B$3/(365*100)))*100,1)/100</f>
        <v>278.26</v>
      </c>
      <c r="R972" s="9">
        <f t="shared" ca="1" si="62"/>
        <v>681906.11876949668</v>
      </c>
    </row>
    <row r="973" spans="1:18" x14ac:dyDescent="0.25">
      <c r="A973">
        <v>6</v>
      </c>
      <c r="B973">
        <v>0</v>
      </c>
      <c r="C973">
        <v>4</v>
      </c>
      <c r="D973">
        <v>26.9</v>
      </c>
      <c r="E973">
        <v>58</v>
      </c>
      <c r="F973">
        <v>2.8621834137986038E-2</v>
      </c>
      <c r="G973" t="str">
        <f t="shared" si="60"/>
        <v>Insert into BlueCreditTypeRainbow Values (6, 0, 4, 26.9, 58, 0.028621834137986)</v>
      </c>
      <c r="N973" s="4">
        <v>970</v>
      </c>
      <c r="O973" s="8">
        <f>$B$7*COUNTIF(Sheet2!$B$1:$B$132,N973)</f>
        <v>0</v>
      </c>
      <c r="P973" s="8">
        <f t="shared" ca="1" si="61"/>
        <v>0</v>
      </c>
      <c r="Q973" s="8">
        <f ca="1">CEILING(R972*(IF(N973&lt;=IF($B$2=0,0,OFFSET(Sheet2!$B$1,Sheet1!$B$2-1,0)),$B$1/(365*100),$B$3/(365*100)))*100,1)/100</f>
        <v>278.37</v>
      </c>
      <c r="R973" s="9">
        <f t="shared" ca="1" si="62"/>
        <v>682184.48876949667</v>
      </c>
    </row>
    <row r="974" spans="1:18" x14ac:dyDescent="0.25">
      <c r="A974">
        <v>6</v>
      </c>
      <c r="B974">
        <v>0</v>
      </c>
      <c r="C974">
        <v>4</v>
      </c>
      <c r="D974">
        <v>26.9</v>
      </c>
      <c r="E974">
        <v>59</v>
      </c>
      <c r="F974">
        <v>2.8385658544609615E-2</v>
      </c>
      <c r="G974" t="str">
        <f t="shared" si="60"/>
        <v>Insert into BlueCreditTypeRainbow Values (6, 0, 4, 26.9, 59, 0.0283856585446096)</v>
      </c>
      <c r="N974" s="4">
        <v>971</v>
      </c>
      <c r="O974" s="8">
        <f>$B$7*COUNTIF(Sheet2!$B$1:$B$132,N974)</f>
        <v>0</v>
      </c>
      <c r="P974" s="8">
        <f t="shared" ca="1" si="61"/>
        <v>0</v>
      </c>
      <c r="Q974" s="8">
        <f ca="1">CEILING(R973*(IF(N974&lt;=IF($B$2=0,0,OFFSET(Sheet2!$B$1,Sheet1!$B$2-1,0)),$B$1/(365*100),$B$3/(365*100)))*100,1)/100</f>
        <v>278.49</v>
      </c>
      <c r="R974" s="9">
        <f t="shared" ca="1" si="62"/>
        <v>682462.97876949667</v>
      </c>
    </row>
    <row r="975" spans="1:18" x14ac:dyDescent="0.25">
      <c r="A975">
        <v>6</v>
      </c>
      <c r="B975">
        <v>0</v>
      </c>
      <c r="C975">
        <v>4</v>
      </c>
      <c r="D975">
        <v>26.9</v>
      </c>
      <c r="E975">
        <v>60</v>
      </c>
      <c r="F975">
        <v>2.8158386844590121E-2</v>
      </c>
      <c r="G975" t="str">
        <f t="shared" ref="G975:G1038" si="63">CONCATENATE("Insert into BlueCreditTypeRainbow Values (",A975,", ",B975,", ",C975,", ",D975,", ",E975,", ",F975,")")</f>
        <v>Insert into BlueCreditTypeRainbow Values (6, 0, 4, 26.9, 60, 0.0281583868445901)</v>
      </c>
      <c r="N975" s="4">
        <v>972</v>
      </c>
      <c r="O975" s="8">
        <f>$B$7*COUNTIF(Sheet2!$B$1:$B$132,N975)</f>
        <v>0</v>
      </c>
      <c r="P975" s="8">
        <f t="shared" ca="1" si="61"/>
        <v>0</v>
      </c>
      <c r="Q975" s="8">
        <f ca="1">CEILING(R974*(IF(N975&lt;=IF($B$2=0,0,OFFSET(Sheet2!$B$1,Sheet1!$B$2-1,0)),$B$1/(365*100),$B$3/(365*100)))*100,1)/100</f>
        <v>278.60000000000002</v>
      </c>
      <c r="R975" s="9">
        <f t="shared" ca="1" si="62"/>
        <v>682741.57876949664</v>
      </c>
    </row>
    <row r="976" spans="1:18" x14ac:dyDescent="0.25">
      <c r="A976">
        <v>6</v>
      </c>
      <c r="B976">
        <v>0</v>
      </c>
      <c r="C976">
        <v>3</v>
      </c>
      <c r="D976">
        <v>26.9</v>
      </c>
      <c r="E976">
        <v>48</v>
      </c>
      <c r="F976">
        <v>3.2262897665689051E-2</v>
      </c>
      <c r="G976" t="str">
        <f t="shared" si="63"/>
        <v>Insert into BlueCreditTypeRainbow Values (6, 0, 3, 26.9, 48, 0.0322628976656891)</v>
      </c>
      <c r="N976" s="4">
        <v>973</v>
      </c>
      <c r="O976" s="8">
        <f>$B$7*COUNTIF(Sheet2!$B$1:$B$132,N976)</f>
        <v>0</v>
      </c>
      <c r="P976" s="8">
        <f t="shared" ca="1" si="61"/>
        <v>0</v>
      </c>
      <c r="Q976" s="8">
        <f ca="1">CEILING(R975*(IF(N976&lt;=IF($B$2=0,0,OFFSET(Sheet2!$B$1,Sheet1!$B$2-1,0)),$B$1/(365*100),$B$3/(365*100)))*100,1)/100</f>
        <v>278.70999999999998</v>
      </c>
      <c r="R976" s="9">
        <f t="shared" ca="1" si="62"/>
        <v>683020.2887694966</v>
      </c>
    </row>
    <row r="977" spans="1:18" x14ac:dyDescent="0.25">
      <c r="A977">
        <v>6</v>
      </c>
      <c r="B977">
        <v>0</v>
      </c>
      <c r="C977">
        <v>3</v>
      </c>
      <c r="D977">
        <v>26.9</v>
      </c>
      <c r="E977">
        <v>49</v>
      </c>
      <c r="F977">
        <v>3.1896834372453352E-2</v>
      </c>
      <c r="G977" t="str">
        <f t="shared" si="63"/>
        <v>Insert into BlueCreditTypeRainbow Values (6, 0, 3, 26.9, 49, 0.0318968343724534)</v>
      </c>
      <c r="N977" s="4">
        <v>974</v>
      </c>
      <c r="O977" s="8">
        <f>$B$7*COUNTIF(Sheet2!$B$1:$B$132,N977)</f>
        <v>0</v>
      </c>
      <c r="P977" s="8">
        <f t="shared" ca="1" si="61"/>
        <v>0</v>
      </c>
      <c r="Q977" s="8">
        <f ca="1">CEILING(R976*(IF(N977&lt;=IF($B$2=0,0,OFFSET(Sheet2!$B$1,Sheet1!$B$2-1,0)),$B$1/(365*100),$B$3/(365*100)))*100,1)/100</f>
        <v>278.83</v>
      </c>
      <c r="R977" s="9">
        <f t="shared" ca="1" si="62"/>
        <v>683299.11876949656</v>
      </c>
    </row>
    <row r="978" spans="1:18" x14ac:dyDescent="0.25">
      <c r="A978">
        <v>6</v>
      </c>
      <c r="B978">
        <v>0</v>
      </c>
      <c r="C978">
        <v>3</v>
      </c>
      <c r="D978">
        <v>26.9</v>
      </c>
      <c r="E978">
        <v>50</v>
      </c>
      <c r="F978">
        <v>3.1546977677465012E-2</v>
      </c>
      <c r="G978" t="str">
        <f t="shared" si="63"/>
        <v>Insert into BlueCreditTypeRainbow Values (6, 0, 3, 26.9, 50, 0.031546977677465)</v>
      </c>
      <c r="N978" s="4">
        <v>975</v>
      </c>
      <c r="O978" s="8">
        <f>$B$7*COUNTIF(Sheet2!$B$1:$B$132,N978)</f>
        <v>21157.10552356458</v>
      </c>
      <c r="P978" s="8">
        <f t="shared" ca="1" si="61"/>
        <v>20878.165523564581</v>
      </c>
      <c r="Q978" s="8">
        <f ca="1">CEILING(R977*(IF(N978&lt;=IF($B$2=0,0,OFFSET(Sheet2!$B$1,Sheet1!$B$2-1,0)),$B$1/(365*100),$B$3/(365*100)))*100,1)/100</f>
        <v>278.94</v>
      </c>
      <c r="R978" s="9">
        <f t="shared" ca="1" si="62"/>
        <v>662420.95324593189</v>
      </c>
    </row>
    <row r="979" spans="1:18" x14ac:dyDescent="0.25">
      <c r="A979">
        <v>6</v>
      </c>
      <c r="B979">
        <v>0</v>
      </c>
      <c r="C979">
        <v>3</v>
      </c>
      <c r="D979">
        <v>26.9</v>
      </c>
      <c r="E979">
        <v>51</v>
      </c>
      <c r="F979">
        <v>3.1212115294117677E-2</v>
      </c>
      <c r="G979" t="str">
        <f t="shared" si="63"/>
        <v>Insert into BlueCreditTypeRainbow Values (6, 0, 3, 26.9, 51, 0.0312121152941177)</v>
      </c>
      <c r="N979" s="4">
        <v>976</v>
      </c>
      <c r="O979" s="8">
        <f>$B$7*COUNTIF(Sheet2!$B$1:$B$132,N979)</f>
        <v>0</v>
      </c>
      <c r="P979" s="8">
        <f t="shared" ca="1" si="61"/>
        <v>0</v>
      </c>
      <c r="Q979" s="8">
        <f ca="1">CEILING(R978*(IF(N979&lt;=IF($B$2=0,0,OFFSET(Sheet2!$B$1,Sheet1!$B$2-1,0)),$B$1/(365*100),$B$3/(365*100)))*100,1)/100</f>
        <v>270.42</v>
      </c>
      <c r="R979" s="9">
        <f t="shared" ca="1" si="62"/>
        <v>662691.37324593193</v>
      </c>
    </row>
    <row r="980" spans="1:18" x14ac:dyDescent="0.25">
      <c r="A980">
        <v>6</v>
      </c>
      <c r="B980">
        <v>0</v>
      </c>
      <c r="C980">
        <v>3</v>
      </c>
      <c r="D980">
        <v>26.9</v>
      </c>
      <c r="E980">
        <v>52</v>
      </c>
      <c r="F980">
        <v>3.0891610581426188E-2</v>
      </c>
      <c r="G980" t="str">
        <f t="shared" si="63"/>
        <v>Insert into BlueCreditTypeRainbow Values (6, 0, 3, 26.9, 52, 0.0308916105814262)</v>
      </c>
      <c r="N980" s="4">
        <v>977</v>
      </c>
      <c r="O980" s="8">
        <f>$B$7*COUNTIF(Sheet2!$B$1:$B$132,N980)</f>
        <v>0</v>
      </c>
      <c r="P980" s="8">
        <f t="shared" ca="1" si="61"/>
        <v>0</v>
      </c>
      <c r="Q980" s="8">
        <f ca="1">CEILING(R979*(IF(N980&lt;=IF($B$2=0,0,OFFSET(Sheet2!$B$1,Sheet1!$B$2-1,0)),$B$1/(365*100),$B$3/(365*100)))*100,1)/100</f>
        <v>270.52999999999997</v>
      </c>
      <c r="R980" s="9">
        <f t="shared" ca="1" si="62"/>
        <v>662961.90324593196</v>
      </c>
    </row>
    <row r="981" spans="1:18" x14ac:dyDescent="0.25">
      <c r="A981">
        <v>6</v>
      </c>
      <c r="B981">
        <v>0</v>
      </c>
      <c r="C981">
        <v>3</v>
      </c>
      <c r="D981">
        <v>26.9</v>
      </c>
      <c r="E981">
        <v>53</v>
      </c>
      <c r="F981">
        <v>3.058441566894924E-2</v>
      </c>
      <c r="G981" t="str">
        <f t="shared" si="63"/>
        <v>Insert into BlueCreditTypeRainbow Values (6, 0, 3, 26.9, 53, 0.0305844156689492)</v>
      </c>
      <c r="N981" s="4">
        <v>978</v>
      </c>
      <c r="O981" s="8">
        <f>$B$7*COUNTIF(Sheet2!$B$1:$B$132,N981)</f>
        <v>0</v>
      </c>
      <c r="P981" s="8">
        <f t="shared" ca="1" si="61"/>
        <v>0</v>
      </c>
      <c r="Q981" s="8">
        <f ca="1">CEILING(R980*(IF(N981&lt;=IF($B$2=0,0,OFFSET(Sheet2!$B$1,Sheet1!$B$2-1,0)),$B$1/(365*100),$B$3/(365*100)))*100,1)/100</f>
        <v>270.64</v>
      </c>
      <c r="R981" s="9">
        <f t="shared" ca="1" si="62"/>
        <v>663232.54324593197</v>
      </c>
    </row>
    <row r="982" spans="1:18" x14ac:dyDescent="0.25">
      <c r="A982">
        <v>6</v>
      </c>
      <c r="B982">
        <v>0</v>
      </c>
      <c r="C982">
        <v>3</v>
      </c>
      <c r="D982">
        <v>26.9</v>
      </c>
      <c r="E982">
        <v>54</v>
      </c>
      <c r="F982">
        <v>3.0289793687922971E-2</v>
      </c>
      <c r="G982" t="str">
        <f t="shared" si="63"/>
        <v>Insert into BlueCreditTypeRainbow Values (6, 0, 3, 26.9, 54, 0.030289793687923)</v>
      </c>
      <c r="N982" s="4">
        <v>979</v>
      </c>
      <c r="O982" s="8">
        <f>$B$7*COUNTIF(Sheet2!$B$1:$B$132,N982)</f>
        <v>0</v>
      </c>
      <c r="P982" s="8">
        <f t="shared" ca="1" si="61"/>
        <v>0</v>
      </c>
      <c r="Q982" s="8">
        <f ca="1">CEILING(R981*(IF(N982&lt;=IF($B$2=0,0,OFFSET(Sheet2!$B$1,Sheet1!$B$2-1,0)),$B$1/(365*100),$B$3/(365*100)))*100,1)/100</f>
        <v>270.75</v>
      </c>
      <c r="R982" s="9">
        <f t="shared" ca="1" si="62"/>
        <v>663503.29324593197</v>
      </c>
    </row>
    <row r="983" spans="1:18" x14ac:dyDescent="0.25">
      <c r="A983">
        <v>6</v>
      </c>
      <c r="B983">
        <v>0</v>
      </c>
      <c r="C983">
        <v>3</v>
      </c>
      <c r="D983">
        <v>26.9</v>
      </c>
      <c r="E983">
        <v>55</v>
      </c>
      <c r="F983">
        <v>3.0007258561650228E-2</v>
      </c>
      <c r="G983" t="str">
        <f t="shared" si="63"/>
        <v>Insert into BlueCreditTypeRainbow Values (6, 0, 3, 26.9, 55, 0.0300072585616502)</v>
      </c>
      <c r="N983" s="4">
        <v>980</v>
      </c>
      <c r="O983" s="8">
        <f>$B$7*COUNTIF(Sheet2!$B$1:$B$132,N983)</f>
        <v>0</v>
      </c>
      <c r="P983" s="8">
        <f t="shared" ca="1" si="61"/>
        <v>0</v>
      </c>
      <c r="Q983" s="8">
        <f ca="1">CEILING(R982*(IF(N983&lt;=IF($B$2=0,0,OFFSET(Sheet2!$B$1,Sheet1!$B$2-1,0)),$B$1/(365*100),$B$3/(365*100)))*100,1)/100</f>
        <v>270.86</v>
      </c>
      <c r="R983" s="9">
        <f t="shared" ca="1" si="62"/>
        <v>663774.15324593196</v>
      </c>
    </row>
    <row r="984" spans="1:18" x14ac:dyDescent="0.25">
      <c r="A984">
        <v>6</v>
      </c>
      <c r="B984">
        <v>0</v>
      </c>
      <c r="C984">
        <v>3</v>
      </c>
      <c r="D984">
        <v>26.9</v>
      </c>
      <c r="E984">
        <v>56</v>
      </c>
      <c r="F984">
        <v>2.9735948216973968E-2</v>
      </c>
      <c r="G984" t="str">
        <f t="shared" si="63"/>
        <v>Insert into BlueCreditTypeRainbow Values (6, 0, 3, 26.9, 56, 0.029735948216974)</v>
      </c>
      <c r="N984" s="4">
        <v>981</v>
      </c>
      <c r="O984" s="8">
        <f>$B$7*COUNTIF(Sheet2!$B$1:$B$132,N984)</f>
        <v>0</v>
      </c>
      <c r="P984" s="8">
        <f t="shared" ca="1" si="61"/>
        <v>0</v>
      </c>
      <c r="Q984" s="8">
        <f ca="1">CEILING(R983*(IF(N984&lt;=IF($B$2=0,0,OFFSET(Sheet2!$B$1,Sheet1!$B$2-1,0)),$B$1/(365*100),$B$3/(365*100)))*100,1)/100</f>
        <v>270.97000000000003</v>
      </c>
      <c r="R984" s="9">
        <f t="shared" ca="1" si="62"/>
        <v>664045.12324593193</v>
      </c>
    </row>
    <row r="985" spans="1:18" x14ac:dyDescent="0.25">
      <c r="A985">
        <v>6</v>
      </c>
      <c r="B985">
        <v>0</v>
      </c>
      <c r="C985">
        <v>3</v>
      </c>
      <c r="D985">
        <v>26.9</v>
      </c>
      <c r="E985">
        <v>57</v>
      </c>
      <c r="F985">
        <v>2.9475466144443425E-2</v>
      </c>
      <c r="G985" t="str">
        <f t="shared" si="63"/>
        <v>Insert into BlueCreditTypeRainbow Values (6, 0, 3, 26.9, 57, 0.0294754661444434)</v>
      </c>
      <c r="N985" s="4">
        <v>982</v>
      </c>
      <c r="O985" s="8">
        <f>$B$7*COUNTIF(Sheet2!$B$1:$B$132,N985)</f>
        <v>0</v>
      </c>
      <c r="P985" s="8">
        <f t="shared" ca="1" si="61"/>
        <v>0</v>
      </c>
      <c r="Q985" s="8">
        <f ca="1">CEILING(R984*(IF(N985&lt;=IF($B$2=0,0,OFFSET(Sheet2!$B$1,Sheet1!$B$2-1,0)),$B$1/(365*100),$B$3/(365*100)))*100,1)/100</f>
        <v>271.08</v>
      </c>
      <c r="R985" s="9">
        <f t="shared" ca="1" si="62"/>
        <v>664316.20324593189</v>
      </c>
    </row>
    <row r="986" spans="1:18" x14ac:dyDescent="0.25">
      <c r="A986">
        <v>6</v>
      </c>
      <c r="B986">
        <v>0</v>
      </c>
      <c r="C986">
        <v>3</v>
      </c>
      <c r="D986">
        <v>26.9</v>
      </c>
      <c r="E986">
        <v>58</v>
      </c>
      <c r="F986">
        <v>2.9225060869300046E-2</v>
      </c>
      <c r="G986" t="str">
        <f t="shared" si="63"/>
        <v>Insert into BlueCreditTypeRainbow Values (6, 0, 3, 26.9, 58, 0.0292250608693)</v>
      </c>
      <c r="N986" s="4">
        <v>983</v>
      </c>
      <c r="O986" s="8">
        <f>$B$7*COUNTIF(Sheet2!$B$1:$B$132,N986)</f>
        <v>0</v>
      </c>
      <c r="P986" s="8">
        <f t="shared" ca="1" si="61"/>
        <v>0</v>
      </c>
      <c r="Q986" s="8">
        <f ca="1">CEILING(R985*(IF(N986&lt;=IF($B$2=0,0,OFFSET(Sheet2!$B$1,Sheet1!$B$2-1,0)),$B$1/(365*100),$B$3/(365*100)))*100,1)/100</f>
        <v>271.19</v>
      </c>
      <c r="R986" s="9">
        <f t="shared" ca="1" si="62"/>
        <v>664587.39324593183</v>
      </c>
    </row>
    <row r="987" spans="1:18" x14ac:dyDescent="0.25">
      <c r="A987">
        <v>6</v>
      </c>
      <c r="B987">
        <v>0</v>
      </c>
      <c r="C987">
        <v>3</v>
      </c>
      <c r="D987">
        <v>26.9</v>
      </c>
      <c r="E987">
        <v>59</v>
      </c>
      <c r="F987">
        <v>2.8984373389830585E-2</v>
      </c>
      <c r="G987" t="str">
        <f t="shared" si="63"/>
        <v>Insert into BlueCreditTypeRainbow Values (6, 0, 3, 26.9, 59, 0.0289843733898306)</v>
      </c>
      <c r="N987" s="4">
        <v>984</v>
      </c>
      <c r="O987" s="8">
        <f>$B$7*COUNTIF(Sheet2!$B$1:$B$132,N987)</f>
        <v>0</v>
      </c>
      <c r="P987" s="8">
        <f t="shared" ca="1" si="61"/>
        <v>0</v>
      </c>
      <c r="Q987" s="8">
        <f ca="1">CEILING(R986*(IF(N987&lt;=IF($B$2=0,0,OFFSET(Sheet2!$B$1,Sheet1!$B$2-1,0)),$B$1/(365*100),$B$3/(365*100)))*100,1)/100</f>
        <v>271.3</v>
      </c>
      <c r="R987" s="9">
        <f t="shared" ca="1" si="62"/>
        <v>664858.69324593188</v>
      </c>
    </row>
    <row r="988" spans="1:18" x14ac:dyDescent="0.25">
      <c r="A988">
        <v>6</v>
      </c>
      <c r="B988">
        <v>0</v>
      </c>
      <c r="C988">
        <v>3</v>
      </c>
      <c r="D988">
        <v>26.9</v>
      </c>
      <c r="E988">
        <v>60</v>
      </c>
      <c r="F988">
        <v>2.8752763000000032E-2</v>
      </c>
      <c r="G988" t="str">
        <f t="shared" si="63"/>
        <v>Insert into BlueCreditTypeRainbow Values (6, 0, 3, 26.9, 60, 0.028752763)</v>
      </c>
      <c r="N988" s="4">
        <v>985</v>
      </c>
      <c r="O988" s="8">
        <f>$B$7*COUNTIF(Sheet2!$B$1:$B$132,N988)</f>
        <v>0</v>
      </c>
      <c r="P988" s="8">
        <f t="shared" ca="1" si="61"/>
        <v>0</v>
      </c>
      <c r="Q988" s="8">
        <f ca="1">CEILING(R987*(IF(N988&lt;=IF($B$2=0,0,OFFSET(Sheet2!$B$1,Sheet1!$B$2-1,0)),$B$1/(365*100),$B$3/(365*100)))*100,1)/100</f>
        <v>271.41000000000003</v>
      </c>
      <c r="R988" s="9">
        <f t="shared" ca="1" si="62"/>
        <v>665130.10324593191</v>
      </c>
    </row>
    <row r="989" spans="1:18" x14ac:dyDescent="0.25">
      <c r="A989">
        <v>6</v>
      </c>
      <c r="B989">
        <v>0</v>
      </c>
      <c r="C989">
        <v>2</v>
      </c>
      <c r="D989">
        <v>26.9</v>
      </c>
      <c r="E989">
        <v>48</v>
      </c>
      <c r="F989">
        <v>3.2936402308668324E-2</v>
      </c>
      <c r="G989" t="str">
        <f t="shared" si="63"/>
        <v>Insert into BlueCreditTypeRainbow Values (6, 0, 2, 26.9, 48, 0.0329364023086683)</v>
      </c>
      <c r="N989" s="4">
        <v>986</v>
      </c>
      <c r="O989" s="8">
        <f>$B$7*COUNTIF(Sheet2!$B$1:$B$132,N989)</f>
        <v>0</v>
      </c>
      <c r="P989" s="8">
        <f t="shared" ca="1" si="61"/>
        <v>0</v>
      </c>
      <c r="Q989" s="8">
        <f ca="1">CEILING(R988*(IF(N989&lt;=IF($B$2=0,0,OFFSET(Sheet2!$B$1,Sheet1!$B$2-1,0)),$B$1/(365*100),$B$3/(365*100)))*100,1)/100</f>
        <v>271.52</v>
      </c>
      <c r="R989" s="9">
        <f t="shared" ca="1" si="62"/>
        <v>665401.62324593193</v>
      </c>
    </row>
    <row r="990" spans="1:18" x14ac:dyDescent="0.25">
      <c r="A990">
        <v>6</v>
      </c>
      <c r="B990">
        <v>0</v>
      </c>
      <c r="C990">
        <v>2</v>
      </c>
      <c r="D990">
        <v>26.9</v>
      </c>
      <c r="E990">
        <v>49</v>
      </c>
      <c r="F990">
        <v>3.2563230632199867E-2</v>
      </c>
      <c r="G990" t="str">
        <f t="shared" si="63"/>
        <v>Insert into BlueCreditTypeRainbow Values (6, 0, 2, 26.9, 49, 0.0325632306321999)</v>
      </c>
      <c r="N990" s="4">
        <v>987</v>
      </c>
      <c r="O990" s="8">
        <f>$B$7*COUNTIF(Sheet2!$B$1:$B$132,N990)</f>
        <v>0</v>
      </c>
      <c r="P990" s="8">
        <f t="shared" ca="1" si="61"/>
        <v>0</v>
      </c>
      <c r="Q990" s="8">
        <f ca="1">CEILING(R989*(IF(N990&lt;=IF($B$2=0,0,OFFSET(Sheet2!$B$1,Sheet1!$B$2-1,0)),$B$1/(365*100),$B$3/(365*100)))*100,1)/100</f>
        <v>271.63</v>
      </c>
      <c r="R990" s="9">
        <f t="shared" ca="1" si="62"/>
        <v>665673.25324593193</v>
      </c>
    </row>
    <row r="991" spans="1:18" x14ac:dyDescent="0.25">
      <c r="A991">
        <v>6</v>
      </c>
      <c r="B991">
        <v>0</v>
      </c>
      <c r="C991">
        <v>2</v>
      </c>
      <c r="D991">
        <v>26.9</v>
      </c>
      <c r="E991">
        <v>50</v>
      </c>
      <c r="F991">
        <v>3.22065682084023E-2</v>
      </c>
      <c r="G991" t="str">
        <f t="shared" si="63"/>
        <v>Insert into BlueCreditTypeRainbow Values (6, 0, 2, 26.9, 50, 0.0322065682084023)</v>
      </c>
      <c r="N991" s="4">
        <v>988</v>
      </c>
      <c r="O991" s="8">
        <f>$B$7*COUNTIF(Sheet2!$B$1:$B$132,N991)</f>
        <v>0</v>
      </c>
      <c r="P991" s="8">
        <f t="shared" ca="1" si="61"/>
        <v>0</v>
      </c>
      <c r="Q991" s="8">
        <f ca="1">CEILING(R990*(IF(N991&lt;=IF($B$2=0,0,OFFSET(Sheet2!$B$1,Sheet1!$B$2-1,0)),$B$1/(365*100),$B$3/(365*100)))*100,1)/100</f>
        <v>271.75</v>
      </c>
      <c r="R991" s="9">
        <f t="shared" ca="1" si="62"/>
        <v>665945.00324593193</v>
      </c>
    </row>
    <row r="992" spans="1:18" x14ac:dyDescent="0.25">
      <c r="A992">
        <v>6</v>
      </c>
      <c r="B992">
        <v>0</v>
      </c>
      <c r="C992">
        <v>2</v>
      </c>
      <c r="D992">
        <v>26.9</v>
      </c>
      <c r="E992">
        <v>51</v>
      </c>
      <c r="F992">
        <v>3.1865173921568651E-2</v>
      </c>
      <c r="G992" t="str">
        <f t="shared" si="63"/>
        <v>Insert into BlueCreditTypeRainbow Values (6, 0, 2, 26.9, 51, 0.0318651739215687)</v>
      </c>
      <c r="N992" s="4">
        <v>989</v>
      </c>
      <c r="O992" s="8">
        <f>$B$7*COUNTIF(Sheet2!$B$1:$B$132,N992)</f>
        <v>0</v>
      </c>
      <c r="P992" s="8">
        <f t="shared" ca="1" si="61"/>
        <v>0</v>
      </c>
      <c r="Q992" s="8">
        <f ca="1">CEILING(R991*(IF(N992&lt;=IF($B$2=0,0,OFFSET(Sheet2!$B$1,Sheet1!$B$2-1,0)),$B$1/(365*100),$B$3/(365*100)))*100,1)/100</f>
        <v>271.86</v>
      </c>
      <c r="R992" s="9">
        <f t="shared" ca="1" si="62"/>
        <v>666216.86324593192</v>
      </c>
    </row>
    <row r="993" spans="1:18" x14ac:dyDescent="0.25">
      <c r="A993">
        <v>6</v>
      </c>
      <c r="B993">
        <v>0</v>
      </c>
      <c r="C993">
        <v>2</v>
      </c>
      <c r="D993">
        <v>26.9</v>
      </c>
      <c r="E993">
        <v>52</v>
      </c>
      <c r="F993">
        <v>3.1538417513937336E-2</v>
      </c>
      <c r="G993" t="str">
        <f t="shared" si="63"/>
        <v>Insert into BlueCreditTypeRainbow Values (6, 0, 2, 26.9, 52, 0.0315384175139373)</v>
      </c>
      <c r="N993" s="4">
        <v>990</v>
      </c>
      <c r="O993" s="8">
        <f>$B$7*COUNTIF(Sheet2!$B$1:$B$132,N993)</f>
        <v>0</v>
      </c>
      <c r="P993" s="8">
        <f t="shared" ca="1" si="61"/>
        <v>0</v>
      </c>
      <c r="Q993" s="8">
        <f ca="1">CEILING(R992*(IF(N993&lt;=IF($B$2=0,0,OFFSET(Sheet2!$B$1,Sheet1!$B$2-1,0)),$B$1/(365*100),$B$3/(365*100)))*100,1)/100</f>
        <v>271.97000000000003</v>
      </c>
      <c r="R993" s="9">
        <f t="shared" ca="1" si="62"/>
        <v>666488.83324593189</v>
      </c>
    </row>
    <row r="994" spans="1:18" x14ac:dyDescent="0.25">
      <c r="A994">
        <v>6</v>
      </c>
      <c r="B994">
        <v>0</v>
      </c>
      <c r="C994">
        <v>2</v>
      </c>
      <c r="D994">
        <v>26.9</v>
      </c>
      <c r="E994">
        <v>53</v>
      </c>
      <c r="F994">
        <v>3.1225222276475572E-2</v>
      </c>
      <c r="G994" t="str">
        <f t="shared" si="63"/>
        <v>Insert into BlueCreditTypeRainbow Values (6, 0, 2, 26.9, 53, 0.0312252222764756)</v>
      </c>
      <c r="N994" s="4">
        <v>991</v>
      </c>
      <c r="O994" s="8">
        <f>$B$7*COUNTIF(Sheet2!$B$1:$B$132,N994)</f>
        <v>0</v>
      </c>
      <c r="P994" s="8">
        <f t="shared" ca="1" si="61"/>
        <v>0</v>
      </c>
      <c r="Q994" s="8">
        <f ca="1">CEILING(R993*(IF(N994&lt;=IF($B$2=0,0,OFFSET(Sheet2!$B$1,Sheet1!$B$2-1,0)),$B$1/(365*100),$B$3/(365*100)))*100,1)/100</f>
        <v>272.08</v>
      </c>
      <c r="R994" s="9">
        <f t="shared" ca="1" si="62"/>
        <v>666760.91324593185</v>
      </c>
    </row>
    <row r="995" spans="1:18" x14ac:dyDescent="0.25">
      <c r="A995">
        <v>6</v>
      </c>
      <c r="B995">
        <v>0</v>
      </c>
      <c r="C995">
        <v>2</v>
      </c>
      <c r="D995">
        <v>26.9</v>
      </c>
      <c r="E995">
        <v>54</v>
      </c>
      <c r="F995">
        <v>3.0924831851851877E-2</v>
      </c>
      <c r="G995" t="str">
        <f t="shared" si="63"/>
        <v>Insert into BlueCreditTypeRainbow Values (6, 0, 2, 26.9, 54, 0.0309248318518519)</v>
      </c>
      <c r="N995" s="4">
        <v>992</v>
      </c>
      <c r="O995" s="8">
        <f>$B$7*COUNTIF(Sheet2!$B$1:$B$132,N995)</f>
        <v>0</v>
      </c>
      <c r="P995" s="8">
        <f t="shared" ca="1" si="61"/>
        <v>0</v>
      </c>
      <c r="Q995" s="8">
        <f ca="1">CEILING(R994*(IF(N995&lt;=IF($B$2=0,0,OFFSET(Sheet2!$B$1,Sheet1!$B$2-1,0)),$B$1/(365*100),$B$3/(365*100)))*100,1)/100</f>
        <v>272.19</v>
      </c>
      <c r="R995" s="9">
        <f t="shared" ca="1" si="62"/>
        <v>667033.10324593179</v>
      </c>
    </row>
    <row r="996" spans="1:18" x14ac:dyDescent="0.25">
      <c r="A996">
        <v>6</v>
      </c>
      <c r="B996">
        <v>0</v>
      </c>
      <c r="C996">
        <v>2</v>
      </c>
      <c r="D996">
        <v>26.9</v>
      </c>
      <c r="E996">
        <v>55</v>
      </c>
      <c r="F996">
        <v>3.0636755274454568E-2</v>
      </c>
      <c r="G996" t="str">
        <f t="shared" si="63"/>
        <v>Insert into BlueCreditTypeRainbow Values (6, 0, 2, 26.9, 55, 0.0306367552744546)</v>
      </c>
      <c r="N996" s="4">
        <v>993</v>
      </c>
      <c r="O996" s="8">
        <f>$B$7*COUNTIF(Sheet2!$B$1:$B$132,N996)</f>
        <v>0</v>
      </c>
      <c r="P996" s="8">
        <f t="shared" ca="1" si="61"/>
        <v>0</v>
      </c>
      <c r="Q996" s="8">
        <f ca="1">CEILING(R995*(IF(N996&lt;=IF($B$2=0,0,OFFSET(Sheet2!$B$1,Sheet1!$B$2-1,0)),$B$1/(365*100),$B$3/(365*100)))*100,1)/100</f>
        <v>272.3</v>
      </c>
      <c r="R996" s="9">
        <f t="shared" ca="1" si="62"/>
        <v>667305.40324593184</v>
      </c>
    </row>
    <row r="997" spans="1:18" x14ac:dyDescent="0.25">
      <c r="A997">
        <v>6</v>
      </c>
      <c r="B997">
        <v>0</v>
      </c>
      <c r="C997">
        <v>2</v>
      </c>
      <c r="D997">
        <v>26.9</v>
      </c>
      <c r="E997">
        <v>56</v>
      </c>
      <c r="F997">
        <v>3.0360126226202523E-2</v>
      </c>
      <c r="G997" t="str">
        <f t="shared" si="63"/>
        <v>Insert into BlueCreditTypeRainbow Values (6, 0, 2, 26.9, 56, 0.0303601262262025)</v>
      </c>
      <c r="N997" s="4">
        <v>994</v>
      </c>
      <c r="O997" s="8">
        <f>$B$7*COUNTIF(Sheet2!$B$1:$B$132,N997)</f>
        <v>0</v>
      </c>
      <c r="P997" s="8">
        <f t="shared" ca="1" si="61"/>
        <v>0</v>
      </c>
      <c r="Q997" s="8">
        <f ca="1">CEILING(R996*(IF(N997&lt;=IF($B$2=0,0,OFFSET(Sheet2!$B$1,Sheet1!$B$2-1,0)),$B$1/(365*100),$B$3/(365*100)))*100,1)/100</f>
        <v>272.41000000000003</v>
      </c>
      <c r="R997" s="9">
        <f t="shared" ca="1" si="62"/>
        <v>667577.81324593187</v>
      </c>
    </row>
    <row r="998" spans="1:18" x14ac:dyDescent="0.25">
      <c r="A998">
        <v>6</v>
      </c>
      <c r="B998">
        <v>0</v>
      </c>
      <c r="C998">
        <v>2</v>
      </c>
      <c r="D998">
        <v>26.9</v>
      </c>
      <c r="E998">
        <v>57</v>
      </c>
      <c r="F998">
        <v>3.0094524035087736E-2</v>
      </c>
      <c r="G998" t="str">
        <f t="shared" si="63"/>
        <v>Insert into BlueCreditTypeRainbow Values (6, 0, 2, 26.9, 57, 0.0300945240350877)</v>
      </c>
      <c r="N998" s="4">
        <v>995</v>
      </c>
      <c r="O998" s="8">
        <f>$B$7*COUNTIF(Sheet2!$B$1:$B$132,N998)</f>
        <v>0</v>
      </c>
      <c r="P998" s="8">
        <f t="shared" ca="1" si="61"/>
        <v>0</v>
      </c>
      <c r="Q998" s="8">
        <f ca="1">CEILING(R997*(IF(N998&lt;=IF($B$2=0,0,OFFSET(Sheet2!$B$1,Sheet1!$B$2-1,0)),$B$1/(365*100),$B$3/(365*100)))*100,1)/100</f>
        <v>272.52</v>
      </c>
      <c r="R998" s="9">
        <f t="shared" ca="1" si="62"/>
        <v>667850.33324593189</v>
      </c>
    </row>
    <row r="999" spans="1:18" x14ac:dyDescent="0.25">
      <c r="A999">
        <v>6</v>
      </c>
      <c r="B999">
        <v>0</v>
      </c>
      <c r="C999">
        <v>2</v>
      </c>
      <c r="D999">
        <v>26.9</v>
      </c>
      <c r="E999">
        <v>58</v>
      </c>
      <c r="F999">
        <v>2.9839187079450578E-2</v>
      </c>
      <c r="G999" t="str">
        <f t="shared" si="63"/>
        <v>Insert into BlueCreditTypeRainbow Values (6, 0, 2, 26.9, 58, 0.0298391870794506)</v>
      </c>
      <c r="N999" s="4">
        <v>996</v>
      </c>
      <c r="O999" s="8">
        <f>$B$7*COUNTIF(Sheet2!$B$1:$B$132,N999)</f>
        <v>0</v>
      </c>
      <c r="P999" s="8">
        <f t="shared" ca="1" si="61"/>
        <v>0</v>
      </c>
      <c r="Q999" s="8">
        <f ca="1">CEILING(R998*(IF(N999&lt;=IF($B$2=0,0,OFFSET(Sheet2!$B$1,Sheet1!$B$2-1,0)),$B$1/(365*100),$B$3/(365*100)))*100,1)/100</f>
        <v>272.63</v>
      </c>
      <c r="R999" s="9">
        <f t="shared" ca="1" si="62"/>
        <v>668122.9632459319</v>
      </c>
    </row>
    <row r="1000" spans="1:18" x14ac:dyDescent="0.25">
      <c r="A1000">
        <v>6</v>
      </c>
      <c r="B1000">
        <v>0</v>
      </c>
      <c r="C1000">
        <v>2</v>
      </c>
      <c r="D1000">
        <v>26.9</v>
      </c>
      <c r="E1000">
        <v>59</v>
      </c>
      <c r="F1000">
        <v>2.9593770681101295E-2</v>
      </c>
      <c r="G1000" t="str">
        <f t="shared" si="63"/>
        <v>Insert into BlueCreditTypeRainbow Values (6, 0, 2, 26.9, 59, 0.0295937706811013)</v>
      </c>
      <c r="N1000" s="4">
        <v>997</v>
      </c>
      <c r="O1000" s="8">
        <f>$B$7*COUNTIF(Sheet2!$B$1:$B$132,N1000)</f>
        <v>0</v>
      </c>
      <c r="P1000" s="8">
        <f t="shared" ca="1" si="61"/>
        <v>0</v>
      </c>
      <c r="Q1000" s="8">
        <f ca="1">CEILING(R999*(IF(N1000&lt;=IF($B$2=0,0,OFFSET(Sheet2!$B$1,Sheet1!$B$2-1,0)),$B$1/(365*100),$B$3/(365*100)))*100,1)/100</f>
        <v>272.75</v>
      </c>
      <c r="R1000" s="9">
        <f t="shared" ca="1" si="62"/>
        <v>668395.7132459319</v>
      </c>
    </row>
    <row r="1001" spans="1:18" x14ac:dyDescent="0.25">
      <c r="A1001">
        <v>6</v>
      </c>
      <c r="B1001">
        <v>0</v>
      </c>
      <c r="C1001">
        <v>2</v>
      </c>
      <c r="D1001">
        <v>26.9</v>
      </c>
      <c r="E1001">
        <v>60</v>
      </c>
      <c r="F1001">
        <v>2.9357590344265237E-2</v>
      </c>
      <c r="G1001" t="str">
        <f t="shared" si="63"/>
        <v>Insert into BlueCreditTypeRainbow Values (6, 0, 2, 26.9, 60, 0.0293575903442652)</v>
      </c>
      <c r="N1001" s="4">
        <v>998</v>
      </c>
      <c r="O1001" s="8">
        <f>$B$7*COUNTIF(Sheet2!$B$1:$B$132,N1001)</f>
        <v>0</v>
      </c>
      <c r="P1001" s="8">
        <f t="shared" ca="1" si="61"/>
        <v>0</v>
      </c>
      <c r="Q1001" s="8">
        <f ca="1">CEILING(R1000*(IF(N1001&lt;=IF($B$2=0,0,OFFSET(Sheet2!$B$1,Sheet1!$B$2-1,0)),$B$1/(365*100),$B$3/(365*100)))*100,1)/100</f>
        <v>272.86</v>
      </c>
      <c r="R1001" s="9">
        <f t="shared" ca="1" si="62"/>
        <v>668668.57324593188</v>
      </c>
    </row>
    <row r="1002" spans="1:18" x14ac:dyDescent="0.25">
      <c r="A1002">
        <v>6</v>
      </c>
      <c r="B1002">
        <v>0</v>
      </c>
      <c r="C1002">
        <v>1</v>
      </c>
      <c r="D1002">
        <v>26.9</v>
      </c>
      <c r="E1002">
        <v>48</v>
      </c>
      <c r="F1002">
        <v>3.3647686259132836E-2</v>
      </c>
      <c r="G1002" t="str">
        <f t="shared" si="63"/>
        <v>Insert into BlueCreditTypeRainbow Values (6, 0, 1, 26.9, 48, 0.0336476862591328)</v>
      </c>
      <c r="N1002" s="4">
        <v>999</v>
      </c>
      <c r="O1002" s="8">
        <f>$B$7*COUNTIF(Sheet2!$B$1:$B$132,N1002)</f>
        <v>0</v>
      </c>
      <c r="P1002" s="8">
        <f t="shared" ca="1" si="61"/>
        <v>0</v>
      </c>
      <c r="Q1002" s="8">
        <f ca="1">CEILING(R1001*(IF(N1002&lt;=IF($B$2=0,0,OFFSET(Sheet2!$B$1,Sheet1!$B$2-1,0)),$B$1/(365*100),$B$3/(365*100)))*100,1)/100</f>
        <v>272.97000000000003</v>
      </c>
      <c r="R1002" s="9">
        <f t="shared" ca="1" si="62"/>
        <v>668941.54324593185</v>
      </c>
    </row>
    <row r="1003" spans="1:18" x14ac:dyDescent="0.25">
      <c r="A1003">
        <v>6</v>
      </c>
      <c r="B1003">
        <v>0</v>
      </c>
      <c r="C1003">
        <v>1</v>
      </c>
      <c r="D1003">
        <v>26.9</v>
      </c>
      <c r="E1003">
        <v>49</v>
      </c>
      <c r="F1003">
        <v>3.3266731240239739E-2</v>
      </c>
      <c r="G1003" t="str">
        <f t="shared" si="63"/>
        <v>Insert into BlueCreditTypeRainbow Values (6, 0, 1, 26.9, 49, 0.0332667312402397)</v>
      </c>
      <c r="N1003" s="4">
        <v>1000</v>
      </c>
      <c r="O1003" s="8">
        <f>$B$7*COUNTIF(Sheet2!$B$1:$B$132,N1003)</f>
        <v>0</v>
      </c>
      <c r="P1003" s="8">
        <f t="shared" ca="1" si="61"/>
        <v>0</v>
      </c>
      <c r="Q1003" s="8">
        <f ca="1">CEILING(R1002*(IF(N1003&lt;=IF($B$2=0,0,OFFSET(Sheet2!$B$1,Sheet1!$B$2-1,0)),$B$1/(365*100),$B$3/(365*100)))*100,1)/100</f>
        <v>273.08</v>
      </c>
      <c r="R1003" s="9">
        <f t="shared" ca="1" si="62"/>
        <v>669214.62324593181</v>
      </c>
    </row>
    <row r="1004" spans="1:18" x14ac:dyDescent="0.25">
      <c r="A1004">
        <v>6</v>
      </c>
      <c r="B1004">
        <v>0</v>
      </c>
      <c r="C1004">
        <v>1</v>
      </c>
      <c r="D1004">
        <v>26.9</v>
      </c>
      <c r="E1004">
        <v>50</v>
      </c>
      <c r="F1004">
        <v>3.2902623665605847E-2</v>
      </c>
      <c r="G1004" t="str">
        <f t="shared" si="63"/>
        <v>Insert into BlueCreditTypeRainbow Values (6, 0, 1, 26.9, 50, 0.0329026236656058)</v>
      </c>
      <c r="N1004" s="4">
        <v>1001</v>
      </c>
      <c r="O1004" s="8">
        <f>$B$7*COUNTIF(Sheet2!$B$1:$B$132,N1004)</f>
        <v>0</v>
      </c>
      <c r="P1004" s="8">
        <f t="shared" ca="1" si="61"/>
        <v>0</v>
      </c>
      <c r="Q1004" s="8">
        <f ca="1">CEILING(R1003*(IF(N1004&lt;=IF($B$2=0,0,OFFSET(Sheet2!$B$1,Sheet1!$B$2-1,0)),$B$1/(365*100),$B$3/(365*100)))*100,1)/100</f>
        <v>273.19</v>
      </c>
      <c r="R1004" s="9">
        <f t="shared" ca="1" si="62"/>
        <v>669487.81324593176</v>
      </c>
    </row>
    <row r="1005" spans="1:18" x14ac:dyDescent="0.25">
      <c r="A1005">
        <v>6</v>
      </c>
      <c r="B1005">
        <v>0</v>
      </c>
      <c r="C1005">
        <v>1</v>
      </c>
      <c r="D1005">
        <v>26.9</v>
      </c>
      <c r="E1005">
        <v>51</v>
      </c>
      <c r="F1005">
        <v>3.2554101978009425E-2</v>
      </c>
      <c r="G1005" t="str">
        <f t="shared" si="63"/>
        <v>Insert into BlueCreditTypeRainbow Values (6, 0, 1, 26.9, 51, 0.0325541019780094)</v>
      </c>
      <c r="N1005" s="4">
        <v>1002</v>
      </c>
      <c r="O1005" s="8">
        <f>$B$7*COUNTIF(Sheet2!$B$1:$B$132,N1005)</f>
        <v>0</v>
      </c>
      <c r="P1005" s="8">
        <f t="shared" ca="1" si="61"/>
        <v>0</v>
      </c>
      <c r="Q1005" s="8">
        <f ca="1">CEILING(R1004*(IF(N1005&lt;=IF($B$2=0,0,OFFSET(Sheet2!$B$1,Sheet1!$B$2-1,0)),$B$1/(365*100),$B$3/(365*100)))*100,1)/100</f>
        <v>273.3</v>
      </c>
      <c r="R1005" s="9">
        <f t="shared" ca="1" si="62"/>
        <v>669761.1132459318</v>
      </c>
    </row>
    <row r="1006" spans="1:18" x14ac:dyDescent="0.25">
      <c r="A1006">
        <v>6</v>
      </c>
      <c r="B1006">
        <v>0</v>
      </c>
      <c r="C1006">
        <v>1</v>
      </c>
      <c r="D1006">
        <v>26.9</v>
      </c>
      <c r="E1006">
        <v>52</v>
      </c>
      <c r="F1006">
        <v>3.2220517516636758E-2</v>
      </c>
      <c r="G1006" t="str">
        <f t="shared" si="63"/>
        <v>Insert into BlueCreditTypeRainbow Values (6, 0, 1, 26.9, 52, 0.0322205175166368)</v>
      </c>
      <c r="N1006" s="4">
        <v>1003</v>
      </c>
      <c r="O1006" s="8">
        <f>$B$7*COUNTIF(Sheet2!$B$1:$B$132,N1006)</f>
        <v>0</v>
      </c>
      <c r="P1006" s="8">
        <f t="shared" ca="1" si="61"/>
        <v>0</v>
      </c>
      <c r="Q1006" s="8">
        <f ca="1">CEILING(R1005*(IF(N1006&lt;=IF($B$2=0,0,OFFSET(Sheet2!$B$1,Sheet1!$B$2-1,0)),$B$1/(365*100),$B$3/(365*100)))*100,1)/100</f>
        <v>273.41000000000003</v>
      </c>
      <c r="R1006" s="9">
        <f t="shared" ca="1" si="62"/>
        <v>670034.52324593184</v>
      </c>
    </row>
    <row r="1007" spans="1:18" x14ac:dyDescent="0.25">
      <c r="A1007">
        <v>6</v>
      </c>
      <c r="B1007">
        <v>0</v>
      </c>
      <c r="C1007">
        <v>1</v>
      </c>
      <c r="D1007">
        <v>26.9</v>
      </c>
      <c r="E1007">
        <v>53</v>
      </c>
      <c r="F1007">
        <v>3.1900769452632538E-2</v>
      </c>
      <c r="G1007" t="str">
        <f t="shared" si="63"/>
        <v>Insert into BlueCreditTypeRainbow Values (6, 0, 1, 26.9, 53, 0.0319007694526325)</v>
      </c>
      <c r="N1007" s="4">
        <v>1004</v>
      </c>
      <c r="O1007" s="8">
        <f>$B$7*COUNTIF(Sheet2!$B$1:$B$132,N1007)</f>
        <v>0</v>
      </c>
      <c r="P1007" s="8">
        <f t="shared" ca="1" si="61"/>
        <v>0</v>
      </c>
      <c r="Q1007" s="8">
        <f ca="1">CEILING(R1006*(IF(N1007&lt;=IF($B$2=0,0,OFFSET(Sheet2!$B$1,Sheet1!$B$2-1,0)),$B$1/(365*100),$B$3/(365*100)))*100,1)/100</f>
        <v>273.52999999999997</v>
      </c>
      <c r="R1007" s="9">
        <f t="shared" ca="1" si="62"/>
        <v>670308.05324593186</v>
      </c>
    </row>
    <row r="1008" spans="1:18" x14ac:dyDescent="0.25">
      <c r="A1008">
        <v>6</v>
      </c>
      <c r="B1008">
        <v>0</v>
      </c>
      <c r="C1008">
        <v>1</v>
      </c>
      <c r="D1008">
        <v>26.9</v>
      </c>
      <c r="E1008">
        <v>54</v>
      </c>
      <c r="F1008">
        <v>3.1594091483230183E-2</v>
      </c>
      <c r="G1008" t="str">
        <f t="shared" si="63"/>
        <v>Insert into BlueCreditTypeRainbow Values (6, 0, 1, 26.9, 54, 0.0315940914832302)</v>
      </c>
      <c r="N1008" s="4">
        <v>1005</v>
      </c>
      <c r="O1008" s="8">
        <f>$B$7*COUNTIF(Sheet2!$B$1:$B$132,N1008)</f>
        <v>0</v>
      </c>
      <c r="P1008" s="8">
        <f t="shared" ca="1" si="61"/>
        <v>0</v>
      </c>
      <c r="Q1008" s="8">
        <f ca="1">CEILING(R1007*(IF(N1008&lt;=IF($B$2=0,0,OFFSET(Sheet2!$B$1,Sheet1!$B$2-1,0)),$B$1/(365*100),$B$3/(365*100)))*100,1)/100</f>
        <v>273.64</v>
      </c>
      <c r="R1008" s="9">
        <f t="shared" ca="1" si="62"/>
        <v>670581.69324593188</v>
      </c>
    </row>
    <row r="1009" spans="1:18" x14ac:dyDescent="0.25">
      <c r="A1009">
        <v>6</v>
      </c>
      <c r="B1009">
        <v>0</v>
      </c>
      <c r="C1009">
        <v>1</v>
      </c>
      <c r="D1009">
        <v>26.9</v>
      </c>
      <c r="E1009">
        <v>55</v>
      </c>
      <c r="F1009">
        <v>3.1299986190221792E-2</v>
      </c>
      <c r="G1009" t="str">
        <f t="shared" si="63"/>
        <v>Insert into BlueCreditTypeRainbow Values (6, 0, 1, 26.9, 55, 0.0312999861902218)</v>
      </c>
      <c r="N1009" s="4">
        <v>1006</v>
      </c>
      <c r="O1009" s="8">
        <f>$B$7*COUNTIF(Sheet2!$B$1:$B$132,N1009)</f>
        <v>21157.10552356458</v>
      </c>
      <c r="P1009" s="8">
        <f t="shared" ca="1" si="61"/>
        <v>20883.35552356458</v>
      </c>
      <c r="Q1009" s="8">
        <f ca="1">CEILING(R1008*(IF(N1009&lt;=IF($B$2=0,0,OFFSET(Sheet2!$B$1,Sheet1!$B$2-1,0)),$B$1/(365*100),$B$3/(365*100)))*100,1)/100</f>
        <v>273.75</v>
      </c>
      <c r="R1009" s="9">
        <f t="shared" ca="1" si="62"/>
        <v>649698.33772236726</v>
      </c>
    </row>
    <row r="1010" spans="1:18" x14ac:dyDescent="0.25">
      <c r="A1010">
        <v>6</v>
      </c>
      <c r="B1010">
        <v>0</v>
      </c>
      <c r="C1010">
        <v>1</v>
      </c>
      <c r="D1010">
        <v>26.9</v>
      </c>
      <c r="E1010">
        <v>56</v>
      </c>
      <c r="F1010">
        <v>3.1017551618712814E-2</v>
      </c>
      <c r="G1010" t="str">
        <f t="shared" si="63"/>
        <v>Insert into BlueCreditTypeRainbow Values (6, 0, 1, 26.9, 56, 0.0310175516187128)</v>
      </c>
      <c r="N1010" s="4">
        <v>1007</v>
      </c>
      <c r="O1010" s="8">
        <f>$B$7*COUNTIF(Sheet2!$B$1:$B$132,N1010)</f>
        <v>0</v>
      </c>
      <c r="P1010" s="8">
        <f t="shared" ca="1" si="61"/>
        <v>0</v>
      </c>
      <c r="Q1010" s="8">
        <f ca="1">CEILING(R1009*(IF(N1010&lt;=IF($B$2=0,0,OFFSET(Sheet2!$B$1,Sheet1!$B$2-1,0)),$B$1/(365*100),$B$3/(365*100)))*100,1)/100</f>
        <v>265.22000000000003</v>
      </c>
      <c r="R1010" s="9">
        <f t="shared" ca="1" si="62"/>
        <v>649963.55772236723</v>
      </c>
    </row>
    <row r="1011" spans="1:18" x14ac:dyDescent="0.25">
      <c r="A1011">
        <v>6</v>
      </c>
      <c r="B1011">
        <v>0</v>
      </c>
      <c r="C1011">
        <v>1</v>
      </c>
      <c r="D1011">
        <v>26.9</v>
      </c>
      <c r="E1011">
        <v>57</v>
      </c>
      <c r="F1011">
        <v>3.0746381635378586E-2</v>
      </c>
      <c r="G1011" t="str">
        <f t="shared" si="63"/>
        <v>Insert into BlueCreditTypeRainbow Values (6, 0, 1, 26.9, 57, 0.0307463816353786)</v>
      </c>
      <c r="N1011" s="4">
        <v>1008</v>
      </c>
      <c r="O1011" s="8">
        <f>$B$7*COUNTIF(Sheet2!$B$1:$B$132,N1011)</f>
        <v>0</v>
      </c>
      <c r="P1011" s="8">
        <f t="shared" ca="1" si="61"/>
        <v>0</v>
      </c>
      <c r="Q1011" s="8">
        <f ca="1">CEILING(R1010*(IF(N1011&lt;=IF($B$2=0,0,OFFSET(Sheet2!$B$1,Sheet1!$B$2-1,0)),$B$1/(365*100),$B$3/(365*100)))*100,1)/100</f>
        <v>265.33</v>
      </c>
      <c r="R1011" s="9">
        <f t="shared" ca="1" si="62"/>
        <v>650228.88772236719</v>
      </c>
    </row>
    <row r="1012" spans="1:18" x14ac:dyDescent="0.25">
      <c r="A1012">
        <v>6</v>
      </c>
      <c r="B1012">
        <v>0</v>
      </c>
      <c r="C1012">
        <v>1</v>
      </c>
      <c r="D1012">
        <v>26.9</v>
      </c>
      <c r="E1012">
        <v>58</v>
      </c>
      <c r="F1012">
        <v>3.0485692933999369E-2</v>
      </c>
      <c r="G1012" t="str">
        <f t="shared" si="63"/>
        <v>Insert into BlueCreditTypeRainbow Values (6, 0, 1, 26.9, 58, 0.0304856929339994)</v>
      </c>
      <c r="N1012" s="4">
        <v>1009</v>
      </c>
      <c r="O1012" s="8">
        <f>$B$7*COUNTIF(Sheet2!$B$1:$B$132,N1012)</f>
        <v>0</v>
      </c>
      <c r="P1012" s="8">
        <f t="shared" ca="1" si="61"/>
        <v>0</v>
      </c>
      <c r="Q1012" s="8">
        <f ca="1">CEILING(R1011*(IF(N1012&lt;=IF($B$2=0,0,OFFSET(Sheet2!$B$1,Sheet1!$B$2-1,0)),$B$1/(365*100),$B$3/(365*100)))*100,1)/100</f>
        <v>265.44</v>
      </c>
      <c r="R1012" s="9">
        <f t="shared" ca="1" si="62"/>
        <v>650494.32772236713</v>
      </c>
    </row>
    <row r="1013" spans="1:18" x14ac:dyDescent="0.25">
      <c r="A1013">
        <v>6</v>
      </c>
      <c r="B1013">
        <v>0</v>
      </c>
      <c r="C1013">
        <v>1</v>
      </c>
      <c r="D1013">
        <v>26.9</v>
      </c>
      <c r="E1013">
        <v>59</v>
      </c>
      <c r="F1013">
        <v>3.0235121609810962E-2</v>
      </c>
      <c r="G1013" t="str">
        <f t="shared" si="63"/>
        <v>Insert into BlueCreditTypeRainbow Values (6, 0, 1, 26.9, 59, 0.030235121609811)</v>
      </c>
      <c r="N1013" s="4">
        <v>1010</v>
      </c>
      <c r="O1013" s="8">
        <f>$B$7*COUNTIF(Sheet2!$B$1:$B$132,N1013)</f>
        <v>0</v>
      </c>
      <c r="P1013" s="8">
        <f t="shared" ca="1" si="61"/>
        <v>0</v>
      </c>
      <c r="Q1013" s="8">
        <f ca="1">CEILING(R1012*(IF(N1013&lt;=IF($B$2=0,0,OFFSET(Sheet2!$B$1,Sheet1!$B$2-1,0)),$B$1/(365*100),$B$3/(365*100)))*100,1)/100</f>
        <v>265.55</v>
      </c>
      <c r="R1013" s="9">
        <f t="shared" ca="1" si="62"/>
        <v>650759.87772236718</v>
      </c>
    </row>
    <row r="1014" spans="1:18" x14ac:dyDescent="0.25">
      <c r="A1014">
        <v>6</v>
      </c>
      <c r="B1014">
        <v>0</v>
      </c>
      <c r="C1014">
        <v>1</v>
      </c>
      <c r="D1014">
        <v>26.9</v>
      </c>
      <c r="E1014">
        <v>60</v>
      </c>
      <c r="F1014">
        <v>2.999398010981455E-2</v>
      </c>
      <c r="G1014" t="str">
        <f t="shared" si="63"/>
        <v>Insert into BlueCreditTypeRainbow Values (6, 0, 1, 26.9, 60, 0.0299939801098145)</v>
      </c>
      <c r="N1014" s="4">
        <v>1011</v>
      </c>
      <c r="O1014" s="8">
        <f>$B$7*COUNTIF(Sheet2!$B$1:$B$132,N1014)</f>
        <v>0</v>
      </c>
      <c r="P1014" s="8">
        <f t="shared" ca="1" si="61"/>
        <v>0</v>
      </c>
      <c r="Q1014" s="8">
        <f ca="1">CEILING(R1013*(IF(N1014&lt;=IF($B$2=0,0,OFFSET(Sheet2!$B$1,Sheet1!$B$2-1,0)),$B$1/(365*100),$B$3/(365*100)))*100,1)/100</f>
        <v>265.66000000000003</v>
      </c>
      <c r="R1014" s="9">
        <f t="shared" ca="1" si="62"/>
        <v>651025.53772236721</v>
      </c>
    </row>
    <row r="1015" spans="1:18" x14ac:dyDescent="0.25">
      <c r="A1015">
        <v>6</v>
      </c>
      <c r="B1015">
        <v>0</v>
      </c>
      <c r="C1015">
        <v>0</v>
      </c>
      <c r="D1015">
        <v>26.9</v>
      </c>
      <c r="E1015">
        <v>48</v>
      </c>
      <c r="F1015">
        <v>3.4424976062856195E-2</v>
      </c>
      <c r="G1015" t="str">
        <f t="shared" si="63"/>
        <v>Insert into BlueCreditTypeRainbow Values (6, 0, 0, 26.9, 48, 0.0344249760628562)</v>
      </c>
      <c r="N1015" s="4">
        <v>1012</v>
      </c>
      <c r="O1015" s="8">
        <f>$B$7*COUNTIF(Sheet2!$B$1:$B$132,N1015)</f>
        <v>0</v>
      </c>
      <c r="P1015" s="8">
        <f t="shared" ca="1" si="61"/>
        <v>0</v>
      </c>
      <c r="Q1015" s="8">
        <f ca="1">CEILING(R1014*(IF(N1015&lt;=IF($B$2=0,0,OFFSET(Sheet2!$B$1,Sheet1!$B$2-1,0)),$B$1/(365*100),$B$3/(365*100)))*100,1)/100</f>
        <v>265.77</v>
      </c>
      <c r="R1015" s="9">
        <f t="shared" ca="1" si="62"/>
        <v>651291.30772236723</v>
      </c>
    </row>
    <row r="1016" spans="1:18" x14ac:dyDescent="0.25">
      <c r="A1016">
        <v>6</v>
      </c>
      <c r="B1016">
        <v>0</v>
      </c>
      <c r="C1016">
        <v>0</v>
      </c>
      <c r="D1016">
        <v>26.9</v>
      </c>
      <c r="E1016">
        <v>49</v>
      </c>
      <c r="F1016">
        <v>3.4035225110839E-2</v>
      </c>
      <c r="G1016" t="str">
        <f t="shared" si="63"/>
        <v>Insert into BlueCreditTypeRainbow Values (6, 0, 0, 26.9, 49, 0.034035225110839)</v>
      </c>
      <c r="N1016" s="4">
        <v>1013</v>
      </c>
      <c r="O1016" s="8">
        <f>$B$7*COUNTIF(Sheet2!$B$1:$B$132,N1016)</f>
        <v>0</v>
      </c>
      <c r="P1016" s="8">
        <f t="shared" ca="1" si="61"/>
        <v>0</v>
      </c>
      <c r="Q1016" s="8">
        <f ca="1">CEILING(R1015*(IF(N1016&lt;=IF($B$2=0,0,OFFSET(Sheet2!$B$1,Sheet1!$B$2-1,0)),$B$1/(365*100),$B$3/(365*100)))*100,1)/100</f>
        <v>265.87</v>
      </c>
      <c r="R1016" s="9">
        <f t="shared" ca="1" si="62"/>
        <v>651557.17772236723</v>
      </c>
    </row>
    <row r="1017" spans="1:18" x14ac:dyDescent="0.25">
      <c r="A1017">
        <v>6</v>
      </c>
      <c r="B1017">
        <v>0</v>
      </c>
      <c r="C1017">
        <v>0</v>
      </c>
      <c r="D1017">
        <v>26.9</v>
      </c>
      <c r="E1017">
        <v>50</v>
      </c>
      <c r="F1017">
        <v>3.3662706336113464E-2</v>
      </c>
      <c r="G1017" t="str">
        <f t="shared" si="63"/>
        <v>Insert into BlueCreditTypeRainbow Values (6, 0, 0, 26.9, 50, 0.0336627063361135)</v>
      </c>
      <c r="N1017" s="4">
        <v>1014</v>
      </c>
      <c r="O1017" s="8">
        <f>$B$7*COUNTIF(Sheet2!$B$1:$B$132,N1017)</f>
        <v>0</v>
      </c>
      <c r="P1017" s="8">
        <f t="shared" ca="1" si="61"/>
        <v>0</v>
      </c>
      <c r="Q1017" s="8">
        <f ca="1">CEILING(R1016*(IF(N1017&lt;=IF($B$2=0,0,OFFSET(Sheet2!$B$1,Sheet1!$B$2-1,0)),$B$1/(365*100),$B$3/(365*100)))*100,1)/100</f>
        <v>265.98</v>
      </c>
      <c r="R1017" s="9">
        <f t="shared" ca="1" si="62"/>
        <v>651823.15772236721</v>
      </c>
    </row>
    <row r="1018" spans="1:18" x14ac:dyDescent="0.25">
      <c r="A1018">
        <v>6</v>
      </c>
      <c r="B1018">
        <v>0</v>
      </c>
      <c r="C1018">
        <v>0</v>
      </c>
      <c r="D1018">
        <v>26.9</v>
      </c>
      <c r="E1018">
        <v>51</v>
      </c>
      <c r="F1018">
        <v>3.3306134132705882E-2</v>
      </c>
      <c r="G1018" t="str">
        <f t="shared" si="63"/>
        <v>Insert into BlueCreditTypeRainbow Values (6, 0, 0, 26.9, 51, 0.0333061341327059)</v>
      </c>
      <c r="N1018" s="4">
        <v>1015</v>
      </c>
      <c r="O1018" s="8">
        <f>$B$7*COUNTIF(Sheet2!$B$1:$B$132,N1018)</f>
        <v>0</v>
      </c>
      <c r="P1018" s="8">
        <f t="shared" ca="1" si="61"/>
        <v>0</v>
      </c>
      <c r="Q1018" s="8">
        <f ca="1">CEILING(R1017*(IF(N1018&lt;=IF($B$2=0,0,OFFSET(Sheet2!$B$1,Sheet1!$B$2-1,0)),$B$1/(365*100),$B$3/(365*100)))*100,1)/100</f>
        <v>266.08999999999997</v>
      </c>
      <c r="R1018" s="9">
        <f t="shared" ca="1" si="62"/>
        <v>652089.24772236717</v>
      </c>
    </row>
    <row r="1019" spans="1:18" x14ac:dyDescent="0.25">
      <c r="A1019">
        <v>6</v>
      </c>
      <c r="B1019">
        <v>0</v>
      </c>
      <c r="C1019">
        <v>0</v>
      </c>
      <c r="D1019">
        <v>26.9</v>
      </c>
      <c r="E1019">
        <v>52</v>
      </c>
      <c r="F1019">
        <v>3.2964846222635291E-2</v>
      </c>
      <c r="G1019" t="str">
        <f t="shared" si="63"/>
        <v>Insert into BlueCreditTypeRainbow Values (6, 0, 0, 26.9, 52, 0.0329648462226353)</v>
      </c>
      <c r="N1019" s="4">
        <v>1016</v>
      </c>
      <c r="O1019" s="8">
        <f>$B$7*COUNTIF(Sheet2!$B$1:$B$132,N1019)</f>
        <v>0</v>
      </c>
      <c r="P1019" s="8">
        <f t="shared" ca="1" si="61"/>
        <v>0</v>
      </c>
      <c r="Q1019" s="8">
        <f ca="1">CEILING(R1018*(IF(N1019&lt;=IF($B$2=0,0,OFFSET(Sheet2!$B$1,Sheet1!$B$2-1,0)),$B$1/(365*100),$B$3/(365*100)))*100,1)/100</f>
        <v>266.2</v>
      </c>
      <c r="R1019" s="9">
        <f t="shared" ca="1" si="62"/>
        <v>652355.44772236713</v>
      </c>
    </row>
    <row r="1020" spans="1:18" x14ac:dyDescent="0.25">
      <c r="A1020">
        <v>6</v>
      </c>
      <c r="B1020">
        <v>0</v>
      </c>
      <c r="C1020">
        <v>0</v>
      </c>
      <c r="D1020">
        <v>26.9</v>
      </c>
      <c r="E1020">
        <v>53</v>
      </c>
      <c r="F1020">
        <v>3.2637706122948612E-2</v>
      </c>
      <c r="G1020" t="str">
        <f t="shared" si="63"/>
        <v>Insert into BlueCreditTypeRainbow Values (6, 0, 0, 26.9, 53, 0.0326377061229486)</v>
      </c>
      <c r="N1020" s="4">
        <v>1017</v>
      </c>
      <c r="O1020" s="8">
        <f>$B$7*COUNTIF(Sheet2!$B$1:$B$132,N1020)</f>
        <v>0</v>
      </c>
      <c r="P1020" s="8">
        <f t="shared" ca="1" si="61"/>
        <v>0</v>
      </c>
      <c r="Q1020" s="8">
        <f ca="1">CEILING(R1019*(IF(N1020&lt;=IF($B$2=0,0,OFFSET(Sheet2!$B$1,Sheet1!$B$2-1,0)),$B$1/(365*100),$B$3/(365*100)))*100,1)/100</f>
        <v>266.31</v>
      </c>
      <c r="R1020" s="9">
        <f t="shared" ca="1" si="62"/>
        <v>652621.75772236718</v>
      </c>
    </row>
    <row r="1021" spans="1:18" x14ac:dyDescent="0.25">
      <c r="A1021">
        <v>6</v>
      </c>
      <c r="B1021">
        <v>0</v>
      </c>
      <c r="C1021">
        <v>0</v>
      </c>
      <c r="D1021">
        <v>26.9</v>
      </c>
      <c r="E1021">
        <v>54</v>
      </c>
      <c r="F1021">
        <v>3.2323946582029889E-2</v>
      </c>
      <c r="G1021" t="str">
        <f t="shared" si="63"/>
        <v>Insert into BlueCreditTypeRainbow Values (6, 0, 0, 26.9, 54, 0.0323239465820299)</v>
      </c>
      <c r="N1021" s="4">
        <v>1018</v>
      </c>
      <c r="O1021" s="8">
        <f>$B$7*COUNTIF(Sheet2!$B$1:$B$132,N1021)</f>
        <v>0</v>
      </c>
      <c r="P1021" s="8">
        <f t="shared" ca="1" si="61"/>
        <v>0</v>
      </c>
      <c r="Q1021" s="8">
        <f ca="1">CEILING(R1020*(IF(N1021&lt;=IF($B$2=0,0,OFFSET(Sheet2!$B$1,Sheet1!$B$2-1,0)),$B$1/(365*100),$B$3/(365*100)))*100,1)/100</f>
        <v>266.42</v>
      </c>
      <c r="R1021" s="9">
        <f t="shared" ca="1" si="62"/>
        <v>652888.17772236723</v>
      </c>
    </row>
    <row r="1022" spans="1:18" x14ac:dyDescent="0.25">
      <c r="A1022">
        <v>6</v>
      </c>
      <c r="B1022">
        <v>0</v>
      </c>
      <c r="C1022">
        <v>0</v>
      </c>
      <c r="D1022">
        <v>26.9</v>
      </c>
      <c r="E1022">
        <v>55</v>
      </c>
      <c r="F1022">
        <v>3.2023044945786852E-2</v>
      </c>
      <c r="G1022" t="str">
        <f t="shared" si="63"/>
        <v>Insert into BlueCreditTypeRainbow Values (6, 0, 0, 26.9, 55, 0.0320230449457869)</v>
      </c>
      <c r="N1022" s="4">
        <v>1019</v>
      </c>
      <c r="O1022" s="8">
        <f>$B$7*COUNTIF(Sheet2!$B$1:$B$132,N1022)</f>
        <v>0</v>
      </c>
      <c r="P1022" s="8">
        <f t="shared" ca="1" si="61"/>
        <v>0</v>
      </c>
      <c r="Q1022" s="8">
        <f ca="1">CEILING(R1021*(IF(N1022&lt;=IF($B$2=0,0,OFFSET(Sheet2!$B$1,Sheet1!$B$2-1,0)),$B$1/(365*100),$B$3/(365*100)))*100,1)/100</f>
        <v>266.52999999999997</v>
      </c>
      <c r="R1022" s="9">
        <f t="shared" ca="1" si="62"/>
        <v>653154.70772236725</v>
      </c>
    </row>
    <row r="1023" spans="1:18" x14ac:dyDescent="0.25">
      <c r="A1023">
        <v>6</v>
      </c>
      <c r="B1023">
        <v>0</v>
      </c>
      <c r="C1023">
        <v>0</v>
      </c>
      <c r="D1023">
        <v>26.9</v>
      </c>
      <c r="E1023">
        <v>56</v>
      </c>
      <c r="F1023">
        <v>3.1734090628783858E-2</v>
      </c>
      <c r="G1023" t="str">
        <f t="shared" si="63"/>
        <v>Insert into BlueCreditTypeRainbow Values (6, 0, 0, 26.9, 56, 0.0317340906287839)</v>
      </c>
      <c r="N1023" s="4">
        <v>1020</v>
      </c>
      <c r="O1023" s="8">
        <f>$B$7*COUNTIF(Sheet2!$B$1:$B$132,N1023)</f>
        <v>0</v>
      </c>
      <c r="P1023" s="8">
        <f t="shared" ca="1" si="61"/>
        <v>0</v>
      </c>
      <c r="Q1023" s="8">
        <f ca="1">CEILING(R1022*(IF(N1023&lt;=IF($B$2=0,0,OFFSET(Sheet2!$B$1,Sheet1!$B$2-1,0)),$B$1/(365*100),$B$3/(365*100)))*100,1)/100</f>
        <v>266.64</v>
      </c>
      <c r="R1023" s="9">
        <f t="shared" ca="1" si="62"/>
        <v>653421.34772236727</v>
      </c>
    </row>
    <row r="1024" spans="1:18" x14ac:dyDescent="0.25">
      <c r="A1024">
        <v>6</v>
      </c>
      <c r="B1024">
        <v>0</v>
      </c>
      <c r="C1024">
        <v>0</v>
      </c>
      <c r="D1024">
        <v>26.9</v>
      </c>
      <c r="E1024">
        <v>57</v>
      </c>
      <c r="F1024">
        <v>3.1456658205604823E-2</v>
      </c>
      <c r="G1024" t="str">
        <f t="shared" si="63"/>
        <v>Insert into BlueCreditTypeRainbow Values (6, 0, 0, 26.9, 57, 0.0314566582056048)</v>
      </c>
      <c r="N1024" s="4">
        <v>1021</v>
      </c>
      <c r="O1024" s="8">
        <f>$B$7*COUNTIF(Sheet2!$B$1:$B$132,N1024)</f>
        <v>0</v>
      </c>
      <c r="P1024" s="8">
        <f t="shared" ca="1" si="61"/>
        <v>0</v>
      </c>
      <c r="Q1024" s="8">
        <f ca="1">CEILING(R1023*(IF(N1024&lt;=IF($B$2=0,0,OFFSET(Sheet2!$B$1,Sheet1!$B$2-1,0)),$B$1/(365*100),$B$3/(365*100)))*100,1)/100</f>
        <v>266.74</v>
      </c>
      <c r="R1024" s="9">
        <f t="shared" ca="1" si="62"/>
        <v>653688.08772236726</v>
      </c>
    </row>
    <row r="1025" spans="1:18" x14ac:dyDescent="0.25">
      <c r="A1025">
        <v>6</v>
      </c>
      <c r="B1025">
        <v>0</v>
      </c>
      <c r="C1025">
        <v>0</v>
      </c>
      <c r="D1025">
        <v>26.9</v>
      </c>
      <c r="E1025">
        <v>58</v>
      </c>
      <c r="F1025">
        <v>3.1189943851404035E-2</v>
      </c>
      <c r="G1025" t="str">
        <f t="shared" si="63"/>
        <v>Insert into BlueCreditTypeRainbow Values (6, 0, 0, 26.9, 58, 0.031189943851404)</v>
      </c>
      <c r="N1025" s="4">
        <v>1022</v>
      </c>
      <c r="O1025" s="8">
        <f>$B$7*COUNTIF(Sheet2!$B$1:$B$132,N1025)</f>
        <v>0</v>
      </c>
      <c r="P1025" s="8">
        <f t="shared" ca="1" si="61"/>
        <v>0</v>
      </c>
      <c r="Q1025" s="8">
        <f ca="1">CEILING(R1024*(IF(N1025&lt;=IF($B$2=0,0,OFFSET(Sheet2!$B$1,Sheet1!$B$2-1,0)),$B$1/(365*100),$B$3/(365*100)))*100,1)/100</f>
        <v>266.85000000000002</v>
      </c>
      <c r="R1025" s="9">
        <f t="shared" ca="1" si="62"/>
        <v>653954.93772236723</v>
      </c>
    </row>
    <row r="1026" spans="1:18" x14ac:dyDescent="0.25">
      <c r="A1026">
        <v>6</v>
      </c>
      <c r="B1026">
        <v>0</v>
      </c>
      <c r="C1026">
        <v>0</v>
      </c>
      <c r="D1026">
        <v>26.9</v>
      </c>
      <c r="E1026">
        <v>59</v>
      </c>
      <c r="F1026">
        <v>3.0933584207713746E-2</v>
      </c>
      <c r="G1026" t="str">
        <f t="shared" si="63"/>
        <v>Insert into BlueCreditTypeRainbow Values (6, 0, 0, 26.9, 59, 0.0309335842077137)</v>
      </c>
      <c r="N1026" s="4">
        <v>1023</v>
      </c>
      <c r="O1026" s="8">
        <f>$B$7*COUNTIF(Sheet2!$B$1:$B$132,N1026)</f>
        <v>0</v>
      </c>
      <c r="P1026" s="8">
        <f t="shared" ca="1" si="61"/>
        <v>0</v>
      </c>
      <c r="Q1026" s="8">
        <f ca="1">CEILING(R1025*(IF(N1026&lt;=IF($B$2=0,0,OFFSET(Sheet2!$B$1,Sheet1!$B$2-1,0)),$B$1/(365*100),$B$3/(365*100)))*100,1)/100</f>
        <v>266.95999999999998</v>
      </c>
      <c r="R1026" s="9">
        <f t="shared" ca="1" si="62"/>
        <v>654221.8977223672</v>
      </c>
    </row>
    <row r="1027" spans="1:18" x14ac:dyDescent="0.25">
      <c r="A1027">
        <v>6</v>
      </c>
      <c r="B1027">
        <v>0</v>
      </c>
      <c r="C1027">
        <v>0</v>
      </c>
      <c r="D1027">
        <v>26.9</v>
      </c>
      <c r="E1027">
        <v>60</v>
      </c>
      <c r="F1027">
        <v>3.068687067141105E-2</v>
      </c>
      <c r="G1027" t="str">
        <f t="shared" si="63"/>
        <v>Insert into BlueCreditTypeRainbow Values (6, 0, 0, 26.9, 60, 0.030686870671411)</v>
      </c>
      <c r="N1027" s="4">
        <v>1024</v>
      </c>
      <c r="O1027" s="8">
        <f>$B$7*COUNTIF(Sheet2!$B$1:$B$132,N1027)</f>
        <v>0</v>
      </c>
      <c r="P1027" s="8">
        <f t="shared" ca="1" si="61"/>
        <v>0</v>
      </c>
      <c r="Q1027" s="8">
        <f ca="1">CEILING(R1026*(IF(N1027&lt;=IF($B$2=0,0,OFFSET(Sheet2!$B$1,Sheet1!$B$2-1,0)),$B$1/(365*100),$B$3/(365*100)))*100,1)/100</f>
        <v>267.07</v>
      </c>
      <c r="R1027" s="9">
        <f t="shared" ca="1" si="62"/>
        <v>654488.96772236715</v>
      </c>
    </row>
    <row r="1028" spans="1:18" x14ac:dyDescent="0.25">
      <c r="A1028">
        <v>11</v>
      </c>
      <c r="B1028">
        <v>2.9</v>
      </c>
      <c r="C1028">
        <v>3</v>
      </c>
      <c r="D1028">
        <v>12.9</v>
      </c>
      <c r="E1028">
        <v>12</v>
      </c>
      <c r="F1028">
        <v>8.7300790018531901E-2</v>
      </c>
      <c r="G1028" t="str">
        <f t="shared" si="63"/>
        <v>Insert into BlueCreditTypeRainbow Values (11, 2.9, 3, 12.9, 12, 0.0873007900185319)</v>
      </c>
      <c r="N1028" s="4">
        <v>1025</v>
      </c>
      <c r="O1028" s="8">
        <f>$B$7*COUNTIF(Sheet2!$B$1:$B$132,N1028)</f>
        <v>0</v>
      </c>
      <c r="P1028" s="8">
        <f t="shared" ca="1" si="61"/>
        <v>0</v>
      </c>
      <c r="Q1028" s="8">
        <f ca="1">CEILING(R1027*(IF(N1028&lt;=IF($B$2=0,0,OFFSET(Sheet2!$B$1,Sheet1!$B$2-1,0)),$B$1/(365*100),$B$3/(365*100)))*100,1)/100</f>
        <v>267.18</v>
      </c>
      <c r="R1028" s="9">
        <f t="shared" ca="1" si="62"/>
        <v>654756.1477223672</v>
      </c>
    </row>
    <row r="1029" spans="1:18" x14ac:dyDescent="0.25">
      <c r="A1029">
        <v>11</v>
      </c>
      <c r="B1029">
        <v>2.9</v>
      </c>
      <c r="C1029">
        <v>3</v>
      </c>
      <c r="D1029">
        <v>12.9</v>
      </c>
      <c r="E1029">
        <v>13</v>
      </c>
      <c r="F1029">
        <v>8.0997843912806219E-2</v>
      </c>
      <c r="G1029" t="str">
        <f t="shared" si="63"/>
        <v>Insert into BlueCreditTypeRainbow Values (11, 2.9, 3, 12.9, 13, 0.0809978439128062)</v>
      </c>
      <c r="N1029" s="4">
        <v>1026</v>
      </c>
      <c r="O1029" s="8">
        <f>$B$7*COUNTIF(Sheet2!$B$1:$B$132,N1029)</f>
        <v>0</v>
      </c>
      <c r="P1029" s="8">
        <f t="shared" ref="P1029:P1092" ca="1" si="64">IF(O1029-Q1029&gt; 0, O1029-Q1029, 0)</f>
        <v>0</v>
      </c>
      <c r="Q1029" s="8">
        <f ca="1">CEILING(R1028*(IF(N1029&lt;=IF($B$2=0,0,OFFSET(Sheet2!$B$1,Sheet1!$B$2-1,0)),$B$1/(365*100),$B$3/(365*100)))*100,1)/100</f>
        <v>267.29000000000002</v>
      </c>
      <c r="R1029" s="9">
        <f t="shared" ref="R1029:R1092" ca="1" si="65">R1028+Q1029-O1029</f>
        <v>655023.43772236723</v>
      </c>
    </row>
    <row r="1030" spans="1:18" x14ac:dyDescent="0.25">
      <c r="A1030">
        <v>11</v>
      </c>
      <c r="B1030">
        <v>2.9</v>
      </c>
      <c r="C1030">
        <v>3</v>
      </c>
      <c r="D1030">
        <v>12.9</v>
      </c>
      <c r="E1030">
        <v>14</v>
      </c>
      <c r="F1030">
        <v>7.5599190604651076E-2</v>
      </c>
      <c r="G1030" t="str">
        <f t="shared" si="63"/>
        <v>Insert into BlueCreditTypeRainbow Values (11, 2.9, 3, 12.9, 14, 0.0755991906046511)</v>
      </c>
      <c r="N1030" s="4">
        <v>1027</v>
      </c>
      <c r="O1030" s="8">
        <f>$B$7*COUNTIF(Sheet2!$B$1:$B$132,N1030)</f>
        <v>0</v>
      </c>
      <c r="P1030" s="8">
        <f t="shared" ca="1" si="64"/>
        <v>0</v>
      </c>
      <c r="Q1030" s="8">
        <f ca="1">CEILING(R1029*(IF(N1030&lt;=IF($B$2=0,0,OFFSET(Sheet2!$B$1,Sheet1!$B$2-1,0)),$B$1/(365*100),$B$3/(365*100)))*100,1)/100</f>
        <v>267.39999999999998</v>
      </c>
      <c r="R1030" s="9">
        <f t="shared" ca="1" si="65"/>
        <v>655290.83772236726</v>
      </c>
    </row>
    <row r="1031" spans="1:18" x14ac:dyDescent="0.25">
      <c r="A1031">
        <v>11</v>
      </c>
      <c r="B1031">
        <v>2.9</v>
      </c>
      <c r="C1031">
        <v>3</v>
      </c>
      <c r="D1031">
        <v>12.9</v>
      </c>
      <c r="E1031">
        <v>15</v>
      </c>
      <c r="F1031">
        <v>7.0921966704428768E-2</v>
      </c>
      <c r="G1031" t="str">
        <f t="shared" si="63"/>
        <v>Insert into BlueCreditTypeRainbow Values (11, 2.9, 3, 12.9, 15, 0.0709219667044288)</v>
      </c>
      <c r="N1031" s="4">
        <v>1028</v>
      </c>
      <c r="O1031" s="8">
        <f>$B$7*COUNTIF(Sheet2!$B$1:$B$132,N1031)</f>
        <v>0</v>
      </c>
      <c r="P1031" s="8">
        <f t="shared" ca="1" si="64"/>
        <v>0</v>
      </c>
      <c r="Q1031" s="8">
        <f ca="1">CEILING(R1030*(IF(N1031&lt;=IF($B$2=0,0,OFFSET(Sheet2!$B$1,Sheet1!$B$2-1,0)),$B$1/(365*100),$B$3/(365*100)))*100,1)/100</f>
        <v>267.51</v>
      </c>
      <c r="R1031" s="9">
        <f t="shared" ca="1" si="65"/>
        <v>655558.34772236727</v>
      </c>
    </row>
    <row r="1032" spans="1:18" x14ac:dyDescent="0.25">
      <c r="A1032">
        <v>11</v>
      </c>
      <c r="B1032">
        <v>2.9</v>
      </c>
      <c r="C1032">
        <v>3</v>
      </c>
      <c r="D1032">
        <v>12.9</v>
      </c>
      <c r="E1032">
        <v>16</v>
      </c>
      <c r="F1032">
        <v>6.6832181932293108E-2</v>
      </c>
      <c r="G1032" t="str">
        <f t="shared" si="63"/>
        <v>Insert into BlueCreditTypeRainbow Values (11, 2.9, 3, 12.9, 16, 0.0668321819322931)</v>
      </c>
      <c r="N1032" s="4">
        <v>1029</v>
      </c>
      <c r="O1032" s="8">
        <f>$B$7*COUNTIF(Sheet2!$B$1:$B$132,N1032)</f>
        <v>0</v>
      </c>
      <c r="P1032" s="8">
        <f t="shared" ca="1" si="64"/>
        <v>0</v>
      </c>
      <c r="Q1032" s="8">
        <f ca="1">CEILING(R1031*(IF(N1032&lt;=IF($B$2=0,0,OFFSET(Sheet2!$B$1,Sheet1!$B$2-1,0)),$B$1/(365*100),$B$3/(365*100)))*100,1)/100</f>
        <v>267.62</v>
      </c>
      <c r="R1032" s="9">
        <f t="shared" ca="1" si="65"/>
        <v>655825.96772236726</v>
      </c>
    </row>
    <row r="1033" spans="1:18" x14ac:dyDescent="0.25">
      <c r="A1033">
        <v>11</v>
      </c>
      <c r="B1033">
        <v>2.9</v>
      </c>
      <c r="C1033">
        <v>3</v>
      </c>
      <c r="D1033">
        <v>12.9</v>
      </c>
      <c r="E1033">
        <v>17</v>
      </c>
      <c r="F1033">
        <v>6.3224721228868103E-2</v>
      </c>
      <c r="G1033" t="str">
        <f t="shared" si="63"/>
        <v>Insert into BlueCreditTypeRainbow Values (11, 2.9, 3, 12.9, 17, 0.0632247212288681)</v>
      </c>
      <c r="N1033" s="4">
        <v>1030</v>
      </c>
      <c r="O1033" s="8">
        <f>$B$7*COUNTIF(Sheet2!$B$1:$B$132,N1033)</f>
        <v>0</v>
      </c>
      <c r="P1033" s="8">
        <f t="shared" ca="1" si="64"/>
        <v>0</v>
      </c>
      <c r="Q1033" s="8">
        <f ca="1">CEILING(R1032*(IF(N1033&lt;=IF($B$2=0,0,OFFSET(Sheet2!$B$1,Sheet1!$B$2-1,0)),$B$1/(365*100),$B$3/(365*100)))*100,1)/100</f>
        <v>267.73</v>
      </c>
      <c r="R1033" s="9">
        <f t="shared" ca="1" si="65"/>
        <v>656093.69772236724</v>
      </c>
    </row>
    <row r="1034" spans="1:18" x14ac:dyDescent="0.25">
      <c r="A1034">
        <v>11</v>
      </c>
      <c r="B1034">
        <v>2.9</v>
      </c>
      <c r="C1034">
        <v>3</v>
      </c>
      <c r="D1034">
        <v>12.9</v>
      </c>
      <c r="E1034">
        <v>18</v>
      </c>
      <c r="F1034">
        <v>6.002024944444443E-2</v>
      </c>
      <c r="G1034" t="str">
        <f t="shared" si="63"/>
        <v>Insert into BlueCreditTypeRainbow Values (11, 2.9, 3, 12.9, 18, 0.0600202494444444)</v>
      </c>
      <c r="N1034" s="4">
        <v>1031</v>
      </c>
      <c r="O1034" s="8">
        <f>$B$7*COUNTIF(Sheet2!$B$1:$B$132,N1034)</f>
        <v>0</v>
      </c>
      <c r="P1034" s="8">
        <f t="shared" ca="1" si="64"/>
        <v>0</v>
      </c>
      <c r="Q1034" s="8">
        <f ca="1">CEILING(R1033*(IF(N1034&lt;=IF($B$2=0,0,OFFSET(Sheet2!$B$1,Sheet1!$B$2-1,0)),$B$1/(365*100),$B$3/(365*100)))*100,1)/100</f>
        <v>267.83999999999997</v>
      </c>
      <c r="R1034" s="9">
        <f t="shared" ca="1" si="65"/>
        <v>656361.53772236721</v>
      </c>
    </row>
    <row r="1035" spans="1:18" x14ac:dyDescent="0.25">
      <c r="A1035">
        <v>11</v>
      </c>
      <c r="B1035">
        <v>2.9</v>
      </c>
      <c r="C1035">
        <v>3</v>
      </c>
      <c r="D1035">
        <v>12.9</v>
      </c>
      <c r="E1035">
        <v>19</v>
      </c>
      <c r="F1035">
        <v>5.7154010574978181E-2</v>
      </c>
      <c r="G1035" t="str">
        <f t="shared" si="63"/>
        <v>Insert into BlueCreditTypeRainbow Values (11, 2.9, 3, 12.9, 19, 0.0571540105749782)</v>
      </c>
      <c r="N1035" s="4">
        <v>1032</v>
      </c>
      <c r="O1035" s="8">
        <f>$B$7*COUNTIF(Sheet2!$B$1:$B$132,N1035)</f>
        <v>0</v>
      </c>
      <c r="P1035" s="8">
        <f t="shared" ca="1" si="64"/>
        <v>0</v>
      </c>
      <c r="Q1035" s="8">
        <f ca="1">CEILING(R1034*(IF(N1035&lt;=IF($B$2=0,0,OFFSET(Sheet2!$B$1,Sheet1!$B$2-1,0)),$B$1/(365*100),$B$3/(365*100)))*100,1)/100</f>
        <v>267.94</v>
      </c>
      <c r="R1035" s="9">
        <f t="shared" ca="1" si="65"/>
        <v>656629.47772236716</v>
      </c>
    </row>
    <row r="1036" spans="1:18" x14ac:dyDescent="0.25">
      <c r="A1036">
        <v>11</v>
      </c>
      <c r="B1036">
        <v>2.9</v>
      </c>
      <c r="C1036">
        <v>3</v>
      </c>
      <c r="D1036">
        <v>12.9</v>
      </c>
      <c r="E1036">
        <v>20</v>
      </c>
      <c r="F1036">
        <v>5.4575274549948302E-2</v>
      </c>
      <c r="G1036" t="str">
        <f t="shared" si="63"/>
        <v>Insert into BlueCreditTypeRainbow Values (11, 2.9, 3, 12.9, 20, 0.0545752745499483)</v>
      </c>
      <c r="N1036" s="4">
        <v>1033</v>
      </c>
      <c r="O1036" s="8">
        <f>$B$7*COUNTIF(Sheet2!$B$1:$B$132,N1036)</f>
        <v>0</v>
      </c>
      <c r="P1036" s="8">
        <f t="shared" ca="1" si="64"/>
        <v>0</v>
      </c>
      <c r="Q1036" s="8">
        <f ca="1">CEILING(R1035*(IF(N1036&lt;=IF($B$2=0,0,OFFSET(Sheet2!$B$1,Sheet1!$B$2-1,0)),$B$1/(365*100),$B$3/(365*100)))*100,1)/100</f>
        <v>268.05</v>
      </c>
      <c r="R1036" s="9">
        <f t="shared" ca="1" si="65"/>
        <v>656897.5277223672</v>
      </c>
    </row>
    <row r="1037" spans="1:18" x14ac:dyDescent="0.25">
      <c r="A1037">
        <v>11</v>
      </c>
      <c r="B1037">
        <v>2.9</v>
      </c>
      <c r="C1037">
        <v>3</v>
      </c>
      <c r="D1037">
        <v>12.9</v>
      </c>
      <c r="E1037">
        <v>21</v>
      </c>
      <c r="F1037">
        <v>5.2243769523809568E-2</v>
      </c>
      <c r="G1037" t="str">
        <f t="shared" si="63"/>
        <v>Insert into BlueCreditTypeRainbow Values (11, 2.9, 3, 12.9, 21, 0.0522437695238096)</v>
      </c>
      <c r="N1037" s="4">
        <v>1034</v>
      </c>
      <c r="O1037" s="8">
        <f>$B$7*COUNTIF(Sheet2!$B$1:$B$132,N1037)</f>
        <v>0</v>
      </c>
      <c r="P1037" s="8">
        <f t="shared" ca="1" si="64"/>
        <v>0</v>
      </c>
      <c r="Q1037" s="8">
        <f ca="1">CEILING(R1036*(IF(N1037&lt;=IF($B$2=0,0,OFFSET(Sheet2!$B$1,Sheet1!$B$2-1,0)),$B$1/(365*100),$B$3/(365*100)))*100,1)/100</f>
        <v>268.16000000000003</v>
      </c>
      <c r="R1037" s="9">
        <f t="shared" ca="1" si="65"/>
        <v>657165.68772236723</v>
      </c>
    </row>
    <row r="1038" spans="1:18" x14ac:dyDescent="0.25">
      <c r="A1038">
        <v>11</v>
      </c>
      <c r="B1038">
        <v>2.9</v>
      </c>
      <c r="C1038">
        <v>3</v>
      </c>
      <c r="D1038">
        <v>12.9</v>
      </c>
      <c r="E1038">
        <v>22</v>
      </c>
      <c r="F1038">
        <v>5.0124963225024508E-2</v>
      </c>
      <c r="G1038" t="str">
        <f t="shared" si="63"/>
        <v>Insert into BlueCreditTypeRainbow Values (11, 2.9, 3, 12.9, 22, 0.0501249632250245)</v>
      </c>
      <c r="N1038" s="4">
        <v>1035</v>
      </c>
      <c r="O1038" s="8">
        <f>$B$7*COUNTIF(Sheet2!$B$1:$B$132,N1038)</f>
        <v>0</v>
      </c>
      <c r="P1038" s="8">
        <f t="shared" ca="1" si="64"/>
        <v>0</v>
      </c>
      <c r="Q1038" s="8">
        <f ca="1">CEILING(R1037*(IF(N1038&lt;=IF($B$2=0,0,OFFSET(Sheet2!$B$1,Sheet1!$B$2-1,0)),$B$1/(365*100),$B$3/(365*100)))*100,1)/100</f>
        <v>268.27</v>
      </c>
      <c r="R1038" s="9">
        <f t="shared" ca="1" si="65"/>
        <v>657433.95772236725</v>
      </c>
    </row>
    <row r="1039" spans="1:18" x14ac:dyDescent="0.25">
      <c r="A1039">
        <v>11</v>
      </c>
      <c r="B1039">
        <v>2.9</v>
      </c>
      <c r="C1039">
        <v>3</v>
      </c>
      <c r="D1039">
        <v>12.9</v>
      </c>
      <c r="E1039">
        <v>23</v>
      </c>
      <c r="F1039">
        <v>4.8191786562622338E-2</v>
      </c>
      <c r="G1039" t="str">
        <f t="shared" ref="G1039:G1102" si="66">CONCATENATE("Insert into BlueCreditTypeRainbow Values (",A1039,", ",B1039,", ",C1039,", ",D1039,", ",E1039,", ",F1039,")")</f>
        <v>Insert into BlueCreditTypeRainbow Values (11, 2.9, 3, 12.9, 23, 0.0481917865626223)</v>
      </c>
      <c r="N1039" s="4">
        <v>1036</v>
      </c>
      <c r="O1039" s="8">
        <f>$B$7*COUNTIF(Sheet2!$B$1:$B$132,N1039)</f>
        <v>21157.10552356458</v>
      </c>
      <c r="P1039" s="8">
        <f t="shared" ca="1" si="64"/>
        <v>20888.725523564579</v>
      </c>
      <c r="Q1039" s="8">
        <f ca="1">CEILING(R1038*(IF(N1039&lt;=IF($B$2=0,0,OFFSET(Sheet2!$B$1,Sheet1!$B$2-1,0)),$B$1/(365*100),$B$3/(365*100)))*100,1)/100</f>
        <v>268.38</v>
      </c>
      <c r="R1039" s="9">
        <f t="shared" ca="1" si="65"/>
        <v>636545.23219880264</v>
      </c>
    </row>
    <row r="1040" spans="1:18" x14ac:dyDescent="0.25">
      <c r="A1040">
        <v>11</v>
      </c>
      <c r="B1040">
        <v>2.9</v>
      </c>
      <c r="C1040">
        <v>3</v>
      </c>
      <c r="D1040">
        <v>12.9</v>
      </c>
      <c r="E1040">
        <v>24</v>
      </c>
      <c r="F1040">
        <v>4.6420367628451878E-2</v>
      </c>
      <c r="G1040" t="str">
        <f t="shared" si="66"/>
        <v>Insert into BlueCreditTypeRainbow Values (11, 2.9, 3, 12.9, 24, 0.0464203676284519)</v>
      </c>
      <c r="N1040" s="4">
        <v>1037</v>
      </c>
      <c r="O1040" s="8">
        <f>$B$7*COUNTIF(Sheet2!$B$1:$B$132,N1040)</f>
        <v>0</v>
      </c>
      <c r="P1040" s="8">
        <f t="shared" ca="1" si="64"/>
        <v>0</v>
      </c>
      <c r="Q1040" s="8">
        <f ca="1">CEILING(R1039*(IF(N1040&lt;=IF($B$2=0,0,OFFSET(Sheet2!$B$1,Sheet1!$B$2-1,0)),$B$1/(365*100),$B$3/(365*100)))*100,1)/100</f>
        <v>259.85000000000002</v>
      </c>
      <c r="R1040" s="9">
        <f t="shared" ca="1" si="65"/>
        <v>636805.08219880261</v>
      </c>
    </row>
    <row r="1041" spans="1:18" x14ac:dyDescent="0.25">
      <c r="A1041">
        <v>11</v>
      </c>
      <c r="B1041">
        <v>2.9</v>
      </c>
      <c r="C1041">
        <v>2</v>
      </c>
      <c r="D1041">
        <v>12.9</v>
      </c>
      <c r="E1041">
        <v>12</v>
      </c>
      <c r="F1041">
        <v>8.7894963415516461E-2</v>
      </c>
      <c r="G1041" t="str">
        <f t="shared" si="66"/>
        <v>Insert into BlueCreditTypeRainbow Values (11, 2.9, 2, 12.9, 12, 0.0878949634155165)</v>
      </c>
      <c r="N1041" s="4">
        <v>1038</v>
      </c>
      <c r="O1041" s="8">
        <f>$B$7*COUNTIF(Sheet2!$B$1:$B$132,N1041)</f>
        <v>0</v>
      </c>
      <c r="P1041" s="8">
        <f t="shared" ca="1" si="64"/>
        <v>0</v>
      </c>
      <c r="Q1041" s="8">
        <f ca="1">CEILING(R1040*(IF(N1041&lt;=IF($B$2=0,0,OFFSET(Sheet2!$B$1,Sheet1!$B$2-1,0)),$B$1/(365*100),$B$3/(365*100)))*100,1)/100</f>
        <v>259.95999999999998</v>
      </c>
      <c r="R1041" s="9">
        <f t="shared" ca="1" si="65"/>
        <v>637065.04219880258</v>
      </c>
    </row>
    <row r="1042" spans="1:18" x14ac:dyDescent="0.25">
      <c r="A1042">
        <v>11</v>
      </c>
      <c r="B1042">
        <v>2.9</v>
      </c>
      <c r="C1042">
        <v>2</v>
      </c>
      <c r="D1042">
        <v>12.9</v>
      </c>
      <c r="E1042">
        <v>13</v>
      </c>
      <c r="F1042">
        <v>8.1557570010597269E-2</v>
      </c>
      <c r="G1042" t="str">
        <f t="shared" si="66"/>
        <v>Insert into BlueCreditTypeRainbow Values (11, 2.9, 2, 12.9, 13, 0.0815575700105973)</v>
      </c>
      <c r="N1042" s="4">
        <v>1039</v>
      </c>
      <c r="O1042" s="8">
        <f>$B$7*COUNTIF(Sheet2!$B$1:$B$132,N1042)</f>
        <v>0</v>
      </c>
      <c r="P1042" s="8">
        <f t="shared" ca="1" si="64"/>
        <v>0</v>
      </c>
      <c r="Q1042" s="8">
        <f ca="1">CEILING(R1041*(IF(N1042&lt;=IF($B$2=0,0,OFFSET(Sheet2!$B$1,Sheet1!$B$2-1,0)),$B$1/(365*100),$B$3/(365*100)))*100,1)/100</f>
        <v>260.07</v>
      </c>
      <c r="R1042" s="9">
        <f t="shared" ca="1" si="65"/>
        <v>637325.11219880253</v>
      </c>
    </row>
    <row r="1043" spans="1:18" x14ac:dyDescent="0.25">
      <c r="A1043">
        <v>11</v>
      </c>
      <c r="B1043">
        <v>2.9</v>
      </c>
      <c r="C1043">
        <v>2</v>
      </c>
      <c r="D1043">
        <v>12.9</v>
      </c>
      <c r="E1043">
        <v>14</v>
      </c>
      <c r="F1043">
        <v>7.6128350714285739E-2</v>
      </c>
      <c r="G1043" t="str">
        <f t="shared" si="66"/>
        <v>Insert into BlueCreditTypeRainbow Values (11, 2.9, 2, 12.9, 14, 0.0761283507142857)</v>
      </c>
      <c r="N1043" s="4">
        <v>1040</v>
      </c>
      <c r="O1043" s="8">
        <f>$B$7*COUNTIF(Sheet2!$B$1:$B$132,N1043)</f>
        <v>0</v>
      </c>
      <c r="P1043" s="8">
        <f t="shared" ca="1" si="64"/>
        <v>0</v>
      </c>
      <c r="Q1043" s="8">
        <f ca="1">CEILING(R1042*(IF(N1043&lt;=IF($B$2=0,0,OFFSET(Sheet2!$B$1,Sheet1!$B$2-1,0)),$B$1/(365*100),$B$3/(365*100)))*100,1)/100</f>
        <v>260.17</v>
      </c>
      <c r="R1043" s="9">
        <f t="shared" ca="1" si="65"/>
        <v>637585.28219880257</v>
      </c>
    </row>
    <row r="1044" spans="1:18" x14ac:dyDescent="0.25">
      <c r="A1044">
        <v>11</v>
      </c>
      <c r="B1044">
        <v>2.9</v>
      </c>
      <c r="C1044">
        <v>2</v>
      </c>
      <c r="D1044">
        <v>12.9</v>
      </c>
      <c r="E1044">
        <v>15</v>
      </c>
      <c r="F1044">
        <v>7.1423859729101369E-2</v>
      </c>
      <c r="G1044" t="str">
        <f t="shared" si="66"/>
        <v>Insert into BlueCreditTypeRainbow Values (11, 2.9, 2, 12.9, 15, 0.0714238597291014)</v>
      </c>
      <c r="N1044" s="4">
        <v>1041</v>
      </c>
      <c r="O1044" s="8">
        <f>$B$7*COUNTIF(Sheet2!$B$1:$B$132,N1044)</f>
        <v>0</v>
      </c>
      <c r="P1044" s="8">
        <f t="shared" ca="1" si="64"/>
        <v>0</v>
      </c>
      <c r="Q1044" s="8">
        <f ca="1">CEILING(R1043*(IF(N1044&lt;=IF($B$2=0,0,OFFSET(Sheet2!$B$1,Sheet1!$B$2-1,0)),$B$1/(365*100),$B$3/(365*100)))*100,1)/100</f>
        <v>260.27999999999997</v>
      </c>
      <c r="R1044" s="9">
        <f t="shared" ca="1" si="65"/>
        <v>637845.5621988026</v>
      </c>
    </row>
    <row r="1045" spans="1:18" x14ac:dyDescent="0.25">
      <c r="A1045">
        <v>11</v>
      </c>
      <c r="B1045">
        <v>2.9</v>
      </c>
      <c r="C1045">
        <v>2</v>
      </c>
      <c r="D1045">
        <v>12.9</v>
      </c>
      <c r="E1045">
        <v>16</v>
      </c>
      <c r="F1045">
        <v>6.7309666875000007E-2</v>
      </c>
      <c r="G1045" t="str">
        <f t="shared" si="66"/>
        <v>Insert into BlueCreditTypeRainbow Values (11, 2.9, 2, 12.9, 16, 0.067309666875)</v>
      </c>
      <c r="N1045" s="4">
        <v>1042</v>
      </c>
      <c r="O1045" s="8">
        <f>$B$7*COUNTIF(Sheet2!$B$1:$B$132,N1045)</f>
        <v>0</v>
      </c>
      <c r="P1045" s="8">
        <f t="shared" ca="1" si="64"/>
        <v>0</v>
      </c>
      <c r="Q1045" s="8">
        <f ca="1">CEILING(R1044*(IF(N1045&lt;=IF($B$2=0,0,OFFSET(Sheet2!$B$1,Sheet1!$B$2-1,0)),$B$1/(365*100),$B$3/(365*100)))*100,1)/100</f>
        <v>260.39</v>
      </c>
      <c r="R1045" s="9">
        <f t="shared" ca="1" si="65"/>
        <v>638105.95219880261</v>
      </c>
    </row>
    <row r="1046" spans="1:18" x14ac:dyDescent="0.25">
      <c r="A1046">
        <v>11</v>
      </c>
      <c r="B1046">
        <v>2.9</v>
      </c>
      <c r="C1046">
        <v>2</v>
      </c>
      <c r="D1046">
        <v>12.9</v>
      </c>
      <c r="E1046">
        <v>17</v>
      </c>
      <c r="F1046">
        <v>6.3680203562622939E-2</v>
      </c>
      <c r="G1046" t="str">
        <f t="shared" si="66"/>
        <v>Insert into BlueCreditTypeRainbow Values (11, 2.9, 2, 12.9, 17, 0.0636802035626229)</v>
      </c>
      <c r="N1046" s="4">
        <v>1043</v>
      </c>
      <c r="O1046" s="8">
        <f>$B$7*COUNTIF(Sheet2!$B$1:$B$132,N1046)</f>
        <v>0</v>
      </c>
      <c r="P1046" s="8">
        <f t="shared" ca="1" si="64"/>
        <v>0</v>
      </c>
      <c r="Q1046" s="8">
        <f ca="1">CEILING(R1045*(IF(N1046&lt;=IF($B$2=0,0,OFFSET(Sheet2!$B$1,Sheet1!$B$2-1,0)),$B$1/(365*100),$B$3/(365*100)))*100,1)/100</f>
        <v>260.49</v>
      </c>
      <c r="R1046" s="9">
        <f t="shared" ca="1" si="65"/>
        <v>638366.4421988026</v>
      </c>
    </row>
    <row r="1047" spans="1:18" x14ac:dyDescent="0.25">
      <c r="A1047">
        <v>11</v>
      </c>
      <c r="B1047">
        <v>2.9</v>
      </c>
      <c r="C1047">
        <v>2</v>
      </c>
      <c r="D1047">
        <v>12.9</v>
      </c>
      <c r="E1047">
        <v>18</v>
      </c>
      <c r="F1047">
        <v>6.0455832222222256E-2</v>
      </c>
      <c r="G1047" t="str">
        <f t="shared" si="66"/>
        <v>Insert into BlueCreditTypeRainbow Values (11, 2.9, 2, 12.9, 18, 0.0604558322222223)</v>
      </c>
      <c r="N1047" s="4">
        <v>1044</v>
      </c>
      <c r="O1047" s="8">
        <f>$B$7*COUNTIF(Sheet2!$B$1:$B$132,N1047)</f>
        <v>0</v>
      </c>
      <c r="P1047" s="8">
        <f t="shared" ca="1" si="64"/>
        <v>0</v>
      </c>
      <c r="Q1047" s="8">
        <f ca="1">CEILING(R1046*(IF(N1047&lt;=IF($B$2=0,0,OFFSET(Sheet2!$B$1,Sheet1!$B$2-1,0)),$B$1/(365*100),$B$3/(365*100)))*100,1)/100</f>
        <v>260.60000000000002</v>
      </c>
      <c r="R1047" s="9">
        <f t="shared" ca="1" si="65"/>
        <v>638627.04219880258</v>
      </c>
    </row>
    <row r="1048" spans="1:18" x14ac:dyDescent="0.25">
      <c r="A1048">
        <v>11</v>
      </c>
      <c r="B1048">
        <v>2.9</v>
      </c>
      <c r="C1048">
        <v>2</v>
      </c>
      <c r="D1048">
        <v>12.9</v>
      </c>
      <c r="E1048">
        <v>19</v>
      </c>
      <c r="F1048">
        <v>5.7571495789473653E-2</v>
      </c>
      <c r="G1048" t="str">
        <f t="shared" si="66"/>
        <v>Insert into BlueCreditTypeRainbow Values (11, 2.9, 2, 12.9, 19, 0.0575714957894737)</v>
      </c>
      <c r="N1048" s="4">
        <v>1045</v>
      </c>
      <c r="O1048" s="8">
        <f>$B$7*COUNTIF(Sheet2!$B$1:$B$132,N1048)</f>
        <v>0</v>
      </c>
      <c r="P1048" s="8">
        <f t="shared" ca="1" si="64"/>
        <v>0</v>
      </c>
      <c r="Q1048" s="8">
        <f ca="1">CEILING(R1047*(IF(N1048&lt;=IF($B$2=0,0,OFFSET(Sheet2!$B$1,Sheet1!$B$2-1,0)),$B$1/(365*100),$B$3/(365*100)))*100,1)/100</f>
        <v>260.7</v>
      </c>
      <c r="R1048" s="9">
        <f t="shared" ca="1" si="65"/>
        <v>638887.74219880253</v>
      </c>
    </row>
    <row r="1049" spans="1:18" x14ac:dyDescent="0.25">
      <c r="A1049">
        <v>11</v>
      </c>
      <c r="B1049">
        <v>2.9</v>
      </c>
      <c r="C1049">
        <v>2</v>
      </c>
      <c r="D1049">
        <v>12.9</v>
      </c>
      <c r="E1049">
        <v>20</v>
      </c>
      <c r="F1049">
        <v>5.4976253000000003E-2</v>
      </c>
      <c r="G1049" t="str">
        <f t="shared" si="66"/>
        <v>Insert into BlueCreditTypeRainbow Values (11, 2.9, 2, 12.9, 20, 0.054976253)</v>
      </c>
      <c r="N1049" s="4">
        <v>1046</v>
      </c>
      <c r="O1049" s="8">
        <f>$B$7*COUNTIF(Sheet2!$B$1:$B$132,N1049)</f>
        <v>0</v>
      </c>
      <c r="P1049" s="8">
        <f t="shared" ca="1" si="64"/>
        <v>0</v>
      </c>
      <c r="Q1049" s="8">
        <f ca="1">CEILING(R1048*(IF(N1049&lt;=IF($B$2=0,0,OFFSET(Sheet2!$B$1,Sheet1!$B$2-1,0)),$B$1/(365*100),$B$3/(365*100)))*100,1)/100</f>
        <v>260.81</v>
      </c>
      <c r="R1049" s="9">
        <f t="shared" ca="1" si="65"/>
        <v>639148.55219880259</v>
      </c>
    </row>
    <row r="1050" spans="1:18" x14ac:dyDescent="0.25">
      <c r="A1050">
        <v>11</v>
      </c>
      <c r="B1050">
        <v>2.9</v>
      </c>
      <c r="C1050">
        <v>2</v>
      </c>
      <c r="D1050">
        <v>12.9</v>
      </c>
      <c r="E1050">
        <v>21</v>
      </c>
      <c r="F1050">
        <v>5.2629638615749617E-2</v>
      </c>
      <c r="G1050" t="str">
        <f t="shared" si="66"/>
        <v>Insert into BlueCreditTypeRainbow Values (11, 2.9, 2, 12.9, 21, 0.0526296386157496)</v>
      </c>
      <c r="N1050" s="4">
        <v>1047</v>
      </c>
      <c r="O1050" s="8">
        <f>$B$7*COUNTIF(Sheet2!$B$1:$B$132,N1050)</f>
        <v>0</v>
      </c>
      <c r="P1050" s="8">
        <f t="shared" ca="1" si="64"/>
        <v>0</v>
      </c>
      <c r="Q1050" s="8">
        <f ca="1">CEILING(R1049*(IF(N1050&lt;=IF($B$2=0,0,OFFSET(Sheet2!$B$1,Sheet1!$B$2-1,0)),$B$1/(365*100),$B$3/(365*100)))*100,1)/100</f>
        <v>260.92</v>
      </c>
      <c r="R1050" s="9">
        <f t="shared" ca="1" si="65"/>
        <v>639409.47219880263</v>
      </c>
    </row>
    <row r="1051" spans="1:18" x14ac:dyDescent="0.25">
      <c r="A1051">
        <v>11</v>
      </c>
      <c r="B1051">
        <v>2.9</v>
      </c>
      <c r="C1051">
        <v>2</v>
      </c>
      <c r="D1051">
        <v>12.9</v>
      </c>
      <c r="E1051">
        <v>22</v>
      </c>
      <c r="F1051">
        <v>5.0496940950655461E-2</v>
      </c>
      <c r="G1051" t="str">
        <f t="shared" si="66"/>
        <v>Insert into BlueCreditTypeRainbow Values (11, 2.9, 2, 12.9, 22, 0.0504969409506555)</v>
      </c>
      <c r="N1051" s="4">
        <v>1048</v>
      </c>
      <c r="O1051" s="8">
        <f>$B$7*COUNTIF(Sheet2!$B$1:$B$132,N1051)</f>
        <v>0</v>
      </c>
      <c r="P1051" s="8">
        <f t="shared" ca="1" si="64"/>
        <v>0</v>
      </c>
      <c r="Q1051" s="8">
        <f ca="1">CEILING(R1050*(IF(N1051&lt;=IF($B$2=0,0,OFFSET(Sheet2!$B$1,Sheet1!$B$2-1,0)),$B$1/(365*100),$B$3/(365*100)))*100,1)/100</f>
        <v>261.02</v>
      </c>
      <c r="R1051" s="9">
        <f t="shared" ca="1" si="65"/>
        <v>639670.49219880265</v>
      </c>
    </row>
    <row r="1052" spans="1:18" x14ac:dyDescent="0.25">
      <c r="A1052">
        <v>11</v>
      </c>
      <c r="B1052">
        <v>2.9</v>
      </c>
      <c r="C1052">
        <v>2</v>
      </c>
      <c r="D1052">
        <v>12.9</v>
      </c>
      <c r="E1052">
        <v>23</v>
      </c>
      <c r="F1052">
        <v>4.8550956963381665E-2</v>
      </c>
      <c r="G1052" t="str">
        <f t="shared" si="66"/>
        <v>Insert into BlueCreditTypeRainbow Values (11, 2.9, 2, 12.9, 23, 0.0485509569633817)</v>
      </c>
      <c r="N1052" s="4">
        <v>1049</v>
      </c>
      <c r="O1052" s="8">
        <f>$B$7*COUNTIF(Sheet2!$B$1:$B$132,N1052)</f>
        <v>0</v>
      </c>
      <c r="P1052" s="8">
        <f t="shared" ca="1" si="64"/>
        <v>0</v>
      </c>
      <c r="Q1052" s="8">
        <f ca="1">CEILING(R1051*(IF(N1052&lt;=IF($B$2=0,0,OFFSET(Sheet2!$B$1,Sheet1!$B$2-1,0)),$B$1/(365*100),$B$3/(365*100)))*100,1)/100</f>
        <v>261.13</v>
      </c>
      <c r="R1052" s="9">
        <f t="shared" ca="1" si="65"/>
        <v>639931.62219880265</v>
      </c>
    </row>
    <row r="1053" spans="1:18" x14ac:dyDescent="0.25">
      <c r="A1053">
        <v>11</v>
      </c>
      <c r="B1053">
        <v>2.9</v>
      </c>
      <c r="C1053">
        <v>2</v>
      </c>
      <c r="D1053">
        <v>12.9</v>
      </c>
      <c r="E1053">
        <v>24</v>
      </c>
      <c r="F1053">
        <v>4.6767696707276152E-2</v>
      </c>
      <c r="G1053" t="str">
        <f t="shared" si="66"/>
        <v>Insert into BlueCreditTypeRainbow Values (11, 2.9, 2, 12.9, 24, 0.0467676967072762)</v>
      </c>
      <c r="N1053" s="4">
        <v>1050</v>
      </c>
      <c r="O1053" s="8">
        <f>$B$7*COUNTIF(Sheet2!$B$1:$B$132,N1053)</f>
        <v>0</v>
      </c>
      <c r="P1053" s="8">
        <f t="shared" ca="1" si="64"/>
        <v>0</v>
      </c>
      <c r="Q1053" s="8">
        <f ca="1">CEILING(R1052*(IF(N1053&lt;=IF($B$2=0,0,OFFSET(Sheet2!$B$1,Sheet1!$B$2-1,0)),$B$1/(365*100),$B$3/(365*100)))*100,1)/100</f>
        <v>261.24</v>
      </c>
      <c r="R1053" s="9">
        <f ca="1">R1052+Q1053-O1053</f>
        <v>640192.86219880264</v>
      </c>
    </row>
    <row r="1054" spans="1:18" x14ac:dyDescent="0.25">
      <c r="A1054">
        <v>11</v>
      </c>
      <c r="B1054">
        <v>2.9</v>
      </c>
      <c r="C1054">
        <v>1</v>
      </c>
      <c r="D1054">
        <v>12.9</v>
      </c>
      <c r="E1054">
        <v>12</v>
      </c>
      <c r="F1054">
        <v>8.8556142500000004E-2</v>
      </c>
      <c r="G1054" t="str">
        <f t="shared" si="66"/>
        <v>Insert into BlueCreditTypeRainbow Values (11, 2.9, 1, 12.9, 12, 0.0885561425)</v>
      </c>
      <c r="N1054" s="4">
        <v>1051</v>
      </c>
      <c r="O1054" s="8">
        <f>$B$7*COUNTIF(Sheet2!$B$1:$B$132,N1054)</f>
        <v>0</v>
      </c>
      <c r="P1054" s="8">
        <f t="shared" ca="1" si="64"/>
        <v>0</v>
      </c>
      <c r="Q1054" s="8">
        <f ca="1">CEILING(R1053*(IF(N1054&lt;=IF($B$2=0,0,OFFSET(Sheet2!$B$1,Sheet1!$B$2-1,0)),$B$1/(365*100),$B$3/(365*100)))*100,1)/100</f>
        <v>261.33999999999997</v>
      </c>
      <c r="R1054" s="9">
        <f t="shared" ca="1" si="65"/>
        <v>640454.20219880261</v>
      </c>
    </row>
    <row r="1055" spans="1:18" x14ac:dyDescent="0.25">
      <c r="A1055">
        <v>11</v>
      </c>
      <c r="B1055">
        <v>2.9</v>
      </c>
      <c r="C1055">
        <v>1</v>
      </c>
      <c r="D1055">
        <v>12.9</v>
      </c>
      <c r="E1055">
        <v>13</v>
      </c>
      <c r="F1055">
        <v>8.2175351538461575E-2</v>
      </c>
      <c r="G1055" t="str">
        <f t="shared" si="66"/>
        <v>Insert into BlueCreditTypeRainbow Values (11, 2.9, 1, 12.9, 13, 0.0821753515384616)</v>
      </c>
      <c r="N1055" s="4">
        <v>1052</v>
      </c>
      <c r="O1055" s="8">
        <f>$B$7*COUNTIF(Sheet2!$B$1:$B$132,N1055)</f>
        <v>0</v>
      </c>
      <c r="P1055" s="8">
        <f t="shared" ca="1" si="64"/>
        <v>0</v>
      </c>
      <c r="Q1055" s="8">
        <f ca="1">CEILING(R1054*(IF(N1055&lt;=IF($B$2=0,0,OFFSET(Sheet2!$B$1,Sheet1!$B$2-1,0)),$B$1/(365*100),$B$3/(365*100)))*100,1)/100</f>
        <v>261.45</v>
      </c>
      <c r="R1055" s="9">
        <f t="shared" ca="1" si="65"/>
        <v>640715.65219880256</v>
      </c>
    </row>
    <row r="1056" spans="1:18" x14ac:dyDescent="0.25">
      <c r="A1056">
        <v>11</v>
      </c>
      <c r="B1056">
        <v>2.9</v>
      </c>
      <c r="C1056">
        <v>1</v>
      </c>
      <c r="D1056">
        <v>12.9</v>
      </c>
      <c r="E1056">
        <v>14</v>
      </c>
      <c r="F1056">
        <v>7.6708433571428605E-2</v>
      </c>
      <c r="G1056" t="str">
        <f t="shared" si="66"/>
        <v>Insert into BlueCreditTypeRainbow Values (11, 2.9, 1, 12.9, 14, 0.0767084335714286)</v>
      </c>
      <c r="N1056" s="4">
        <v>1053</v>
      </c>
      <c r="O1056" s="8">
        <f>$B$7*COUNTIF(Sheet2!$B$1:$B$132,N1056)</f>
        <v>0</v>
      </c>
      <c r="P1056" s="8">
        <f t="shared" ca="1" si="64"/>
        <v>0</v>
      </c>
      <c r="Q1056" s="8">
        <f ca="1">CEILING(R1055*(IF(N1056&lt;=IF($B$2=0,0,OFFSET(Sheet2!$B$1,Sheet1!$B$2-1,0)),$B$1/(365*100),$B$3/(365*100)))*100,1)/100</f>
        <v>261.56</v>
      </c>
      <c r="R1056" s="9">
        <f t="shared" ca="1" si="65"/>
        <v>640977.21219880262</v>
      </c>
    </row>
    <row r="1057" spans="1:18" x14ac:dyDescent="0.25">
      <c r="A1057">
        <v>11</v>
      </c>
      <c r="B1057">
        <v>2.9</v>
      </c>
      <c r="C1057">
        <v>1</v>
      </c>
      <c r="D1057">
        <v>12.9</v>
      </c>
      <c r="E1057">
        <v>15</v>
      </c>
      <c r="F1057">
        <v>7.1970886666666692E-2</v>
      </c>
      <c r="G1057" t="str">
        <f t="shared" si="66"/>
        <v>Insert into BlueCreditTypeRainbow Values (11, 2.9, 1, 12.9, 15, 0.0719708866666667)</v>
      </c>
      <c r="N1057" s="4">
        <v>1054</v>
      </c>
      <c r="O1057" s="8">
        <f>$B$7*COUNTIF(Sheet2!$B$1:$B$132,N1057)</f>
        <v>0</v>
      </c>
      <c r="P1057" s="8">
        <f t="shared" ca="1" si="64"/>
        <v>0</v>
      </c>
      <c r="Q1057" s="8">
        <f ca="1">CEILING(R1056*(IF(N1057&lt;=IF($B$2=0,0,OFFSET(Sheet2!$B$1,Sheet1!$B$2-1,0)),$B$1/(365*100),$B$3/(365*100)))*100,1)/100</f>
        <v>261.66000000000003</v>
      </c>
      <c r="R1057" s="9">
        <f t="shared" ca="1" si="65"/>
        <v>641238.87219880265</v>
      </c>
    </row>
    <row r="1058" spans="1:18" x14ac:dyDescent="0.25">
      <c r="A1058">
        <v>11</v>
      </c>
      <c r="B1058">
        <v>2.9</v>
      </c>
      <c r="C1058">
        <v>1</v>
      </c>
      <c r="D1058">
        <v>12.9</v>
      </c>
      <c r="E1058">
        <v>16</v>
      </c>
      <c r="F1058">
        <v>6.7827481937099296E-2</v>
      </c>
      <c r="G1058" t="str">
        <f t="shared" si="66"/>
        <v>Insert into BlueCreditTypeRainbow Values (11, 2.9, 1, 12.9, 16, 0.0678274819370993)</v>
      </c>
      <c r="N1058" s="4">
        <v>1055</v>
      </c>
      <c r="O1058" s="8">
        <f>$B$7*COUNTIF(Sheet2!$B$1:$B$132,N1058)</f>
        <v>0</v>
      </c>
      <c r="P1058" s="8">
        <f t="shared" ca="1" si="64"/>
        <v>0</v>
      </c>
      <c r="Q1058" s="8">
        <f ca="1">CEILING(R1057*(IF(N1058&lt;=IF($B$2=0,0,OFFSET(Sheet2!$B$1,Sheet1!$B$2-1,0)),$B$1/(365*100),$B$3/(365*100)))*100,1)/100</f>
        <v>261.77</v>
      </c>
      <c r="R1058" s="9">
        <f t="shared" ca="1" si="65"/>
        <v>641500.64219880267</v>
      </c>
    </row>
    <row r="1059" spans="1:18" x14ac:dyDescent="0.25">
      <c r="A1059">
        <v>11</v>
      </c>
      <c r="B1059">
        <v>2.9</v>
      </c>
      <c r="C1059">
        <v>1</v>
      </c>
      <c r="D1059">
        <v>12.9</v>
      </c>
      <c r="E1059">
        <v>17</v>
      </c>
      <c r="F1059">
        <v>6.4172011782428096E-2</v>
      </c>
      <c r="G1059" t="str">
        <f t="shared" si="66"/>
        <v>Insert into BlueCreditTypeRainbow Values (11, 2.9, 1, 12.9, 17, 0.0641720117824281)</v>
      </c>
      <c r="N1059" s="4">
        <v>1056</v>
      </c>
      <c r="O1059" s="8">
        <f>$B$7*COUNTIF(Sheet2!$B$1:$B$132,N1059)</f>
        <v>0</v>
      </c>
      <c r="P1059" s="8">
        <f t="shared" ca="1" si="64"/>
        <v>0</v>
      </c>
      <c r="Q1059" s="8">
        <f ca="1">CEILING(R1058*(IF(N1059&lt;=IF($B$2=0,0,OFFSET(Sheet2!$B$1,Sheet1!$B$2-1,0)),$B$1/(365*100),$B$3/(365*100)))*100,1)/100</f>
        <v>261.88</v>
      </c>
      <c r="R1059" s="9">
        <f t="shared" ca="1" si="65"/>
        <v>641762.52219880268</v>
      </c>
    </row>
    <row r="1060" spans="1:18" x14ac:dyDescent="0.25">
      <c r="A1060">
        <v>11</v>
      </c>
      <c r="B1060">
        <v>2.9</v>
      </c>
      <c r="C1060">
        <v>1</v>
      </c>
      <c r="D1060">
        <v>12.9</v>
      </c>
      <c r="E1060">
        <v>18</v>
      </c>
      <c r="F1060">
        <v>6.092434837915426E-2</v>
      </c>
      <c r="G1060" t="str">
        <f t="shared" si="66"/>
        <v>Insert into BlueCreditTypeRainbow Values (11, 2.9, 1, 12.9, 18, 0.0609243483791543)</v>
      </c>
      <c r="N1060" s="4">
        <v>1057</v>
      </c>
      <c r="O1060" s="8">
        <f>$B$7*COUNTIF(Sheet2!$B$1:$B$132,N1060)</f>
        <v>0</v>
      </c>
      <c r="P1060" s="8">
        <f t="shared" ca="1" si="64"/>
        <v>0</v>
      </c>
      <c r="Q1060" s="8">
        <f ca="1">CEILING(R1059*(IF(N1060&lt;=IF($B$2=0,0,OFFSET(Sheet2!$B$1,Sheet1!$B$2-1,0)),$B$1/(365*100),$B$3/(365*100)))*100,1)/100</f>
        <v>261.98</v>
      </c>
      <c r="R1060" s="9">
        <f t="shared" ca="1" si="65"/>
        <v>642024.50219880266</v>
      </c>
    </row>
    <row r="1061" spans="1:18" x14ac:dyDescent="0.25">
      <c r="A1061">
        <v>11</v>
      </c>
      <c r="B1061">
        <v>2.9</v>
      </c>
      <c r="C1061">
        <v>1</v>
      </c>
      <c r="D1061">
        <v>12.9</v>
      </c>
      <c r="E1061">
        <v>19</v>
      </c>
      <c r="F1061">
        <v>5.801904215769766E-2</v>
      </c>
      <c r="G1061" t="str">
        <f t="shared" si="66"/>
        <v>Insert into BlueCreditTypeRainbow Values (11, 2.9, 1, 12.9, 19, 0.0580190421576977)</v>
      </c>
      <c r="N1061" s="4">
        <v>1058</v>
      </c>
      <c r="O1061" s="8">
        <f>$B$7*COUNTIF(Sheet2!$B$1:$B$132,N1061)</f>
        <v>0</v>
      </c>
      <c r="P1061" s="8">
        <f t="shared" ca="1" si="64"/>
        <v>0</v>
      </c>
      <c r="Q1061" s="8">
        <f ca="1">CEILING(R1060*(IF(N1061&lt;=IF($B$2=0,0,OFFSET(Sheet2!$B$1,Sheet1!$B$2-1,0)),$B$1/(365*100),$B$3/(365*100)))*100,1)/100</f>
        <v>262.08999999999997</v>
      </c>
      <c r="R1061" s="9">
        <f t="shared" ca="1" si="65"/>
        <v>642286.59219880262</v>
      </c>
    </row>
    <row r="1062" spans="1:18" x14ac:dyDescent="0.25">
      <c r="A1062">
        <v>11</v>
      </c>
      <c r="B1062">
        <v>2.9</v>
      </c>
      <c r="C1062">
        <v>1</v>
      </c>
      <c r="D1062">
        <v>12.9</v>
      </c>
      <c r="E1062">
        <v>20</v>
      </c>
      <c r="F1062">
        <v>5.5404811985602861E-2</v>
      </c>
      <c r="G1062" t="str">
        <f t="shared" si="66"/>
        <v>Insert into BlueCreditTypeRainbow Values (11, 2.9, 1, 12.9, 20, 0.0554048119856029)</v>
      </c>
      <c r="N1062" s="4">
        <v>1059</v>
      </c>
      <c r="O1062" s="8">
        <f>$B$7*COUNTIF(Sheet2!$B$1:$B$132,N1062)</f>
        <v>0</v>
      </c>
      <c r="P1062" s="8">
        <f t="shared" ca="1" si="64"/>
        <v>0</v>
      </c>
      <c r="Q1062" s="8">
        <f ca="1">CEILING(R1061*(IF(N1062&lt;=IF($B$2=0,0,OFFSET(Sheet2!$B$1,Sheet1!$B$2-1,0)),$B$1/(365*100),$B$3/(365*100)))*100,1)/100</f>
        <v>262.2</v>
      </c>
      <c r="R1062" s="9">
        <f t="shared" ca="1" si="65"/>
        <v>642548.79219880258</v>
      </c>
    </row>
    <row r="1063" spans="1:18" x14ac:dyDescent="0.25">
      <c r="A1063">
        <v>11</v>
      </c>
      <c r="B1063">
        <v>2.9</v>
      </c>
      <c r="C1063">
        <v>1</v>
      </c>
      <c r="D1063">
        <v>12.9</v>
      </c>
      <c r="E1063">
        <v>21</v>
      </c>
      <c r="F1063">
        <v>5.3040920476190509E-2</v>
      </c>
      <c r="G1063" t="str">
        <f t="shared" si="66"/>
        <v>Insert into BlueCreditTypeRainbow Values (11, 2.9, 1, 12.9, 21, 0.0530409204761905)</v>
      </c>
      <c r="N1063" s="4">
        <v>1060</v>
      </c>
      <c r="O1063" s="8">
        <f>$B$7*COUNTIF(Sheet2!$B$1:$B$132,N1063)</f>
        <v>0</v>
      </c>
      <c r="P1063" s="8">
        <f t="shared" ca="1" si="64"/>
        <v>0</v>
      </c>
      <c r="Q1063" s="8">
        <f ca="1">CEILING(R1062*(IF(N1063&lt;=IF($B$2=0,0,OFFSET(Sheet2!$B$1,Sheet1!$B$2-1,0)),$B$1/(365*100),$B$3/(365*100)))*100,1)/100</f>
        <v>262.31</v>
      </c>
      <c r="R1063" s="9">
        <f t="shared" ca="1" si="65"/>
        <v>642811.10219880263</v>
      </c>
    </row>
    <row r="1064" spans="1:18" x14ac:dyDescent="0.25">
      <c r="A1064">
        <v>11</v>
      </c>
      <c r="B1064">
        <v>2.9</v>
      </c>
      <c r="C1064">
        <v>1</v>
      </c>
      <c r="D1064">
        <v>12.9</v>
      </c>
      <c r="E1064">
        <v>22</v>
      </c>
      <c r="F1064">
        <v>5.0892449133229919E-2</v>
      </c>
      <c r="G1064" t="str">
        <f t="shared" si="66"/>
        <v>Insert into BlueCreditTypeRainbow Values (11, 2.9, 1, 12.9, 22, 0.0508924491332299)</v>
      </c>
      <c r="N1064" s="4">
        <v>1061</v>
      </c>
      <c r="O1064" s="8">
        <f>$B$7*COUNTIF(Sheet2!$B$1:$B$132,N1064)</f>
        <v>0</v>
      </c>
      <c r="P1064" s="8">
        <f t="shared" ca="1" si="64"/>
        <v>0</v>
      </c>
      <c r="Q1064" s="8">
        <f ca="1">CEILING(R1063*(IF(N1064&lt;=IF($B$2=0,0,OFFSET(Sheet2!$B$1,Sheet1!$B$2-1,0)),$B$1/(365*100),$B$3/(365*100)))*100,1)/100</f>
        <v>262.41000000000003</v>
      </c>
      <c r="R1064" s="9">
        <f t="shared" ca="1" si="65"/>
        <v>643073.51219880267</v>
      </c>
    </row>
    <row r="1065" spans="1:18" x14ac:dyDescent="0.25">
      <c r="A1065">
        <v>11</v>
      </c>
      <c r="B1065">
        <v>2.9</v>
      </c>
      <c r="C1065">
        <v>1</v>
      </c>
      <c r="D1065">
        <v>12.9</v>
      </c>
      <c r="E1065">
        <v>23</v>
      </c>
      <c r="F1065">
        <v>4.8932007395133259E-2</v>
      </c>
      <c r="G1065" t="str">
        <f t="shared" si="66"/>
        <v>Insert into BlueCreditTypeRainbow Values (11, 2.9, 1, 12.9, 23, 0.0489320073951333)</v>
      </c>
      <c r="N1065" s="4">
        <v>1062</v>
      </c>
      <c r="O1065" s="8">
        <f>$B$7*COUNTIF(Sheet2!$B$1:$B$132,N1065)</f>
        <v>0</v>
      </c>
      <c r="P1065" s="8">
        <f t="shared" ca="1" si="64"/>
        <v>0</v>
      </c>
      <c r="Q1065" s="8">
        <f ca="1">CEILING(R1064*(IF(N1065&lt;=IF($B$2=0,0,OFFSET(Sheet2!$B$1,Sheet1!$B$2-1,0)),$B$1/(365*100),$B$3/(365*100)))*100,1)/100</f>
        <v>262.52</v>
      </c>
      <c r="R1065" s="9">
        <f t="shared" ca="1" si="65"/>
        <v>643336.03219880268</v>
      </c>
    </row>
    <row r="1066" spans="1:18" x14ac:dyDescent="0.25">
      <c r="A1066">
        <v>11</v>
      </c>
      <c r="B1066">
        <v>2.9</v>
      </c>
      <c r="C1066">
        <v>1</v>
      </c>
      <c r="D1066">
        <v>12.9</v>
      </c>
      <c r="E1066">
        <v>24</v>
      </c>
      <c r="F1066">
        <v>4.7135446704655942E-2</v>
      </c>
      <c r="G1066" t="str">
        <f t="shared" si="66"/>
        <v>Insert into BlueCreditTypeRainbow Values (11, 2.9, 1, 12.9, 24, 0.0471354467046559)</v>
      </c>
      <c r="N1066" s="4">
        <v>1063</v>
      </c>
      <c r="O1066" s="8">
        <f>$B$7*COUNTIF(Sheet2!$B$1:$B$132,N1066)</f>
        <v>0</v>
      </c>
      <c r="P1066" s="8">
        <f t="shared" ca="1" si="64"/>
        <v>0</v>
      </c>
      <c r="Q1066" s="8">
        <f ca="1">CEILING(R1065*(IF(N1066&lt;=IF($B$2=0,0,OFFSET(Sheet2!$B$1,Sheet1!$B$2-1,0)),$B$1/(365*100),$B$3/(365*100)))*100,1)/100</f>
        <v>262.63</v>
      </c>
      <c r="R1066" s="9">
        <f t="shared" ca="1" si="65"/>
        <v>643598.66219880269</v>
      </c>
    </row>
    <row r="1067" spans="1:18" x14ac:dyDescent="0.25">
      <c r="A1067">
        <v>11</v>
      </c>
      <c r="B1067">
        <v>2.9</v>
      </c>
      <c r="C1067">
        <v>0</v>
      </c>
      <c r="D1067">
        <v>12.9</v>
      </c>
      <c r="E1067">
        <v>12</v>
      </c>
      <c r="F1067">
        <v>8.9311295867906343E-2</v>
      </c>
      <c r="G1067" t="str">
        <f t="shared" si="66"/>
        <v>Insert into BlueCreditTypeRainbow Values (11, 2.9, 0, 12.9, 12, 0.0893112958679063)</v>
      </c>
      <c r="N1067" s="4">
        <v>1064</v>
      </c>
      <c r="O1067" s="8">
        <f>$B$7*COUNTIF(Sheet2!$B$1:$B$132,N1067)</f>
        <v>0</v>
      </c>
      <c r="P1067" s="8">
        <f t="shared" ca="1" si="64"/>
        <v>0</v>
      </c>
      <c r="Q1067" s="8">
        <f ca="1">CEILING(R1066*(IF(N1067&lt;=IF($B$2=0,0,OFFSET(Sheet2!$B$1,Sheet1!$B$2-1,0)),$B$1/(365*100),$B$3/(365*100)))*100,1)/100</f>
        <v>262.73</v>
      </c>
      <c r="R1067" s="9">
        <f t="shared" ca="1" si="65"/>
        <v>643861.39219880267</v>
      </c>
    </row>
    <row r="1068" spans="1:18" x14ac:dyDescent="0.25">
      <c r="A1068">
        <v>11</v>
      </c>
      <c r="B1068">
        <v>2.9</v>
      </c>
      <c r="C1068">
        <v>0</v>
      </c>
      <c r="D1068">
        <v>12.9</v>
      </c>
      <c r="E1068">
        <v>13</v>
      </c>
      <c r="F1068">
        <v>8.2876086222064979E-2</v>
      </c>
      <c r="G1068" t="str">
        <f t="shared" si="66"/>
        <v>Insert into BlueCreditTypeRainbow Values (11, 2.9, 0, 12.9, 13, 0.082876086222065)</v>
      </c>
      <c r="N1068" s="4">
        <v>1065</v>
      </c>
      <c r="O1068" s="8">
        <f>$B$7*COUNTIF(Sheet2!$B$1:$B$132,N1068)</f>
        <v>0</v>
      </c>
      <c r="P1068" s="8">
        <f t="shared" ca="1" si="64"/>
        <v>0</v>
      </c>
      <c r="Q1068" s="8">
        <f ca="1">CEILING(R1067*(IF(N1068&lt;=IF($B$2=0,0,OFFSET(Sheet2!$B$1,Sheet1!$B$2-1,0)),$B$1/(365*100),$B$3/(365*100)))*100,1)/100</f>
        <v>262.83999999999997</v>
      </c>
      <c r="R1068" s="9">
        <f t="shared" ca="1" si="65"/>
        <v>644124.23219880264</v>
      </c>
    </row>
    <row r="1069" spans="1:18" x14ac:dyDescent="0.25">
      <c r="A1069">
        <v>11</v>
      </c>
      <c r="B1069">
        <v>2.9</v>
      </c>
      <c r="C1069">
        <v>0</v>
      </c>
      <c r="D1069">
        <v>12.9</v>
      </c>
      <c r="E1069">
        <v>14</v>
      </c>
      <c r="F1069">
        <v>7.7362563571428594E-2</v>
      </c>
      <c r="G1069" t="str">
        <f t="shared" si="66"/>
        <v>Insert into BlueCreditTypeRainbow Values (11, 2.9, 0, 12.9, 14, 0.0773625635714286)</v>
      </c>
      <c r="N1069" s="4">
        <v>1066</v>
      </c>
      <c r="O1069" s="8">
        <f>$B$7*COUNTIF(Sheet2!$B$1:$B$132,N1069)</f>
        <v>0</v>
      </c>
      <c r="P1069" s="8">
        <f t="shared" ca="1" si="64"/>
        <v>0</v>
      </c>
      <c r="Q1069" s="8">
        <f ca="1">CEILING(R1068*(IF(N1069&lt;=IF($B$2=0,0,OFFSET(Sheet2!$B$1,Sheet1!$B$2-1,0)),$B$1/(365*100),$B$3/(365*100)))*100,1)/100</f>
        <v>262.95</v>
      </c>
      <c r="R1069" s="9">
        <f t="shared" ca="1" si="65"/>
        <v>644387.18219880259</v>
      </c>
    </row>
    <row r="1070" spans="1:18" x14ac:dyDescent="0.25">
      <c r="A1070">
        <v>11</v>
      </c>
      <c r="B1070">
        <v>2.9</v>
      </c>
      <c r="C1070">
        <v>0</v>
      </c>
      <c r="D1070">
        <v>12.9</v>
      </c>
      <c r="E1070">
        <v>15</v>
      </c>
      <c r="F1070">
        <v>7.2584624718313048E-2</v>
      </c>
      <c r="G1070" t="str">
        <f t="shared" si="66"/>
        <v>Insert into BlueCreditTypeRainbow Values (11, 2.9, 0, 12.9, 15, 0.072584624718313)</v>
      </c>
      <c r="N1070" s="4">
        <v>1067</v>
      </c>
      <c r="O1070" s="8">
        <f>$B$7*COUNTIF(Sheet2!$B$1:$B$132,N1070)</f>
        <v>21157.10552356458</v>
      </c>
      <c r="P1070" s="8">
        <f t="shared" ca="1" si="64"/>
        <v>20894.045523564579</v>
      </c>
      <c r="Q1070" s="8">
        <f ca="1">CEILING(R1069*(IF(N1070&lt;=IF($B$2=0,0,OFFSET(Sheet2!$B$1,Sheet1!$B$2-1,0)),$B$1/(365*100),$B$3/(365*100)))*100,1)/100</f>
        <v>263.06</v>
      </c>
      <c r="R1070" s="9">
        <f t="shared" ca="1" si="65"/>
        <v>623493.13667523803</v>
      </c>
    </row>
    <row r="1071" spans="1:18" x14ac:dyDescent="0.25">
      <c r="A1071">
        <v>11</v>
      </c>
      <c r="B1071">
        <v>2.9</v>
      </c>
      <c r="C1071">
        <v>0</v>
      </c>
      <c r="D1071">
        <v>12.9</v>
      </c>
      <c r="E1071">
        <v>16</v>
      </c>
      <c r="F1071">
        <v>6.8405872500000076E-2</v>
      </c>
      <c r="G1071" t="str">
        <f t="shared" si="66"/>
        <v>Insert into BlueCreditTypeRainbow Values (11, 2.9, 0, 12.9, 16, 0.0684058725000001)</v>
      </c>
      <c r="N1071" s="4">
        <v>1068</v>
      </c>
      <c r="O1071" s="8">
        <f>$B$7*COUNTIF(Sheet2!$B$1:$B$132,N1071)</f>
        <v>0</v>
      </c>
      <c r="P1071" s="8">
        <f t="shared" ca="1" si="64"/>
        <v>0</v>
      </c>
      <c r="Q1071" s="8">
        <f ca="1">CEILING(R1070*(IF(N1071&lt;=IF($B$2=0,0,OFFSET(Sheet2!$B$1,Sheet1!$B$2-1,0)),$B$1/(365*100),$B$3/(365*100)))*100,1)/100</f>
        <v>254.53</v>
      </c>
      <c r="R1071" s="9">
        <f t="shared" ca="1" si="65"/>
        <v>623747.66667523806</v>
      </c>
    </row>
    <row r="1072" spans="1:18" x14ac:dyDescent="0.25">
      <c r="A1072">
        <v>11</v>
      </c>
      <c r="B1072">
        <v>2.9</v>
      </c>
      <c r="C1072">
        <v>0</v>
      </c>
      <c r="D1072">
        <v>12.9</v>
      </c>
      <c r="E1072">
        <v>17</v>
      </c>
      <c r="F1072">
        <v>6.4719232352941233E-2</v>
      </c>
      <c r="G1072" t="str">
        <f t="shared" si="66"/>
        <v>Insert into BlueCreditTypeRainbow Values (11, 2.9, 0, 12.9, 17, 0.0647192323529412)</v>
      </c>
      <c r="N1072" s="4">
        <v>1069</v>
      </c>
      <c r="O1072" s="8">
        <f>$B$7*COUNTIF(Sheet2!$B$1:$B$132,N1072)</f>
        <v>0</v>
      </c>
      <c r="P1072" s="8">
        <f t="shared" ca="1" si="64"/>
        <v>0</v>
      </c>
      <c r="Q1072" s="8">
        <f ca="1">CEILING(R1071*(IF(N1072&lt;=IF($B$2=0,0,OFFSET(Sheet2!$B$1,Sheet1!$B$2-1,0)),$B$1/(365*100),$B$3/(365*100)))*100,1)/100</f>
        <v>254.63</v>
      </c>
      <c r="R1072" s="9">
        <f t="shared" ca="1" si="65"/>
        <v>624002.29667523806</v>
      </c>
    </row>
    <row r="1073" spans="1:18" x14ac:dyDescent="0.25">
      <c r="A1073">
        <v>11</v>
      </c>
      <c r="B1073">
        <v>2.9</v>
      </c>
      <c r="C1073">
        <v>0</v>
      </c>
      <c r="D1073">
        <v>12.9</v>
      </c>
      <c r="E1073">
        <v>18</v>
      </c>
      <c r="F1073">
        <v>6.1443870041402164E-2</v>
      </c>
      <c r="G1073" t="str">
        <f t="shared" si="66"/>
        <v>Insert into BlueCreditTypeRainbow Values (11, 2.9, 0, 12.9, 18, 0.0614438700414022)</v>
      </c>
      <c r="N1073" s="4">
        <v>1070</v>
      </c>
      <c r="O1073" s="8">
        <f>$B$7*COUNTIF(Sheet2!$B$1:$B$132,N1073)</f>
        <v>0</v>
      </c>
      <c r="P1073" s="8">
        <f t="shared" ca="1" si="64"/>
        <v>0</v>
      </c>
      <c r="Q1073" s="8">
        <f ca="1">CEILING(R1072*(IF(N1073&lt;=IF($B$2=0,0,OFFSET(Sheet2!$B$1,Sheet1!$B$2-1,0)),$B$1/(365*100),$B$3/(365*100)))*100,1)/100</f>
        <v>254.73</v>
      </c>
      <c r="R1073" s="9">
        <f t="shared" ca="1" si="65"/>
        <v>624257.02667523804</v>
      </c>
    </row>
    <row r="1074" spans="1:18" x14ac:dyDescent="0.25">
      <c r="A1074">
        <v>11</v>
      </c>
      <c r="B1074">
        <v>2.9</v>
      </c>
      <c r="C1074">
        <v>0</v>
      </c>
      <c r="D1074">
        <v>12.9</v>
      </c>
      <c r="E1074">
        <v>19</v>
      </c>
      <c r="F1074">
        <v>5.8513793732318763E-2</v>
      </c>
      <c r="G1074" t="str">
        <f t="shared" si="66"/>
        <v>Insert into BlueCreditTypeRainbow Values (11, 2.9, 0, 12.9, 19, 0.0585137937323188)</v>
      </c>
      <c r="N1074" s="4">
        <v>1071</v>
      </c>
      <c r="O1074" s="8">
        <f>$B$7*COUNTIF(Sheet2!$B$1:$B$132,N1074)</f>
        <v>0</v>
      </c>
      <c r="P1074" s="8">
        <f t="shared" ca="1" si="64"/>
        <v>0</v>
      </c>
      <c r="Q1074" s="8">
        <f ca="1">CEILING(R1073*(IF(N1074&lt;=IF($B$2=0,0,OFFSET(Sheet2!$B$1,Sheet1!$B$2-1,0)),$B$1/(365*100),$B$3/(365*100)))*100,1)/100</f>
        <v>254.84</v>
      </c>
      <c r="R1074" s="9">
        <f t="shared" ca="1" si="65"/>
        <v>624511.86667523801</v>
      </c>
    </row>
    <row r="1075" spans="1:18" x14ac:dyDescent="0.25">
      <c r="A1075">
        <v>11</v>
      </c>
      <c r="B1075">
        <v>2.9</v>
      </c>
      <c r="C1075">
        <v>0</v>
      </c>
      <c r="D1075">
        <v>12.9</v>
      </c>
      <c r="E1075">
        <v>20</v>
      </c>
      <c r="F1075">
        <v>5.5877268030222756E-2</v>
      </c>
      <c r="G1075" t="str">
        <f t="shared" si="66"/>
        <v>Insert into BlueCreditTypeRainbow Values (11, 2.9, 0, 12.9, 20, 0.0558772680302228)</v>
      </c>
      <c r="N1075" s="4">
        <v>1072</v>
      </c>
      <c r="O1075" s="8">
        <f>$B$7*COUNTIF(Sheet2!$B$1:$B$132,N1075)</f>
        <v>0</v>
      </c>
      <c r="P1075" s="8">
        <f t="shared" ca="1" si="64"/>
        <v>0</v>
      </c>
      <c r="Q1075" s="8">
        <f ca="1">CEILING(R1074*(IF(N1075&lt;=IF($B$2=0,0,OFFSET(Sheet2!$B$1,Sheet1!$B$2-1,0)),$B$1/(365*100),$B$3/(365*100)))*100,1)/100</f>
        <v>254.94</v>
      </c>
      <c r="R1075" s="9">
        <f t="shared" ca="1" si="65"/>
        <v>624766.80667523795</v>
      </c>
    </row>
    <row r="1076" spans="1:18" x14ac:dyDescent="0.25">
      <c r="A1076">
        <v>11</v>
      </c>
      <c r="B1076">
        <v>2.9</v>
      </c>
      <c r="C1076">
        <v>0</v>
      </c>
      <c r="D1076">
        <v>12.9</v>
      </c>
      <c r="E1076">
        <v>21</v>
      </c>
      <c r="F1076">
        <v>5.3493218142410412E-2</v>
      </c>
      <c r="G1076" t="str">
        <f t="shared" si="66"/>
        <v>Insert into BlueCreditTypeRainbow Values (11, 2.9, 0, 12.9, 21, 0.0534932181424104)</v>
      </c>
      <c r="N1076" s="4">
        <v>1073</v>
      </c>
      <c r="O1076" s="8">
        <f>$B$7*COUNTIF(Sheet2!$B$1:$B$132,N1076)</f>
        <v>0</v>
      </c>
      <c r="P1076" s="8">
        <f t="shared" ca="1" si="64"/>
        <v>0</v>
      </c>
      <c r="Q1076" s="8">
        <f ca="1">CEILING(R1075*(IF(N1076&lt;=IF($B$2=0,0,OFFSET(Sheet2!$B$1,Sheet1!$B$2-1,0)),$B$1/(365*100),$B$3/(365*100)))*100,1)/100</f>
        <v>255.05</v>
      </c>
      <c r="R1076" s="9">
        <f t="shared" ca="1" si="65"/>
        <v>625021.856675238</v>
      </c>
    </row>
    <row r="1077" spans="1:18" x14ac:dyDescent="0.25">
      <c r="A1077">
        <v>11</v>
      </c>
      <c r="B1077">
        <v>2.9</v>
      </c>
      <c r="C1077">
        <v>0</v>
      </c>
      <c r="D1077">
        <v>12.9</v>
      </c>
      <c r="E1077">
        <v>22</v>
      </c>
      <c r="F1077">
        <v>5.1326431363636425E-2</v>
      </c>
      <c r="G1077" t="str">
        <f t="shared" si="66"/>
        <v>Insert into BlueCreditTypeRainbow Values (11, 2.9, 0, 12.9, 22, 0.0513264313636364)</v>
      </c>
      <c r="N1077" s="4">
        <v>1074</v>
      </c>
      <c r="O1077" s="8">
        <f>$B$7*COUNTIF(Sheet2!$B$1:$B$132,N1077)</f>
        <v>0</v>
      </c>
      <c r="P1077" s="8">
        <f t="shared" ca="1" si="64"/>
        <v>0</v>
      </c>
      <c r="Q1077" s="8">
        <f ca="1">CEILING(R1076*(IF(N1077&lt;=IF($B$2=0,0,OFFSET(Sheet2!$B$1,Sheet1!$B$2-1,0)),$B$1/(365*100),$B$3/(365*100)))*100,1)/100</f>
        <v>255.15</v>
      </c>
      <c r="R1077" s="9">
        <f t="shared" ca="1" si="65"/>
        <v>625277.00667523802</v>
      </c>
    </row>
    <row r="1078" spans="1:18" x14ac:dyDescent="0.25">
      <c r="A1078">
        <v>11</v>
      </c>
      <c r="B1078">
        <v>2.9</v>
      </c>
      <c r="C1078">
        <v>0</v>
      </c>
      <c r="D1078">
        <v>12.9</v>
      </c>
      <c r="E1078">
        <v>23</v>
      </c>
      <c r="F1078">
        <v>4.9349276086956578E-2</v>
      </c>
      <c r="G1078" t="str">
        <f t="shared" si="66"/>
        <v>Insert into BlueCreditTypeRainbow Values (11, 2.9, 0, 12.9, 23, 0.0493492760869566)</v>
      </c>
      <c r="N1078" s="4">
        <v>1075</v>
      </c>
      <c r="O1078" s="8">
        <f>$B$7*COUNTIF(Sheet2!$B$1:$B$132,N1078)</f>
        <v>0</v>
      </c>
      <c r="P1078" s="8">
        <f t="shared" ca="1" si="64"/>
        <v>0</v>
      </c>
      <c r="Q1078" s="8">
        <f ca="1">CEILING(R1077*(IF(N1078&lt;=IF($B$2=0,0,OFFSET(Sheet2!$B$1,Sheet1!$B$2-1,0)),$B$1/(365*100),$B$3/(365*100)))*100,1)/100</f>
        <v>255.26</v>
      </c>
      <c r="R1078" s="9">
        <f t="shared" ca="1" si="65"/>
        <v>625532.26667523803</v>
      </c>
    </row>
    <row r="1079" spans="1:18" x14ac:dyDescent="0.25">
      <c r="A1079">
        <v>11</v>
      </c>
      <c r="B1079">
        <v>2.9</v>
      </c>
      <c r="C1079">
        <v>0</v>
      </c>
      <c r="D1079">
        <v>12.9</v>
      </c>
      <c r="E1079">
        <v>24</v>
      </c>
      <c r="F1079">
        <v>4.7537382119672178E-2</v>
      </c>
      <c r="G1079" t="str">
        <f t="shared" si="66"/>
        <v>Insert into BlueCreditTypeRainbow Values (11, 2.9, 0, 12.9, 24, 0.0475373821196722)</v>
      </c>
      <c r="N1079" s="4">
        <v>1076</v>
      </c>
      <c r="O1079" s="8">
        <f>$B$7*COUNTIF(Sheet2!$B$1:$B$132,N1079)</f>
        <v>0</v>
      </c>
      <c r="P1079" s="8">
        <f t="shared" ca="1" si="64"/>
        <v>0</v>
      </c>
      <c r="Q1079" s="8">
        <f ca="1">CEILING(R1078*(IF(N1079&lt;=IF($B$2=0,0,OFFSET(Sheet2!$B$1,Sheet1!$B$2-1,0)),$B$1/(365*100),$B$3/(365*100)))*100,1)/100</f>
        <v>255.36</v>
      </c>
      <c r="R1079" s="9">
        <f t="shared" ca="1" si="65"/>
        <v>625787.62667523802</v>
      </c>
    </row>
    <row r="1080" spans="1:18" x14ac:dyDescent="0.25">
      <c r="A1080">
        <v>12</v>
      </c>
      <c r="B1080">
        <v>3.9</v>
      </c>
      <c r="C1080">
        <v>6</v>
      </c>
      <c r="D1080">
        <v>13.9</v>
      </c>
      <c r="E1080">
        <v>12</v>
      </c>
      <c r="F1080">
        <v>8.6329408394385382E-2</v>
      </c>
      <c r="G1080" t="str">
        <f t="shared" si="66"/>
        <v>Insert into BlueCreditTypeRainbow Values (12, 3.9, 6, 13.9, 12, 0.0863294083943854)</v>
      </c>
      <c r="N1080" s="4">
        <v>1077</v>
      </c>
      <c r="O1080" s="8">
        <f>$B$7*COUNTIF(Sheet2!$B$1:$B$132,N1080)</f>
        <v>0</v>
      </c>
      <c r="P1080" s="8">
        <f t="shared" ca="1" si="64"/>
        <v>0</v>
      </c>
      <c r="Q1080" s="8">
        <f ca="1">CEILING(R1079*(IF(N1080&lt;=IF($B$2=0,0,OFFSET(Sheet2!$B$1,Sheet1!$B$2-1,0)),$B$1/(365*100),$B$3/(365*100)))*100,1)/100</f>
        <v>255.46</v>
      </c>
      <c r="R1080" s="9">
        <f t="shared" ca="1" si="65"/>
        <v>626043.08667523798</v>
      </c>
    </row>
    <row r="1081" spans="1:18" x14ac:dyDescent="0.25">
      <c r="A1081">
        <v>12</v>
      </c>
      <c r="B1081">
        <v>3.9</v>
      </c>
      <c r="C1081">
        <v>6</v>
      </c>
      <c r="D1081">
        <v>13.9</v>
      </c>
      <c r="E1081">
        <v>13</v>
      </c>
      <c r="F1081">
        <v>8.0078263130051744E-2</v>
      </c>
      <c r="G1081" t="str">
        <f t="shared" si="66"/>
        <v>Insert into BlueCreditTypeRainbow Values (12, 3.9, 6, 13.9, 13, 0.0800782631300517)</v>
      </c>
      <c r="N1081" s="4">
        <v>1078</v>
      </c>
      <c r="O1081" s="8">
        <f>$B$7*COUNTIF(Sheet2!$B$1:$B$132,N1081)</f>
        <v>0</v>
      </c>
      <c r="P1081" s="8">
        <f t="shared" ca="1" si="64"/>
        <v>0</v>
      </c>
      <c r="Q1081" s="8">
        <f ca="1">CEILING(R1080*(IF(N1081&lt;=IF($B$2=0,0,OFFSET(Sheet2!$B$1,Sheet1!$B$2-1,0)),$B$1/(365*100),$B$3/(365*100)))*100,1)/100</f>
        <v>255.57</v>
      </c>
      <c r="R1081" s="9">
        <f t="shared" ca="1" si="65"/>
        <v>626298.65667523793</v>
      </c>
    </row>
    <row r="1082" spans="1:18" x14ac:dyDescent="0.25">
      <c r="A1082">
        <v>12</v>
      </c>
      <c r="B1082">
        <v>3.9</v>
      </c>
      <c r="C1082">
        <v>6</v>
      </c>
      <c r="D1082">
        <v>13.9</v>
      </c>
      <c r="E1082">
        <v>14</v>
      </c>
      <c r="F1082">
        <v>7.4730504308621881E-2</v>
      </c>
      <c r="G1082" t="str">
        <f t="shared" si="66"/>
        <v>Insert into BlueCreditTypeRainbow Values (12, 3.9, 6, 13.9, 14, 0.0747305043086219)</v>
      </c>
      <c r="N1082" s="4">
        <v>1079</v>
      </c>
      <c r="O1082" s="8">
        <f>$B$7*COUNTIF(Sheet2!$B$1:$B$132,N1082)</f>
        <v>0</v>
      </c>
      <c r="P1082" s="8">
        <f t="shared" ca="1" si="64"/>
        <v>0</v>
      </c>
      <c r="Q1082" s="8">
        <f ca="1">CEILING(R1081*(IF(N1082&lt;=IF($B$2=0,0,OFFSET(Sheet2!$B$1,Sheet1!$B$2-1,0)),$B$1/(365*100),$B$3/(365*100)))*100,1)/100</f>
        <v>255.67</v>
      </c>
      <c r="R1082" s="9">
        <f t="shared" ca="1" si="65"/>
        <v>626554.32667523797</v>
      </c>
    </row>
    <row r="1083" spans="1:18" x14ac:dyDescent="0.25">
      <c r="A1083">
        <v>12</v>
      </c>
      <c r="B1083">
        <v>3.9</v>
      </c>
      <c r="C1083">
        <v>6</v>
      </c>
      <c r="D1083">
        <v>13.9</v>
      </c>
      <c r="E1083">
        <v>15</v>
      </c>
      <c r="F1083">
        <v>7.0102142006333537E-2</v>
      </c>
      <c r="G1083" t="str">
        <f t="shared" si="66"/>
        <v>Insert into BlueCreditTypeRainbow Values (12, 3.9, 6, 13.9, 15, 0.0701021420063335)</v>
      </c>
      <c r="N1083" s="4">
        <v>1080</v>
      </c>
      <c r="O1083" s="8">
        <f>$B$7*COUNTIF(Sheet2!$B$1:$B$132,N1083)</f>
        <v>0</v>
      </c>
      <c r="P1083" s="8">
        <f t="shared" ca="1" si="64"/>
        <v>0</v>
      </c>
      <c r="Q1083" s="8">
        <f ca="1">CEILING(R1082*(IF(N1083&lt;=IF($B$2=0,0,OFFSET(Sheet2!$B$1,Sheet1!$B$2-1,0)),$B$1/(365*100),$B$3/(365*100)))*100,1)/100</f>
        <v>255.78</v>
      </c>
      <c r="R1083" s="9">
        <f t="shared" ca="1" si="65"/>
        <v>626810.106675238</v>
      </c>
    </row>
    <row r="1084" spans="1:18" x14ac:dyDescent="0.25">
      <c r="A1084">
        <v>12</v>
      </c>
      <c r="B1084">
        <v>3.9</v>
      </c>
      <c r="C1084">
        <v>6</v>
      </c>
      <c r="D1084">
        <v>13.9</v>
      </c>
      <c r="E1084">
        <v>16</v>
      </c>
      <c r="F1084">
        <v>6.6058835677231142E-2</v>
      </c>
      <c r="G1084" t="str">
        <f t="shared" si="66"/>
        <v>Insert into BlueCreditTypeRainbow Values (12, 3.9, 6, 13.9, 16, 0.0660588356772311)</v>
      </c>
      <c r="N1084" s="4">
        <v>1081</v>
      </c>
      <c r="O1084" s="8">
        <f>$B$7*COUNTIF(Sheet2!$B$1:$B$132,N1084)</f>
        <v>0</v>
      </c>
      <c r="P1084" s="8">
        <f t="shared" ca="1" si="64"/>
        <v>0</v>
      </c>
      <c r="Q1084" s="8">
        <f ca="1">CEILING(R1083*(IF(N1084&lt;=IF($B$2=0,0,OFFSET(Sheet2!$B$1,Sheet1!$B$2-1,0)),$B$1/(365*100),$B$3/(365*100)))*100,1)/100</f>
        <v>255.88</v>
      </c>
      <c r="R1084" s="9">
        <f t="shared" ca="1" si="65"/>
        <v>627065.986675238</v>
      </c>
    </row>
    <row r="1085" spans="1:18" x14ac:dyDescent="0.25">
      <c r="A1085">
        <v>12</v>
      </c>
      <c r="B1085">
        <v>3.9</v>
      </c>
      <c r="C1085">
        <v>6</v>
      </c>
      <c r="D1085">
        <v>13.9</v>
      </c>
      <c r="E1085">
        <v>17</v>
      </c>
      <c r="F1085">
        <v>6.2495244175204842E-2</v>
      </c>
      <c r="G1085" t="str">
        <f t="shared" si="66"/>
        <v>Insert into BlueCreditTypeRainbow Values (12, 3.9, 6, 13.9, 17, 0.0624952441752048)</v>
      </c>
      <c r="N1085" s="4">
        <v>1082</v>
      </c>
      <c r="O1085" s="8">
        <f>$B$7*COUNTIF(Sheet2!$B$1:$B$132,N1085)</f>
        <v>0</v>
      </c>
      <c r="P1085" s="8">
        <f t="shared" ca="1" si="64"/>
        <v>0</v>
      </c>
      <c r="Q1085" s="8">
        <f ca="1">CEILING(R1084*(IF(N1085&lt;=IF($B$2=0,0,OFFSET(Sheet2!$B$1,Sheet1!$B$2-1,0)),$B$1/(365*100),$B$3/(365*100)))*100,1)/100</f>
        <v>255.99</v>
      </c>
      <c r="R1085" s="9">
        <f t="shared" ca="1" si="65"/>
        <v>627321.97667523799</v>
      </c>
    </row>
    <row r="1086" spans="1:18" x14ac:dyDescent="0.25">
      <c r="A1086">
        <v>12</v>
      </c>
      <c r="B1086">
        <v>3.9</v>
      </c>
      <c r="C1086">
        <v>6</v>
      </c>
      <c r="D1086">
        <v>13.9</v>
      </c>
      <c r="E1086">
        <v>18</v>
      </c>
      <c r="F1086">
        <v>5.933207560608935E-2</v>
      </c>
      <c r="G1086" t="str">
        <f t="shared" si="66"/>
        <v>Insert into BlueCreditTypeRainbow Values (12, 3.9, 6, 13.9, 18, 0.0593320756060894)</v>
      </c>
      <c r="N1086" s="4">
        <v>1083</v>
      </c>
      <c r="O1086" s="8">
        <f>$B$7*COUNTIF(Sheet2!$B$1:$B$132,N1086)</f>
        <v>0</v>
      </c>
      <c r="P1086" s="8">
        <f t="shared" ca="1" si="64"/>
        <v>0</v>
      </c>
      <c r="Q1086" s="8">
        <f ca="1">CEILING(R1085*(IF(N1086&lt;=IF($B$2=0,0,OFFSET(Sheet2!$B$1,Sheet1!$B$2-1,0)),$B$1/(365*100),$B$3/(365*100)))*100,1)/100</f>
        <v>256.08999999999997</v>
      </c>
      <c r="R1086" s="9">
        <f t="shared" ca="1" si="65"/>
        <v>627578.06667523796</v>
      </c>
    </row>
    <row r="1087" spans="1:18" x14ac:dyDescent="0.25">
      <c r="A1087">
        <v>12</v>
      </c>
      <c r="B1087">
        <v>3.9</v>
      </c>
      <c r="C1087">
        <v>6</v>
      </c>
      <c r="D1087">
        <v>13.9</v>
      </c>
      <c r="E1087">
        <v>19</v>
      </c>
      <c r="F1087">
        <v>5.6504594789347523E-2</v>
      </c>
      <c r="G1087" t="str">
        <f t="shared" si="66"/>
        <v>Insert into BlueCreditTypeRainbow Values (12, 3.9, 6, 13.9, 19, 0.0565045947893475)</v>
      </c>
      <c r="N1087" s="4">
        <v>1084</v>
      </c>
      <c r="O1087" s="8">
        <f>$B$7*COUNTIF(Sheet2!$B$1:$B$132,N1087)</f>
        <v>0</v>
      </c>
      <c r="P1087" s="8">
        <f t="shared" ca="1" si="64"/>
        <v>0</v>
      </c>
      <c r="Q1087" s="8">
        <f ca="1">CEILING(R1086*(IF(N1087&lt;=IF($B$2=0,0,OFFSET(Sheet2!$B$1,Sheet1!$B$2-1,0)),$B$1/(365*100),$B$3/(365*100)))*100,1)/100</f>
        <v>256.19</v>
      </c>
      <c r="R1087" s="9">
        <f t="shared" ca="1" si="65"/>
        <v>627834.25667523791</v>
      </c>
    </row>
    <row r="1088" spans="1:18" x14ac:dyDescent="0.25">
      <c r="A1088">
        <v>12</v>
      </c>
      <c r="B1088">
        <v>3.9</v>
      </c>
      <c r="C1088">
        <v>6</v>
      </c>
      <c r="D1088">
        <v>13.9</v>
      </c>
      <c r="E1088">
        <v>20</v>
      </c>
      <c r="F1088">
        <v>5.3962238037545664E-2</v>
      </c>
      <c r="G1088" t="str">
        <f t="shared" si="66"/>
        <v>Insert into BlueCreditTypeRainbow Values (12, 3.9, 6, 13.9, 20, 0.0539622380375457)</v>
      </c>
      <c r="N1088" s="4">
        <v>1085</v>
      </c>
      <c r="O1088" s="8">
        <f>$B$7*COUNTIF(Sheet2!$B$1:$B$132,N1088)</f>
        <v>0</v>
      </c>
      <c r="P1088" s="8">
        <f t="shared" ca="1" si="64"/>
        <v>0</v>
      </c>
      <c r="Q1088" s="8">
        <f ca="1">CEILING(R1087*(IF(N1088&lt;=IF($B$2=0,0,OFFSET(Sheet2!$B$1,Sheet1!$B$2-1,0)),$B$1/(365*100),$B$3/(365*100)))*100,1)/100</f>
        <v>256.3</v>
      </c>
      <c r="R1088" s="9">
        <f t="shared" ca="1" si="65"/>
        <v>628090.55667523795</v>
      </c>
    </row>
    <row r="1089" spans="1:18" x14ac:dyDescent="0.25">
      <c r="A1089">
        <v>12</v>
      </c>
      <c r="B1089">
        <v>3.9</v>
      </c>
      <c r="C1089">
        <v>6</v>
      </c>
      <c r="D1089">
        <v>13.9</v>
      </c>
      <c r="E1089">
        <v>21</v>
      </c>
      <c r="F1089">
        <v>5.1664910027925413E-2</v>
      </c>
      <c r="G1089" t="str">
        <f t="shared" si="66"/>
        <v>Insert into BlueCreditTypeRainbow Values (12, 3.9, 6, 13.9, 21, 0.0516649100279254)</v>
      </c>
      <c r="N1089" s="4">
        <v>1086</v>
      </c>
      <c r="O1089" s="8">
        <f>$B$7*COUNTIF(Sheet2!$B$1:$B$132,N1089)</f>
        <v>0</v>
      </c>
      <c r="P1089" s="8">
        <f t="shared" ca="1" si="64"/>
        <v>0</v>
      </c>
      <c r="Q1089" s="8">
        <f ca="1">CEILING(R1088*(IF(N1089&lt;=IF($B$2=0,0,OFFSET(Sheet2!$B$1,Sheet1!$B$2-1,0)),$B$1/(365*100),$B$3/(365*100)))*100,1)/100</f>
        <v>256.39999999999998</v>
      </c>
      <c r="R1089" s="9">
        <f t="shared" ca="1" si="65"/>
        <v>628346.95667523798</v>
      </c>
    </row>
    <row r="1090" spans="1:18" x14ac:dyDescent="0.25">
      <c r="A1090">
        <v>12</v>
      </c>
      <c r="B1090">
        <v>3.9</v>
      </c>
      <c r="C1090">
        <v>6</v>
      </c>
      <c r="D1090">
        <v>13.9</v>
      </c>
      <c r="E1090">
        <v>22</v>
      </c>
      <c r="F1090">
        <v>4.9578189587155416E-2</v>
      </c>
      <c r="G1090" t="str">
        <f t="shared" si="66"/>
        <v>Insert into BlueCreditTypeRainbow Values (12, 3.9, 6, 13.9, 22, 0.0495781895871554)</v>
      </c>
      <c r="N1090" s="4">
        <v>1087</v>
      </c>
      <c r="O1090" s="8">
        <f>$B$7*COUNTIF(Sheet2!$B$1:$B$132,N1090)</f>
        <v>0</v>
      </c>
      <c r="P1090" s="8">
        <f t="shared" ca="1" si="64"/>
        <v>0</v>
      </c>
      <c r="Q1090" s="8">
        <f ca="1">CEILING(R1089*(IF(N1090&lt;=IF($B$2=0,0,OFFSET(Sheet2!$B$1,Sheet1!$B$2-1,0)),$B$1/(365*100),$B$3/(365*100)))*100,1)/100</f>
        <v>256.51</v>
      </c>
      <c r="R1090" s="9">
        <f t="shared" ca="1" si="65"/>
        <v>628603.46667523799</v>
      </c>
    </row>
    <row r="1091" spans="1:18" x14ac:dyDescent="0.25">
      <c r="A1091">
        <v>12</v>
      </c>
      <c r="B1091">
        <v>3.9</v>
      </c>
      <c r="C1091">
        <v>6</v>
      </c>
      <c r="D1091">
        <v>13.9</v>
      </c>
      <c r="E1091">
        <v>23</v>
      </c>
      <c r="F1091">
        <v>4.7675213925796711E-2</v>
      </c>
      <c r="G1091" t="str">
        <f t="shared" si="66"/>
        <v>Insert into BlueCreditTypeRainbow Values (12, 3.9, 6, 13.9, 23, 0.0476752139257967)</v>
      </c>
      <c r="N1091" s="4">
        <v>1088</v>
      </c>
      <c r="O1091" s="8">
        <f>$B$7*COUNTIF(Sheet2!$B$1:$B$132,N1091)</f>
        <v>0</v>
      </c>
      <c r="P1091" s="8">
        <f t="shared" ca="1" si="64"/>
        <v>0</v>
      </c>
      <c r="Q1091" s="8">
        <f ca="1">CEILING(R1090*(IF(N1091&lt;=IF($B$2=0,0,OFFSET(Sheet2!$B$1,Sheet1!$B$2-1,0)),$B$1/(365*100),$B$3/(365*100)))*100,1)/100</f>
        <v>256.61</v>
      </c>
      <c r="R1091" s="9">
        <f t="shared" ca="1" si="65"/>
        <v>628860.07667523797</v>
      </c>
    </row>
    <row r="1092" spans="1:18" x14ac:dyDescent="0.25">
      <c r="A1092">
        <v>12</v>
      </c>
      <c r="B1092">
        <v>3.9</v>
      </c>
      <c r="C1092">
        <v>6</v>
      </c>
      <c r="D1092">
        <v>13.9</v>
      </c>
      <c r="E1092">
        <v>24</v>
      </c>
      <c r="F1092">
        <v>4.5932208533480831E-2</v>
      </c>
      <c r="G1092" t="str">
        <f t="shared" si="66"/>
        <v>Insert into BlueCreditTypeRainbow Values (12, 3.9, 6, 13.9, 24, 0.0459322085334808)</v>
      </c>
      <c r="N1092" s="4">
        <v>1089</v>
      </c>
      <c r="O1092" s="8">
        <f>$B$7*COUNTIF(Sheet2!$B$1:$B$132,N1092)</f>
        <v>0</v>
      </c>
      <c r="P1092" s="8">
        <f t="shared" ca="1" si="64"/>
        <v>0</v>
      </c>
      <c r="Q1092" s="8">
        <f ca="1">CEILING(R1091*(IF(N1092&lt;=IF($B$2=0,0,OFFSET(Sheet2!$B$1,Sheet1!$B$2-1,0)),$B$1/(365*100),$B$3/(365*100)))*100,1)/100</f>
        <v>256.72000000000003</v>
      </c>
      <c r="R1092" s="9">
        <f t="shared" ca="1" si="65"/>
        <v>629116.79667523794</v>
      </c>
    </row>
    <row r="1093" spans="1:18" x14ac:dyDescent="0.25">
      <c r="A1093">
        <v>12</v>
      </c>
      <c r="B1093">
        <v>3.9</v>
      </c>
      <c r="C1093">
        <v>5</v>
      </c>
      <c r="D1093">
        <v>13.9</v>
      </c>
      <c r="E1093">
        <v>12</v>
      </c>
      <c r="F1093">
        <v>8.674934749999999E-2</v>
      </c>
      <c r="G1093" t="str">
        <f t="shared" si="66"/>
        <v>Insert into BlueCreditTypeRainbow Values (12, 3.9, 5, 13.9, 12, 0.0867493475)</v>
      </c>
      <c r="N1093" s="4">
        <v>1090</v>
      </c>
      <c r="O1093" s="8">
        <f>$B$7*COUNTIF(Sheet2!$B$1:$B$132,N1093)</f>
        <v>0</v>
      </c>
      <c r="P1093" s="8">
        <f t="shared" ref="P1093:P1156" ca="1" si="67">IF(O1093-Q1093&gt; 0, O1093-Q1093, 0)</f>
        <v>0</v>
      </c>
      <c r="Q1093" s="8">
        <f ca="1">CEILING(R1092*(IF(N1093&lt;=IF($B$2=0,0,OFFSET(Sheet2!$B$1,Sheet1!$B$2-1,0)),$B$1/(365*100),$B$3/(365*100)))*100,1)/100</f>
        <v>256.82</v>
      </c>
      <c r="R1093" s="9">
        <f t="shared" ref="R1093:R1156" ca="1" si="68">R1092+Q1093-O1093</f>
        <v>629373.61667523789</v>
      </c>
    </row>
    <row r="1094" spans="1:18" x14ac:dyDescent="0.25">
      <c r="A1094">
        <v>12</v>
      </c>
      <c r="B1094">
        <v>3.9</v>
      </c>
      <c r="C1094">
        <v>5</v>
      </c>
      <c r="D1094">
        <v>13.9</v>
      </c>
      <c r="E1094">
        <v>13</v>
      </c>
      <c r="F1094">
        <v>8.0488967766891628E-2</v>
      </c>
      <c r="G1094" t="str">
        <f t="shared" si="66"/>
        <v>Insert into BlueCreditTypeRainbow Values (12, 3.9, 5, 13.9, 13, 0.0804889677668916)</v>
      </c>
      <c r="N1094" s="4">
        <v>1091</v>
      </c>
      <c r="O1094" s="8">
        <f>$B$7*COUNTIF(Sheet2!$B$1:$B$132,N1094)</f>
        <v>0</v>
      </c>
      <c r="P1094" s="8">
        <f t="shared" ca="1" si="67"/>
        <v>0</v>
      </c>
      <c r="Q1094" s="8">
        <f ca="1">CEILING(R1093*(IF(N1094&lt;=IF($B$2=0,0,OFFSET(Sheet2!$B$1,Sheet1!$B$2-1,0)),$B$1/(365*100),$B$3/(365*100)))*100,1)/100</f>
        <v>256.93</v>
      </c>
      <c r="R1094" s="9">
        <f t="shared" ca="1" si="68"/>
        <v>629630.54667523794</v>
      </c>
    </row>
    <row r="1095" spans="1:18" x14ac:dyDescent="0.25">
      <c r="A1095">
        <v>12</v>
      </c>
      <c r="B1095">
        <v>3.9</v>
      </c>
      <c r="C1095">
        <v>5</v>
      </c>
      <c r="D1095">
        <v>13.9</v>
      </c>
      <c r="E1095">
        <v>14</v>
      </c>
      <c r="F1095">
        <v>7.5130688584327004E-2</v>
      </c>
      <c r="G1095" t="str">
        <f t="shared" si="66"/>
        <v>Insert into BlueCreditTypeRainbow Values (12, 3.9, 5, 13.9, 14, 0.075130688584327)</v>
      </c>
      <c r="N1095" s="4">
        <v>1092</v>
      </c>
      <c r="O1095" s="8">
        <f>$B$7*COUNTIF(Sheet2!$B$1:$B$132,N1095)</f>
        <v>0</v>
      </c>
      <c r="P1095" s="8">
        <f t="shared" ca="1" si="67"/>
        <v>0</v>
      </c>
      <c r="Q1095" s="8">
        <f ca="1">CEILING(R1094*(IF(N1095&lt;=IF($B$2=0,0,OFFSET(Sheet2!$B$1,Sheet1!$B$2-1,0)),$B$1/(365*100),$B$3/(365*100)))*100,1)/100</f>
        <v>257.02999999999997</v>
      </c>
      <c r="R1095" s="9">
        <f t="shared" ca="1" si="68"/>
        <v>629887.57667523797</v>
      </c>
    </row>
    <row r="1096" spans="1:18" x14ac:dyDescent="0.25">
      <c r="A1096">
        <v>12</v>
      </c>
      <c r="B1096">
        <v>3.9</v>
      </c>
      <c r="C1096">
        <v>5</v>
      </c>
      <c r="D1096">
        <v>13.9</v>
      </c>
      <c r="E1096">
        <v>15</v>
      </c>
      <c r="F1096">
        <v>7.0491261999999999E-2</v>
      </c>
      <c r="G1096" t="str">
        <f t="shared" si="66"/>
        <v>Insert into BlueCreditTypeRainbow Values (12, 3.9, 5, 13.9, 15, 0.070491262)</v>
      </c>
      <c r="N1096" s="4">
        <v>1093</v>
      </c>
      <c r="O1096" s="8">
        <f>$B$7*COUNTIF(Sheet2!$B$1:$B$132,N1096)</f>
        <v>0</v>
      </c>
      <c r="P1096" s="8">
        <f t="shared" ca="1" si="67"/>
        <v>0</v>
      </c>
      <c r="Q1096" s="8">
        <f ca="1">CEILING(R1095*(IF(N1096&lt;=IF($B$2=0,0,OFFSET(Sheet2!$B$1,Sheet1!$B$2-1,0)),$B$1/(365*100),$B$3/(365*100)))*100,1)/100</f>
        <v>257.14</v>
      </c>
      <c r="R1096" s="9">
        <f t="shared" ca="1" si="68"/>
        <v>630144.71667523799</v>
      </c>
    </row>
    <row r="1097" spans="1:18" x14ac:dyDescent="0.25">
      <c r="A1097">
        <v>12</v>
      </c>
      <c r="B1097">
        <v>3.9</v>
      </c>
      <c r="C1097">
        <v>5</v>
      </c>
      <c r="D1097">
        <v>13.9</v>
      </c>
      <c r="E1097">
        <v>16</v>
      </c>
      <c r="F1097">
        <v>6.6436834416200893E-2</v>
      </c>
      <c r="G1097" t="str">
        <f t="shared" si="66"/>
        <v>Insert into BlueCreditTypeRainbow Values (12, 3.9, 5, 13.9, 16, 0.0664368344162009)</v>
      </c>
      <c r="N1097" s="4">
        <v>1094</v>
      </c>
      <c r="O1097" s="8">
        <f>$B$7*COUNTIF(Sheet2!$B$1:$B$132,N1097)</f>
        <v>0</v>
      </c>
      <c r="P1097" s="8">
        <f t="shared" ca="1" si="67"/>
        <v>0</v>
      </c>
      <c r="Q1097" s="8">
        <f ca="1">CEILING(R1096*(IF(N1097&lt;=IF($B$2=0,0,OFFSET(Sheet2!$B$1,Sheet1!$B$2-1,0)),$B$1/(365*100),$B$3/(365*100)))*100,1)/100</f>
        <v>257.24</v>
      </c>
      <c r="R1097" s="9">
        <f t="shared" ca="1" si="68"/>
        <v>630401.95667523798</v>
      </c>
    </row>
    <row r="1098" spans="1:18" x14ac:dyDescent="0.25">
      <c r="A1098">
        <v>12</v>
      </c>
      <c r="B1098">
        <v>3.9</v>
      </c>
      <c r="C1098">
        <v>5</v>
      </c>
      <c r="D1098">
        <v>13.9</v>
      </c>
      <c r="E1098">
        <v>17</v>
      </c>
      <c r="F1098">
        <v>6.2862275882352964E-2</v>
      </c>
      <c r="G1098" t="str">
        <f t="shared" si="66"/>
        <v>Insert into BlueCreditTypeRainbow Values (12, 3.9, 5, 13.9, 17, 0.062862275882353)</v>
      </c>
      <c r="N1098" s="4">
        <v>1095</v>
      </c>
      <c r="O1098" s="8">
        <f>$B$7*COUNTIF(Sheet2!$B$1:$B$132,N1098)</f>
        <v>0</v>
      </c>
      <c r="P1098" s="8">
        <f t="shared" ca="1" si="67"/>
        <v>0</v>
      </c>
      <c r="Q1098" s="8">
        <f ca="1">CEILING(R1097*(IF(N1098&lt;=IF($B$2=0,0,OFFSET(Sheet2!$B$1,Sheet1!$B$2-1,0)),$B$1/(365*100),$B$3/(365*100)))*100,1)/100</f>
        <v>257.35000000000002</v>
      </c>
      <c r="R1098" s="9">
        <f t="shared" ca="1" si="68"/>
        <v>630659.30667523795</v>
      </c>
    </row>
    <row r="1099" spans="1:18" x14ac:dyDescent="0.25">
      <c r="A1099">
        <v>12</v>
      </c>
      <c r="B1099">
        <v>3.9</v>
      </c>
      <c r="C1099">
        <v>5</v>
      </c>
      <c r="D1099">
        <v>13.9</v>
      </c>
      <c r="E1099">
        <v>18</v>
      </c>
      <c r="F1099">
        <v>5.9688484478244909E-2</v>
      </c>
      <c r="G1099" t="str">
        <f t="shared" si="66"/>
        <v>Insert into BlueCreditTypeRainbow Values (12, 3.9, 5, 13.9, 18, 0.0596884844782449)</v>
      </c>
      <c r="N1099" s="4">
        <v>1096</v>
      </c>
      <c r="O1099" s="8">
        <f>$B$7*COUNTIF(Sheet2!$B$1:$B$132,N1099)</f>
        <v>0</v>
      </c>
      <c r="P1099" s="8">
        <f t="shared" ca="1" si="67"/>
        <v>0</v>
      </c>
      <c r="Q1099" s="8">
        <f ca="1">CEILING(R1098*(IF(N1099&lt;=IF($B$2=0,0,OFFSET(Sheet2!$B$1,Sheet1!$B$2-1,0)),$B$1/(365*100),$B$3/(365*100)))*100,1)/100</f>
        <v>257.45</v>
      </c>
      <c r="R1099" s="9">
        <f t="shared" ca="1" si="68"/>
        <v>630916.75667523791</v>
      </c>
    </row>
    <row r="1100" spans="1:18" x14ac:dyDescent="0.25">
      <c r="A1100">
        <v>12</v>
      </c>
      <c r="B1100">
        <v>3.9</v>
      </c>
      <c r="C1100">
        <v>5</v>
      </c>
      <c r="D1100">
        <v>13.9</v>
      </c>
      <c r="E1100">
        <v>19</v>
      </c>
      <c r="F1100">
        <v>5.6850795263157942E-2</v>
      </c>
      <c r="G1100" t="str">
        <f t="shared" si="66"/>
        <v>Insert into BlueCreditTypeRainbow Values (12, 3.9, 5, 13.9, 19, 0.0568507952631579)</v>
      </c>
      <c r="N1100" s="4">
        <v>1097</v>
      </c>
      <c r="O1100" s="8">
        <f>$B$7*COUNTIF(Sheet2!$B$1:$B$132,N1100)</f>
        <v>21157.10552356458</v>
      </c>
      <c r="P1100" s="8">
        <f t="shared" ca="1" si="67"/>
        <v>20899.545523564579</v>
      </c>
      <c r="Q1100" s="8">
        <f ca="1">CEILING(R1099*(IF(N1100&lt;=IF($B$2=0,0,OFFSET(Sheet2!$B$1,Sheet1!$B$2-1,0)),$B$1/(365*100),$B$3/(365*100)))*100,1)/100</f>
        <v>257.56</v>
      </c>
      <c r="R1100" s="9">
        <f t="shared" ca="1" si="68"/>
        <v>610017.21115167334</v>
      </c>
    </row>
    <row r="1101" spans="1:18" x14ac:dyDescent="0.25">
      <c r="A1101">
        <v>12</v>
      </c>
      <c r="B1101">
        <v>3.9</v>
      </c>
      <c r="C1101">
        <v>5</v>
      </c>
      <c r="D1101">
        <v>13.9</v>
      </c>
      <c r="E1101">
        <v>20</v>
      </c>
      <c r="F1101">
        <v>5.4298667499999981E-2</v>
      </c>
      <c r="G1101" t="str">
        <f t="shared" si="66"/>
        <v>Insert into BlueCreditTypeRainbow Values (12, 3.9, 5, 13.9, 20, 0.0542986675)</v>
      </c>
      <c r="N1101" s="4">
        <v>1098</v>
      </c>
      <c r="O1101" s="8">
        <f>$B$7*COUNTIF(Sheet2!$B$1:$B$132,N1101)</f>
        <v>0</v>
      </c>
      <c r="P1101" s="8">
        <f t="shared" ca="1" si="67"/>
        <v>0</v>
      </c>
      <c r="Q1101" s="8">
        <f ca="1">CEILING(R1100*(IF(N1101&lt;=IF($B$2=0,0,OFFSET(Sheet2!$B$1,Sheet1!$B$2-1,0)),$B$1/(365*100),$B$3/(365*100)))*100,1)/100</f>
        <v>249.03</v>
      </c>
      <c r="R1101" s="9">
        <f t="shared" ca="1" si="68"/>
        <v>610266.24115167337</v>
      </c>
    </row>
    <row r="1102" spans="1:18" x14ac:dyDescent="0.25">
      <c r="A1102">
        <v>12</v>
      </c>
      <c r="B1102">
        <v>3.9</v>
      </c>
      <c r="C1102">
        <v>5</v>
      </c>
      <c r="D1102">
        <v>13.9</v>
      </c>
      <c r="E1102">
        <v>21</v>
      </c>
      <c r="F1102">
        <v>5.1992052409112456E-2</v>
      </c>
      <c r="G1102" t="str">
        <f t="shared" si="66"/>
        <v>Insert into BlueCreditTypeRainbow Values (12, 3.9, 5, 13.9, 21, 0.0519920524091125)</v>
      </c>
      <c r="N1102" s="4">
        <v>1099</v>
      </c>
      <c r="O1102" s="8">
        <f>$B$7*COUNTIF(Sheet2!$B$1:$B$132,N1102)</f>
        <v>0</v>
      </c>
      <c r="P1102" s="8">
        <f t="shared" ca="1" si="67"/>
        <v>0</v>
      </c>
      <c r="Q1102" s="8">
        <f ca="1">CEILING(R1101*(IF(N1102&lt;=IF($B$2=0,0,OFFSET(Sheet2!$B$1,Sheet1!$B$2-1,0)),$B$1/(365*100),$B$3/(365*100)))*100,1)/100</f>
        <v>249.13</v>
      </c>
      <c r="R1102" s="9">
        <f t="shared" ca="1" si="68"/>
        <v>610515.37115167337</v>
      </c>
    </row>
    <row r="1103" spans="1:18" x14ac:dyDescent="0.25">
      <c r="A1103">
        <v>12</v>
      </c>
      <c r="B1103">
        <v>3.9</v>
      </c>
      <c r="C1103">
        <v>5</v>
      </c>
      <c r="D1103">
        <v>13.9</v>
      </c>
      <c r="E1103">
        <v>22</v>
      </c>
      <c r="F1103">
        <v>4.9896512312255628E-2</v>
      </c>
      <c r="G1103" t="str">
        <f t="shared" ref="G1103:G1166" si="69">CONCATENATE("Insert into BlueCreditTypeRainbow Values (",A1103,", ",B1103,", ",C1103,", ",D1103,", ",E1103,", ",F1103,")")</f>
        <v>Insert into BlueCreditTypeRainbow Values (12, 3.9, 5, 13.9, 22, 0.0498965123122556)</v>
      </c>
      <c r="N1103" s="4">
        <v>1100</v>
      </c>
      <c r="O1103" s="8">
        <f>$B$7*COUNTIF(Sheet2!$B$1:$B$132,N1103)</f>
        <v>0</v>
      </c>
      <c r="P1103" s="8">
        <f t="shared" ca="1" si="67"/>
        <v>0</v>
      </c>
      <c r="Q1103" s="8">
        <f ca="1">CEILING(R1102*(IF(N1103&lt;=IF($B$2=0,0,OFFSET(Sheet2!$B$1,Sheet1!$B$2-1,0)),$B$1/(365*100),$B$3/(365*100)))*100,1)/100</f>
        <v>249.23</v>
      </c>
      <c r="R1103" s="9">
        <f t="shared" ca="1" si="68"/>
        <v>610764.60115167336</v>
      </c>
    </row>
    <row r="1104" spans="1:18" x14ac:dyDescent="0.25">
      <c r="A1104">
        <v>12</v>
      </c>
      <c r="B1104">
        <v>3.9</v>
      </c>
      <c r="C1104">
        <v>5</v>
      </c>
      <c r="D1104">
        <v>13.9</v>
      </c>
      <c r="E1104">
        <v>23</v>
      </c>
      <c r="F1104">
        <v>4.798515871760637E-2</v>
      </c>
      <c r="G1104" t="str">
        <f t="shared" si="69"/>
        <v>Insert into BlueCreditTypeRainbow Values (12, 3.9, 5, 13.9, 23, 0.0479851587176064)</v>
      </c>
      <c r="N1104" s="4">
        <v>1101</v>
      </c>
      <c r="O1104" s="8">
        <f>$B$7*COUNTIF(Sheet2!$B$1:$B$132,N1104)</f>
        <v>0</v>
      </c>
      <c r="P1104" s="8">
        <f t="shared" ca="1" si="67"/>
        <v>0</v>
      </c>
      <c r="Q1104" s="8">
        <f ca="1">CEILING(R1103*(IF(N1104&lt;=IF($B$2=0,0,OFFSET(Sheet2!$B$1,Sheet1!$B$2-1,0)),$B$1/(365*100),$B$3/(365*100)))*100,1)/100</f>
        <v>249.33</v>
      </c>
      <c r="R1104" s="9">
        <f t="shared" ca="1" si="68"/>
        <v>611013.93115167331</v>
      </c>
    </row>
    <row r="1105" spans="1:18" x14ac:dyDescent="0.25">
      <c r="A1105">
        <v>12</v>
      </c>
      <c r="B1105">
        <v>3.9</v>
      </c>
      <c r="C1105">
        <v>5</v>
      </c>
      <c r="D1105">
        <v>13.9</v>
      </c>
      <c r="E1105">
        <v>24</v>
      </c>
      <c r="F1105">
        <v>4.6234218750000035E-2</v>
      </c>
      <c r="G1105" t="str">
        <f t="shared" si="69"/>
        <v>Insert into BlueCreditTypeRainbow Values (12, 3.9, 5, 13.9, 24, 0.04623421875)</v>
      </c>
      <c r="N1105" s="4">
        <v>1102</v>
      </c>
      <c r="O1105" s="8">
        <f>$B$7*COUNTIF(Sheet2!$B$1:$B$132,N1105)</f>
        <v>0</v>
      </c>
      <c r="P1105" s="8">
        <f t="shared" ca="1" si="67"/>
        <v>0</v>
      </c>
      <c r="Q1105" s="8">
        <f ca="1">CEILING(R1104*(IF(N1105&lt;=IF($B$2=0,0,OFFSET(Sheet2!$B$1,Sheet1!$B$2-1,0)),$B$1/(365*100),$B$3/(365*100)))*100,1)/100</f>
        <v>249.43</v>
      </c>
      <c r="R1105" s="9">
        <f t="shared" ca="1" si="68"/>
        <v>611263.36115167337</v>
      </c>
    </row>
    <row r="1106" spans="1:18" x14ac:dyDescent="0.25">
      <c r="A1106">
        <v>12</v>
      </c>
      <c r="B1106">
        <v>3.9</v>
      </c>
      <c r="C1106">
        <v>4</v>
      </c>
      <c r="D1106">
        <v>13.9</v>
      </c>
      <c r="E1106">
        <v>12</v>
      </c>
      <c r="F1106">
        <v>8.7217436686028313E-2</v>
      </c>
      <c r="G1106" t="str">
        <f t="shared" si="69"/>
        <v>Insert into BlueCreditTypeRainbow Values (12, 3.9, 4, 13.9, 12, 0.0872174366860283)</v>
      </c>
      <c r="N1106" s="4">
        <v>1103</v>
      </c>
      <c r="O1106" s="8">
        <f>$B$7*COUNTIF(Sheet2!$B$1:$B$132,N1106)</f>
        <v>0</v>
      </c>
      <c r="P1106" s="8">
        <f t="shared" ca="1" si="67"/>
        <v>0</v>
      </c>
      <c r="Q1106" s="8">
        <f ca="1">CEILING(R1105*(IF(N1106&lt;=IF($B$2=0,0,OFFSET(Sheet2!$B$1,Sheet1!$B$2-1,0)),$B$1/(365*100),$B$3/(365*100)))*100,1)/100</f>
        <v>249.53</v>
      </c>
      <c r="R1106" s="9">
        <f t="shared" ca="1" si="68"/>
        <v>611512.89115167339</v>
      </c>
    </row>
    <row r="1107" spans="1:18" x14ac:dyDescent="0.25">
      <c r="A1107">
        <v>12</v>
      </c>
      <c r="B1107">
        <v>3.9</v>
      </c>
      <c r="C1107">
        <v>4</v>
      </c>
      <c r="D1107">
        <v>13.9</v>
      </c>
      <c r="E1107">
        <v>13</v>
      </c>
      <c r="F1107">
        <v>8.0939806984851939E-2</v>
      </c>
      <c r="G1107" t="str">
        <f t="shared" si="69"/>
        <v>Insert into BlueCreditTypeRainbow Values (12, 3.9, 4, 13.9, 13, 0.0809398069848519)</v>
      </c>
      <c r="N1107" s="4">
        <v>1104</v>
      </c>
      <c r="O1107" s="8">
        <f>$B$7*COUNTIF(Sheet2!$B$1:$B$132,N1107)</f>
        <v>0</v>
      </c>
      <c r="P1107" s="8">
        <f t="shared" ca="1" si="67"/>
        <v>0</v>
      </c>
      <c r="Q1107" s="8">
        <f ca="1">CEILING(R1106*(IF(N1107&lt;=IF($B$2=0,0,OFFSET(Sheet2!$B$1,Sheet1!$B$2-1,0)),$B$1/(365*100),$B$3/(365*100)))*100,1)/100</f>
        <v>249.64</v>
      </c>
      <c r="R1107" s="9">
        <f t="shared" ca="1" si="68"/>
        <v>611762.53115167341</v>
      </c>
    </row>
    <row r="1108" spans="1:18" x14ac:dyDescent="0.25">
      <c r="A1108">
        <v>12</v>
      </c>
      <c r="B1108">
        <v>3.9</v>
      </c>
      <c r="C1108">
        <v>4</v>
      </c>
      <c r="D1108">
        <v>13.9</v>
      </c>
      <c r="E1108">
        <v>14</v>
      </c>
      <c r="F1108">
        <v>7.5564742236210944E-2</v>
      </c>
      <c r="G1108" t="str">
        <f t="shared" si="69"/>
        <v>Insert into BlueCreditTypeRainbow Values (12, 3.9, 4, 13.9, 14, 0.0755647422362109)</v>
      </c>
      <c r="N1108" s="4">
        <v>1105</v>
      </c>
      <c r="O1108" s="8">
        <f>$B$7*COUNTIF(Sheet2!$B$1:$B$132,N1108)</f>
        <v>0</v>
      </c>
      <c r="P1108" s="8">
        <f t="shared" ca="1" si="67"/>
        <v>0</v>
      </c>
      <c r="Q1108" s="8">
        <f ca="1">CEILING(R1107*(IF(N1108&lt;=IF($B$2=0,0,OFFSET(Sheet2!$B$1,Sheet1!$B$2-1,0)),$B$1/(365*100),$B$3/(365*100)))*100,1)/100</f>
        <v>249.74</v>
      </c>
      <c r="R1108" s="9">
        <f t="shared" ca="1" si="68"/>
        <v>612012.2711516734</v>
      </c>
    </row>
    <row r="1109" spans="1:18" x14ac:dyDescent="0.25">
      <c r="A1109">
        <v>12</v>
      </c>
      <c r="B1109">
        <v>3.9</v>
      </c>
      <c r="C1109">
        <v>4</v>
      </c>
      <c r="D1109">
        <v>13.9</v>
      </c>
      <c r="E1109">
        <v>15</v>
      </c>
      <c r="F1109">
        <v>7.0909249333333341E-2</v>
      </c>
      <c r="G1109" t="str">
        <f t="shared" si="69"/>
        <v>Insert into BlueCreditTypeRainbow Values (12, 3.9, 4, 13.9, 15, 0.0709092493333333)</v>
      </c>
      <c r="N1109" s="4">
        <v>1106</v>
      </c>
      <c r="O1109" s="8">
        <f>$B$7*COUNTIF(Sheet2!$B$1:$B$132,N1109)</f>
        <v>0</v>
      </c>
      <c r="P1109" s="8">
        <f t="shared" ca="1" si="67"/>
        <v>0</v>
      </c>
      <c r="Q1109" s="8">
        <f ca="1">CEILING(R1108*(IF(N1109&lt;=IF($B$2=0,0,OFFSET(Sheet2!$B$1,Sheet1!$B$2-1,0)),$B$1/(365*100),$B$3/(365*100)))*100,1)/100</f>
        <v>249.84</v>
      </c>
      <c r="R1109" s="9">
        <f t="shared" ca="1" si="68"/>
        <v>612262.11115167337</v>
      </c>
    </row>
    <row r="1110" spans="1:18" x14ac:dyDescent="0.25">
      <c r="A1110">
        <v>12</v>
      </c>
      <c r="B1110">
        <v>3.9</v>
      </c>
      <c r="C1110">
        <v>4</v>
      </c>
      <c r="D1110">
        <v>13.9</v>
      </c>
      <c r="E1110">
        <v>16</v>
      </c>
      <c r="F1110">
        <v>6.6839654395856846E-2</v>
      </c>
      <c r="G1110" t="str">
        <f t="shared" si="69"/>
        <v>Insert into BlueCreditTypeRainbow Values (12, 3.9, 4, 13.9, 16, 0.0668396543958568)</v>
      </c>
      <c r="N1110" s="4">
        <v>1107</v>
      </c>
      <c r="O1110" s="8">
        <f>$B$7*COUNTIF(Sheet2!$B$1:$B$132,N1110)</f>
        <v>0</v>
      </c>
      <c r="P1110" s="8">
        <f t="shared" ca="1" si="67"/>
        <v>0</v>
      </c>
      <c r="Q1110" s="8">
        <f ca="1">CEILING(R1109*(IF(N1110&lt;=IF($B$2=0,0,OFFSET(Sheet2!$B$1,Sheet1!$B$2-1,0)),$B$1/(365*100),$B$3/(365*100)))*100,1)/100</f>
        <v>249.94</v>
      </c>
      <c r="R1110" s="9">
        <f t="shared" ca="1" si="68"/>
        <v>612512.05115167331</v>
      </c>
    </row>
    <row r="1111" spans="1:18" x14ac:dyDescent="0.25">
      <c r="A1111">
        <v>12</v>
      </c>
      <c r="B1111">
        <v>3.9</v>
      </c>
      <c r="C1111">
        <v>4</v>
      </c>
      <c r="D1111">
        <v>13.9</v>
      </c>
      <c r="E1111">
        <v>17</v>
      </c>
      <c r="F1111">
        <v>6.3250793529411764E-2</v>
      </c>
      <c r="G1111" t="str">
        <f t="shared" si="69"/>
        <v>Insert into BlueCreditTypeRainbow Values (12, 3.9, 4, 13.9, 17, 0.0632507935294118)</v>
      </c>
      <c r="N1111" s="4">
        <v>1108</v>
      </c>
      <c r="O1111" s="8">
        <f>$B$7*COUNTIF(Sheet2!$B$1:$B$132,N1111)</f>
        <v>0</v>
      </c>
      <c r="P1111" s="8">
        <f t="shared" ca="1" si="67"/>
        <v>0</v>
      </c>
      <c r="Q1111" s="8">
        <f ca="1">CEILING(R1110*(IF(N1111&lt;=IF($B$2=0,0,OFFSET(Sheet2!$B$1,Sheet1!$B$2-1,0)),$B$1/(365*100),$B$3/(365*100)))*100,1)/100</f>
        <v>250.04</v>
      </c>
      <c r="R1111" s="9">
        <f t="shared" ca="1" si="68"/>
        <v>612762.09115167335</v>
      </c>
    </row>
    <row r="1112" spans="1:18" x14ac:dyDescent="0.25">
      <c r="A1112">
        <v>12</v>
      </c>
      <c r="B1112">
        <v>3.9</v>
      </c>
      <c r="C1112">
        <v>4</v>
      </c>
      <c r="D1112">
        <v>13.9</v>
      </c>
      <c r="E1112">
        <v>18</v>
      </c>
      <c r="F1112">
        <v>6.0063610606305461E-2</v>
      </c>
      <c r="G1112" t="str">
        <f t="shared" si="69"/>
        <v>Insert into BlueCreditTypeRainbow Values (12, 3.9, 4, 13.9, 18, 0.0600636106063055)</v>
      </c>
      <c r="N1112" s="4">
        <v>1109</v>
      </c>
      <c r="O1112" s="8">
        <f>$B$7*COUNTIF(Sheet2!$B$1:$B$132,N1112)</f>
        <v>0</v>
      </c>
      <c r="P1112" s="8">
        <f t="shared" ca="1" si="67"/>
        <v>0</v>
      </c>
      <c r="Q1112" s="8">
        <f ca="1">CEILING(R1111*(IF(N1112&lt;=IF($B$2=0,0,OFFSET(Sheet2!$B$1,Sheet1!$B$2-1,0)),$B$1/(365*100),$B$3/(365*100)))*100,1)/100</f>
        <v>250.15</v>
      </c>
      <c r="R1112" s="9">
        <f t="shared" ca="1" si="68"/>
        <v>613012.24115167337</v>
      </c>
    </row>
    <row r="1113" spans="1:18" x14ac:dyDescent="0.25">
      <c r="A1113">
        <v>12</v>
      </c>
      <c r="B1113">
        <v>3.9</v>
      </c>
      <c r="C1113">
        <v>4</v>
      </c>
      <c r="D1113">
        <v>13.9</v>
      </c>
      <c r="E1113">
        <v>19</v>
      </c>
      <c r="F1113">
        <v>5.7213393684210537E-2</v>
      </c>
      <c r="G1113" t="str">
        <f t="shared" si="69"/>
        <v>Insert into BlueCreditTypeRainbow Values (12, 3.9, 4, 13.9, 19, 0.0572133936842105)</v>
      </c>
      <c r="N1113" s="4">
        <v>1110</v>
      </c>
      <c r="O1113" s="8">
        <f>$B$7*COUNTIF(Sheet2!$B$1:$B$132,N1113)</f>
        <v>0</v>
      </c>
      <c r="P1113" s="8">
        <f t="shared" ca="1" si="67"/>
        <v>0</v>
      </c>
      <c r="Q1113" s="8">
        <f ca="1">CEILING(R1112*(IF(N1113&lt;=IF($B$2=0,0,OFFSET(Sheet2!$B$1,Sheet1!$B$2-1,0)),$B$1/(365*100),$B$3/(365*100)))*100,1)/100</f>
        <v>250.25</v>
      </c>
      <c r="R1113" s="9">
        <f t="shared" ca="1" si="68"/>
        <v>613262.49115167337</v>
      </c>
    </row>
    <row r="1114" spans="1:18" x14ac:dyDescent="0.25">
      <c r="A1114">
        <v>12</v>
      </c>
      <c r="B1114">
        <v>3.9</v>
      </c>
      <c r="C1114">
        <v>4</v>
      </c>
      <c r="D1114">
        <v>13.9</v>
      </c>
      <c r="E1114">
        <v>20</v>
      </c>
      <c r="F1114">
        <v>5.4649550500000033E-2</v>
      </c>
      <c r="G1114" t="str">
        <f t="shared" si="69"/>
        <v>Insert into BlueCreditTypeRainbow Values (12, 3.9, 4, 13.9, 20, 0.0546495505)</v>
      </c>
      <c r="N1114" s="4">
        <v>1111</v>
      </c>
      <c r="O1114" s="8">
        <f>$B$7*COUNTIF(Sheet2!$B$1:$B$132,N1114)</f>
        <v>0</v>
      </c>
      <c r="P1114" s="8">
        <f t="shared" ca="1" si="67"/>
        <v>0</v>
      </c>
      <c r="Q1114" s="8">
        <f ca="1">CEILING(R1113*(IF(N1114&lt;=IF($B$2=0,0,OFFSET(Sheet2!$B$1,Sheet1!$B$2-1,0)),$B$1/(365*100),$B$3/(365*100)))*100,1)/100</f>
        <v>250.35</v>
      </c>
      <c r="R1114" s="9">
        <f t="shared" ca="1" si="68"/>
        <v>613512.84115167335</v>
      </c>
    </row>
    <row r="1115" spans="1:18" x14ac:dyDescent="0.25">
      <c r="A1115">
        <v>12</v>
      </c>
      <c r="B1115">
        <v>3.9</v>
      </c>
      <c r="C1115">
        <v>4</v>
      </c>
      <c r="D1115">
        <v>13.9</v>
      </c>
      <c r="E1115">
        <v>21</v>
      </c>
      <c r="F1115">
        <v>5.2331968140000053E-2</v>
      </c>
      <c r="G1115" t="str">
        <f t="shared" si="69"/>
        <v>Insert into BlueCreditTypeRainbow Values (12, 3.9, 4, 13.9, 21, 0.0523319681400001)</v>
      </c>
      <c r="N1115" s="4">
        <v>1112</v>
      </c>
      <c r="O1115" s="8">
        <f>$B$7*COUNTIF(Sheet2!$B$1:$B$132,N1115)</f>
        <v>0</v>
      </c>
      <c r="P1115" s="8">
        <f t="shared" ca="1" si="67"/>
        <v>0</v>
      </c>
      <c r="Q1115" s="8">
        <f ca="1">CEILING(R1114*(IF(N1115&lt;=IF($B$2=0,0,OFFSET(Sheet2!$B$1,Sheet1!$B$2-1,0)),$B$1/(365*100),$B$3/(365*100)))*100,1)/100</f>
        <v>250.45</v>
      </c>
      <c r="R1115" s="9">
        <f t="shared" ca="1" si="68"/>
        <v>613763.2911516733</v>
      </c>
    </row>
    <row r="1116" spans="1:18" x14ac:dyDescent="0.25">
      <c r="A1116">
        <v>12</v>
      </c>
      <c r="B1116">
        <v>3.9</v>
      </c>
      <c r="C1116">
        <v>4</v>
      </c>
      <c r="D1116">
        <v>13.9</v>
      </c>
      <c r="E1116">
        <v>22</v>
      </c>
      <c r="F1116">
        <v>5.0226161818181861E-2</v>
      </c>
      <c r="G1116" t="str">
        <f t="shared" si="69"/>
        <v>Insert into BlueCreditTypeRainbow Values (12, 3.9, 4, 13.9, 22, 0.0502261618181819)</v>
      </c>
      <c r="N1116" s="4">
        <v>1113</v>
      </c>
      <c r="O1116" s="8">
        <f>$B$7*COUNTIF(Sheet2!$B$1:$B$132,N1116)</f>
        <v>0</v>
      </c>
      <c r="P1116" s="8">
        <f t="shared" ca="1" si="67"/>
        <v>0</v>
      </c>
      <c r="Q1116" s="8">
        <f ca="1">CEILING(R1115*(IF(N1116&lt;=IF($B$2=0,0,OFFSET(Sheet2!$B$1,Sheet1!$B$2-1,0)),$B$1/(365*100),$B$3/(365*100)))*100,1)/100</f>
        <v>250.55</v>
      </c>
      <c r="R1116" s="9">
        <f t="shared" ca="1" si="68"/>
        <v>614013.84115167335</v>
      </c>
    </row>
    <row r="1117" spans="1:18" x14ac:dyDescent="0.25">
      <c r="A1117">
        <v>12</v>
      </c>
      <c r="B1117">
        <v>3.9</v>
      </c>
      <c r="C1117">
        <v>4</v>
      </c>
      <c r="D1117">
        <v>13.9</v>
      </c>
      <c r="E1117">
        <v>23</v>
      </c>
      <c r="F1117">
        <v>4.8305197293660576E-2</v>
      </c>
      <c r="G1117" t="str">
        <f t="shared" si="69"/>
        <v>Insert into BlueCreditTypeRainbow Values (12, 3.9, 4, 13.9, 23, 0.0483051972936606)</v>
      </c>
      <c r="N1117" s="4">
        <v>1114</v>
      </c>
      <c r="O1117" s="8">
        <f>$B$7*COUNTIF(Sheet2!$B$1:$B$132,N1117)</f>
        <v>0</v>
      </c>
      <c r="P1117" s="8">
        <f t="shared" ca="1" si="67"/>
        <v>0</v>
      </c>
      <c r="Q1117" s="8">
        <f ca="1">CEILING(R1116*(IF(N1117&lt;=IF($B$2=0,0,OFFSET(Sheet2!$B$1,Sheet1!$B$2-1,0)),$B$1/(365*100),$B$3/(365*100)))*100,1)/100</f>
        <v>250.66</v>
      </c>
      <c r="R1117" s="9">
        <f t="shared" ca="1" si="68"/>
        <v>614264.50115167338</v>
      </c>
    </row>
    <row r="1118" spans="1:18" x14ac:dyDescent="0.25">
      <c r="A1118">
        <v>12</v>
      </c>
      <c r="B1118">
        <v>3.9</v>
      </c>
      <c r="C1118">
        <v>4</v>
      </c>
      <c r="D1118">
        <v>13.9</v>
      </c>
      <c r="E1118">
        <v>24</v>
      </c>
      <c r="F1118">
        <v>4.654524500000002E-2</v>
      </c>
      <c r="G1118" t="str">
        <f t="shared" si="69"/>
        <v>Insert into BlueCreditTypeRainbow Values (12, 3.9, 4, 13.9, 24, 0.046545245)</v>
      </c>
      <c r="N1118" s="4">
        <v>1115</v>
      </c>
      <c r="O1118" s="8">
        <f>$B$7*COUNTIF(Sheet2!$B$1:$B$132,N1118)</f>
        <v>0</v>
      </c>
      <c r="P1118" s="8">
        <f t="shared" ca="1" si="67"/>
        <v>0</v>
      </c>
      <c r="Q1118" s="8">
        <f ca="1">CEILING(R1117*(IF(N1118&lt;=IF($B$2=0,0,OFFSET(Sheet2!$B$1,Sheet1!$B$2-1,0)),$B$1/(365*100),$B$3/(365*100)))*100,1)/100</f>
        <v>250.76</v>
      </c>
      <c r="R1118" s="9">
        <f t="shared" ca="1" si="68"/>
        <v>614515.26115167339</v>
      </c>
    </row>
    <row r="1119" spans="1:18" x14ac:dyDescent="0.25">
      <c r="A1119">
        <v>12</v>
      </c>
      <c r="B1119">
        <v>3.9</v>
      </c>
      <c r="C1119">
        <v>3</v>
      </c>
      <c r="D1119">
        <v>13.9</v>
      </c>
      <c r="E1119">
        <v>12</v>
      </c>
      <c r="F1119">
        <v>8.776660166666661E-2</v>
      </c>
      <c r="G1119" t="str">
        <f t="shared" si="69"/>
        <v>Insert into BlueCreditTypeRainbow Values (12, 3.9, 3, 13.9, 12, 0.0877666016666666)</v>
      </c>
      <c r="N1119" s="4">
        <v>1116</v>
      </c>
      <c r="O1119" s="8">
        <f>$B$7*COUNTIF(Sheet2!$B$1:$B$132,N1119)</f>
        <v>0</v>
      </c>
      <c r="P1119" s="8">
        <f t="shared" ca="1" si="67"/>
        <v>0</v>
      </c>
      <c r="Q1119" s="8">
        <f ca="1">CEILING(R1118*(IF(N1119&lt;=IF($B$2=0,0,OFFSET(Sheet2!$B$1,Sheet1!$B$2-1,0)),$B$1/(365*100),$B$3/(365*100)))*100,1)/100</f>
        <v>250.86</v>
      </c>
      <c r="R1119" s="9">
        <f t="shared" ca="1" si="68"/>
        <v>614766.12115167337</v>
      </c>
    </row>
    <row r="1120" spans="1:18" x14ac:dyDescent="0.25">
      <c r="A1120">
        <v>12</v>
      </c>
      <c r="B1120">
        <v>3.9</v>
      </c>
      <c r="C1120">
        <v>3</v>
      </c>
      <c r="D1120">
        <v>13.9</v>
      </c>
      <c r="E1120">
        <v>13</v>
      </c>
      <c r="F1120">
        <v>8.1462430855315626E-2</v>
      </c>
      <c r="G1120" t="str">
        <f t="shared" si="69"/>
        <v>Insert into BlueCreditTypeRainbow Values (12, 3.9, 3, 13.9, 13, 0.0814624308553156)</v>
      </c>
      <c r="N1120" s="4">
        <v>1117</v>
      </c>
      <c r="O1120" s="8">
        <f>$B$7*COUNTIF(Sheet2!$B$1:$B$132,N1120)</f>
        <v>0</v>
      </c>
      <c r="P1120" s="8">
        <f t="shared" ca="1" si="67"/>
        <v>0</v>
      </c>
      <c r="Q1120" s="8">
        <f ca="1">CEILING(R1119*(IF(N1120&lt;=IF($B$2=0,0,OFFSET(Sheet2!$B$1,Sheet1!$B$2-1,0)),$B$1/(365*100),$B$3/(365*100)))*100,1)/100</f>
        <v>250.96</v>
      </c>
      <c r="R1120" s="9">
        <f t="shared" ca="1" si="68"/>
        <v>615017.08115167334</v>
      </c>
    </row>
    <row r="1121" spans="1:18" x14ac:dyDescent="0.25">
      <c r="A1121">
        <v>12</v>
      </c>
      <c r="B1121">
        <v>3.9</v>
      </c>
      <c r="C1121">
        <v>3</v>
      </c>
      <c r="D1121">
        <v>13.9</v>
      </c>
      <c r="E1121">
        <v>14</v>
      </c>
      <c r="F1121">
        <v>7.6063016491956223E-2</v>
      </c>
      <c r="G1121" t="str">
        <f t="shared" si="69"/>
        <v>Insert into BlueCreditTypeRainbow Values (12, 3.9, 3, 13.9, 14, 0.0760630164919562)</v>
      </c>
      <c r="N1121" s="4">
        <v>1118</v>
      </c>
      <c r="O1121" s="8">
        <f>$B$7*COUNTIF(Sheet2!$B$1:$B$132,N1121)</f>
        <v>0</v>
      </c>
      <c r="P1121" s="8">
        <f t="shared" ca="1" si="67"/>
        <v>0</v>
      </c>
      <c r="Q1121" s="8">
        <f ca="1">CEILING(R1120*(IF(N1121&lt;=IF($B$2=0,0,OFFSET(Sheet2!$B$1,Sheet1!$B$2-1,0)),$B$1/(365*100),$B$3/(365*100)))*100,1)/100</f>
        <v>251.07</v>
      </c>
      <c r="R1121" s="9">
        <f t="shared" ca="1" si="68"/>
        <v>615268.15115167329</v>
      </c>
    </row>
    <row r="1122" spans="1:18" x14ac:dyDescent="0.25">
      <c r="A1122">
        <v>12</v>
      </c>
      <c r="B1122">
        <v>3.9</v>
      </c>
      <c r="C1122">
        <v>3</v>
      </c>
      <c r="D1122">
        <v>13.9</v>
      </c>
      <c r="E1122">
        <v>15</v>
      </c>
      <c r="F1122">
        <v>7.1385251365418401E-2</v>
      </c>
      <c r="G1122" t="str">
        <f t="shared" si="69"/>
        <v>Insert into BlueCreditTypeRainbow Values (12, 3.9, 3, 13.9, 15, 0.0713852513654184)</v>
      </c>
      <c r="N1122" s="4">
        <v>1119</v>
      </c>
      <c r="O1122" s="8">
        <f>$B$7*COUNTIF(Sheet2!$B$1:$B$132,N1122)</f>
        <v>0</v>
      </c>
      <c r="P1122" s="8">
        <f t="shared" ca="1" si="67"/>
        <v>0</v>
      </c>
      <c r="Q1122" s="8">
        <f ca="1">CEILING(R1121*(IF(N1122&lt;=IF($B$2=0,0,OFFSET(Sheet2!$B$1,Sheet1!$B$2-1,0)),$B$1/(365*100),$B$3/(365*100)))*100,1)/100</f>
        <v>251.17</v>
      </c>
      <c r="R1122" s="9">
        <f t="shared" ca="1" si="68"/>
        <v>615519.32115167333</v>
      </c>
    </row>
    <row r="1123" spans="1:18" x14ac:dyDescent="0.25">
      <c r="A1123">
        <v>12</v>
      </c>
      <c r="B1123">
        <v>3.9</v>
      </c>
      <c r="C1123">
        <v>3</v>
      </c>
      <c r="D1123">
        <v>13.9</v>
      </c>
      <c r="E1123">
        <v>16</v>
      </c>
      <c r="F1123">
        <v>6.729528043214919E-2</v>
      </c>
      <c r="G1123" t="str">
        <f t="shared" si="69"/>
        <v>Insert into BlueCreditTypeRainbow Values (12, 3.9, 3, 13.9, 16, 0.0672952804321492)</v>
      </c>
      <c r="N1123" s="4">
        <v>1120</v>
      </c>
      <c r="O1123" s="8">
        <f>$B$7*COUNTIF(Sheet2!$B$1:$B$132,N1123)</f>
        <v>0</v>
      </c>
      <c r="P1123" s="8">
        <f t="shared" ca="1" si="67"/>
        <v>0</v>
      </c>
      <c r="Q1123" s="8">
        <f ca="1">CEILING(R1122*(IF(N1123&lt;=IF($B$2=0,0,OFFSET(Sheet2!$B$1,Sheet1!$B$2-1,0)),$B$1/(365*100),$B$3/(365*100)))*100,1)/100</f>
        <v>251.27</v>
      </c>
      <c r="R1123" s="9">
        <f t="shared" ca="1" si="68"/>
        <v>615770.59115167335</v>
      </c>
    </row>
    <row r="1124" spans="1:18" x14ac:dyDescent="0.25">
      <c r="A1124">
        <v>12</v>
      </c>
      <c r="B1124">
        <v>3.9</v>
      </c>
      <c r="C1124">
        <v>3</v>
      </c>
      <c r="D1124">
        <v>13.9</v>
      </c>
      <c r="E1124">
        <v>17</v>
      </c>
      <c r="F1124">
        <v>6.3687755912105112E-2</v>
      </c>
      <c r="G1124" t="str">
        <f t="shared" si="69"/>
        <v>Insert into BlueCreditTypeRainbow Values (12, 3.9, 3, 13.9, 17, 0.0636877559121051)</v>
      </c>
      <c r="N1124" s="4">
        <v>1121</v>
      </c>
      <c r="O1124" s="8">
        <f>$B$7*COUNTIF(Sheet2!$B$1:$B$132,N1124)</f>
        <v>0</v>
      </c>
      <c r="P1124" s="8">
        <f t="shared" ca="1" si="67"/>
        <v>0</v>
      </c>
      <c r="Q1124" s="8">
        <f ca="1">CEILING(R1123*(IF(N1124&lt;=IF($B$2=0,0,OFFSET(Sheet2!$B$1,Sheet1!$B$2-1,0)),$B$1/(365*100),$B$3/(365*100)))*100,1)/100</f>
        <v>251.37</v>
      </c>
      <c r="R1124" s="9">
        <f t="shared" ca="1" si="68"/>
        <v>616021.96115167334</v>
      </c>
    </row>
    <row r="1125" spans="1:18" x14ac:dyDescent="0.25">
      <c r="A1125">
        <v>12</v>
      </c>
      <c r="B1125">
        <v>3.9</v>
      </c>
      <c r="C1125">
        <v>3</v>
      </c>
      <c r="D1125">
        <v>13.9</v>
      </c>
      <c r="E1125">
        <v>18</v>
      </c>
      <c r="F1125">
        <v>6.0483458333333337E-2</v>
      </c>
      <c r="G1125" t="str">
        <f t="shared" si="69"/>
        <v>Insert into BlueCreditTypeRainbow Values (12, 3.9, 3, 13.9, 18, 0.0604834583333333)</v>
      </c>
      <c r="N1125" s="4">
        <v>1122</v>
      </c>
      <c r="O1125" s="8">
        <f>$B$7*COUNTIF(Sheet2!$B$1:$B$132,N1125)</f>
        <v>0</v>
      </c>
      <c r="P1125" s="8">
        <f t="shared" ca="1" si="67"/>
        <v>0</v>
      </c>
      <c r="Q1125" s="8">
        <f ca="1">CEILING(R1124*(IF(N1125&lt;=IF($B$2=0,0,OFFSET(Sheet2!$B$1,Sheet1!$B$2-1,0)),$B$1/(365*100),$B$3/(365*100)))*100,1)/100</f>
        <v>251.48</v>
      </c>
      <c r="R1125" s="9">
        <f t="shared" ca="1" si="68"/>
        <v>616273.44115167332</v>
      </c>
    </row>
    <row r="1126" spans="1:18" x14ac:dyDescent="0.25">
      <c r="A1126">
        <v>12</v>
      </c>
      <c r="B1126">
        <v>3.9</v>
      </c>
      <c r="C1126">
        <v>3</v>
      </c>
      <c r="D1126">
        <v>13.9</v>
      </c>
      <c r="E1126">
        <v>19</v>
      </c>
      <c r="F1126">
        <v>5.7617482665640318E-2</v>
      </c>
      <c r="G1126" t="str">
        <f t="shared" si="69"/>
        <v>Insert into BlueCreditTypeRainbow Values (12, 3.9, 3, 13.9, 19, 0.0576174826656403)</v>
      </c>
      <c r="N1126" s="4">
        <v>1123</v>
      </c>
      <c r="O1126" s="8">
        <f>$B$7*COUNTIF(Sheet2!$B$1:$B$132,N1126)</f>
        <v>0</v>
      </c>
      <c r="P1126" s="8">
        <f t="shared" ca="1" si="67"/>
        <v>0</v>
      </c>
      <c r="Q1126" s="8">
        <f ca="1">CEILING(R1125*(IF(N1126&lt;=IF($B$2=0,0,OFFSET(Sheet2!$B$1,Sheet1!$B$2-1,0)),$B$1/(365*100),$B$3/(365*100)))*100,1)/100</f>
        <v>251.58</v>
      </c>
      <c r="R1126" s="9">
        <f t="shared" ca="1" si="68"/>
        <v>616525.02115167328</v>
      </c>
    </row>
    <row r="1127" spans="1:18" x14ac:dyDescent="0.25">
      <c r="A1127">
        <v>12</v>
      </c>
      <c r="B1127">
        <v>3.9</v>
      </c>
      <c r="C1127">
        <v>3</v>
      </c>
      <c r="D1127">
        <v>13.9</v>
      </c>
      <c r="E1127">
        <v>20</v>
      </c>
      <c r="F1127">
        <v>5.5039109525162618E-2</v>
      </c>
      <c r="G1127" t="str">
        <f t="shared" si="69"/>
        <v>Insert into BlueCreditTypeRainbow Values (12, 3.9, 3, 13.9, 20, 0.0550391095251626)</v>
      </c>
      <c r="N1127" s="4">
        <v>1124</v>
      </c>
      <c r="O1127" s="8">
        <f>$B$7*COUNTIF(Sheet2!$B$1:$B$132,N1127)</f>
        <v>0</v>
      </c>
      <c r="P1127" s="8">
        <f t="shared" ca="1" si="67"/>
        <v>0</v>
      </c>
      <c r="Q1127" s="8">
        <f ca="1">CEILING(R1126*(IF(N1127&lt;=IF($B$2=0,0,OFFSET(Sheet2!$B$1,Sheet1!$B$2-1,0)),$B$1/(365*100),$B$3/(365*100)))*100,1)/100</f>
        <v>251.68</v>
      </c>
      <c r="R1127" s="9">
        <f t="shared" ca="1" si="68"/>
        <v>616776.70115167333</v>
      </c>
    </row>
    <row r="1128" spans="1:18" x14ac:dyDescent="0.25">
      <c r="A1128">
        <v>12</v>
      </c>
      <c r="B1128">
        <v>3.9</v>
      </c>
      <c r="C1128">
        <v>3</v>
      </c>
      <c r="D1128">
        <v>13.9</v>
      </c>
      <c r="E1128">
        <v>21</v>
      </c>
      <c r="F1128">
        <v>5.2708108590125667E-2</v>
      </c>
      <c r="G1128" t="str">
        <f t="shared" si="69"/>
        <v>Insert into BlueCreditTypeRainbow Values (12, 3.9, 3, 13.9, 21, 0.0527081085901257)</v>
      </c>
      <c r="N1128" s="4">
        <v>1125</v>
      </c>
      <c r="O1128" s="8">
        <f>$B$7*COUNTIF(Sheet2!$B$1:$B$132,N1128)</f>
        <v>0</v>
      </c>
      <c r="P1128" s="8">
        <f t="shared" ca="1" si="67"/>
        <v>0</v>
      </c>
      <c r="Q1128" s="8">
        <f ca="1">CEILING(R1127*(IF(N1128&lt;=IF($B$2=0,0,OFFSET(Sheet2!$B$1,Sheet1!$B$2-1,0)),$B$1/(365*100),$B$3/(365*100)))*100,1)/100</f>
        <v>251.79</v>
      </c>
      <c r="R1128" s="9">
        <f t="shared" ca="1" si="68"/>
        <v>617028.49115167337</v>
      </c>
    </row>
    <row r="1129" spans="1:18" x14ac:dyDescent="0.25">
      <c r="A1129">
        <v>12</v>
      </c>
      <c r="B1129">
        <v>3.9</v>
      </c>
      <c r="C1129">
        <v>3</v>
      </c>
      <c r="D1129">
        <v>13.9</v>
      </c>
      <c r="E1129">
        <v>22</v>
      </c>
      <c r="F1129">
        <v>5.0589873681393741E-2</v>
      </c>
      <c r="G1129" t="str">
        <f t="shared" si="69"/>
        <v>Insert into BlueCreditTypeRainbow Values (12, 3.9, 3, 13.9, 22, 0.0505898736813937)</v>
      </c>
      <c r="N1129" s="4">
        <v>1126</v>
      </c>
      <c r="O1129" s="8">
        <f>$B$7*COUNTIF(Sheet2!$B$1:$B$132,N1129)</f>
        <v>0</v>
      </c>
      <c r="P1129" s="8">
        <f t="shared" ca="1" si="67"/>
        <v>0</v>
      </c>
      <c r="Q1129" s="8">
        <f ca="1">CEILING(R1128*(IF(N1129&lt;=IF($B$2=0,0,OFFSET(Sheet2!$B$1,Sheet1!$B$2-1,0)),$B$1/(365*100),$B$3/(365*100)))*100,1)/100</f>
        <v>251.89</v>
      </c>
      <c r="R1129" s="9">
        <f t="shared" ca="1" si="68"/>
        <v>617280.38115167338</v>
      </c>
    </row>
    <row r="1130" spans="1:18" x14ac:dyDescent="0.25">
      <c r="A1130">
        <v>12</v>
      </c>
      <c r="B1130">
        <v>3.9</v>
      </c>
      <c r="C1130">
        <v>3</v>
      </c>
      <c r="D1130">
        <v>13.9</v>
      </c>
      <c r="E1130">
        <v>23</v>
      </c>
      <c r="F1130">
        <v>4.8657376534262942E-2</v>
      </c>
      <c r="G1130" t="str">
        <f t="shared" si="69"/>
        <v>Insert into BlueCreditTypeRainbow Values (12, 3.9, 3, 13.9, 23, 0.0486573765342629)</v>
      </c>
      <c r="N1130" s="4">
        <v>1127</v>
      </c>
      <c r="O1130" s="8">
        <f>$B$7*COUNTIF(Sheet2!$B$1:$B$132,N1130)</f>
        <v>0</v>
      </c>
      <c r="P1130" s="8">
        <f t="shared" ca="1" si="67"/>
        <v>0</v>
      </c>
      <c r="Q1130" s="8">
        <f ca="1">CEILING(R1129*(IF(N1130&lt;=IF($B$2=0,0,OFFSET(Sheet2!$B$1,Sheet1!$B$2-1,0)),$B$1/(365*100),$B$3/(365*100)))*100,1)/100</f>
        <v>251.99</v>
      </c>
      <c r="R1130" s="9">
        <f t="shared" ca="1" si="68"/>
        <v>617532.37115167337</v>
      </c>
    </row>
    <row r="1131" spans="1:18" x14ac:dyDescent="0.25">
      <c r="A1131">
        <v>12</v>
      </c>
      <c r="B1131">
        <v>3.9</v>
      </c>
      <c r="C1131">
        <v>3</v>
      </c>
      <c r="D1131">
        <v>13.9</v>
      </c>
      <c r="E1131">
        <v>24</v>
      </c>
      <c r="F1131">
        <v>4.6886678749999973E-2</v>
      </c>
      <c r="G1131" t="str">
        <f t="shared" si="69"/>
        <v>Insert into BlueCreditTypeRainbow Values (12, 3.9, 3, 13.9, 24, 0.04688667875)</v>
      </c>
      <c r="N1131" s="4">
        <v>1128</v>
      </c>
      <c r="O1131" s="8">
        <f>$B$7*COUNTIF(Sheet2!$B$1:$B$132,N1131)</f>
        <v>21157.10552356458</v>
      </c>
      <c r="P1131" s="8">
        <f t="shared" ca="1" si="67"/>
        <v>20905.01552356458</v>
      </c>
      <c r="Q1131" s="8">
        <f ca="1">CEILING(R1130*(IF(N1131&lt;=IF($B$2=0,0,OFFSET(Sheet2!$B$1,Sheet1!$B$2-1,0)),$B$1/(365*100),$B$3/(365*100)))*100,1)/100</f>
        <v>252.09</v>
      </c>
      <c r="R1131" s="9">
        <f t="shared" ca="1" si="68"/>
        <v>596627.35562810872</v>
      </c>
    </row>
    <row r="1132" spans="1:18" x14ac:dyDescent="0.25">
      <c r="A1132">
        <v>12</v>
      </c>
      <c r="B1132">
        <v>3.9</v>
      </c>
      <c r="C1132">
        <v>2</v>
      </c>
      <c r="D1132">
        <v>13.9</v>
      </c>
      <c r="E1132">
        <v>12</v>
      </c>
      <c r="F1132">
        <v>8.8363409220497069E-2</v>
      </c>
      <c r="G1132" t="str">
        <f t="shared" si="69"/>
        <v>Insert into BlueCreditTypeRainbow Values (12, 3.9, 2, 13.9, 12, 0.0883634092204971)</v>
      </c>
      <c r="N1132" s="4">
        <v>1129</v>
      </c>
      <c r="O1132" s="8">
        <f>$B$7*COUNTIF(Sheet2!$B$1:$B$132,N1132)</f>
        <v>0</v>
      </c>
      <c r="P1132" s="8">
        <f t="shared" ca="1" si="67"/>
        <v>0</v>
      </c>
      <c r="Q1132" s="8">
        <f ca="1">CEILING(R1131*(IF(N1132&lt;=IF($B$2=0,0,OFFSET(Sheet2!$B$1,Sheet1!$B$2-1,0)),$B$1/(365*100),$B$3/(365*100)))*100,1)/100</f>
        <v>243.56</v>
      </c>
      <c r="R1132" s="9">
        <f t="shared" ca="1" si="68"/>
        <v>596870.91562810878</v>
      </c>
    </row>
    <row r="1133" spans="1:18" x14ac:dyDescent="0.25">
      <c r="A1133">
        <v>12</v>
      </c>
      <c r="B1133">
        <v>3.9</v>
      </c>
      <c r="C1133">
        <v>2</v>
      </c>
      <c r="D1133">
        <v>13.9</v>
      </c>
      <c r="E1133">
        <v>13</v>
      </c>
      <c r="F1133">
        <v>8.2024849930404958E-2</v>
      </c>
      <c r="G1133" t="str">
        <f t="shared" si="69"/>
        <v>Insert into BlueCreditTypeRainbow Values (12, 3.9, 2, 13.9, 13, 0.082024849930405)</v>
      </c>
      <c r="N1133" s="4">
        <v>1130</v>
      </c>
      <c r="O1133" s="8">
        <f>$B$7*COUNTIF(Sheet2!$B$1:$B$132,N1133)</f>
        <v>0</v>
      </c>
      <c r="P1133" s="8">
        <f t="shared" ca="1" si="67"/>
        <v>0</v>
      </c>
      <c r="Q1133" s="8">
        <f ca="1">CEILING(R1132*(IF(N1133&lt;=IF($B$2=0,0,OFFSET(Sheet2!$B$1,Sheet1!$B$2-1,0)),$B$1/(365*100),$B$3/(365*100)))*100,1)/100</f>
        <v>243.66</v>
      </c>
      <c r="R1133" s="9">
        <f t="shared" ca="1" si="68"/>
        <v>597114.57562810881</v>
      </c>
    </row>
    <row r="1134" spans="1:18" x14ac:dyDescent="0.25">
      <c r="A1134">
        <v>12</v>
      </c>
      <c r="B1134">
        <v>3.9</v>
      </c>
      <c r="C1134">
        <v>2</v>
      </c>
      <c r="D1134">
        <v>13.9</v>
      </c>
      <c r="E1134">
        <v>14</v>
      </c>
      <c r="F1134">
        <v>7.6594941454229029E-2</v>
      </c>
      <c r="G1134" t="str">
        <f t="shared" si="69"/>
        <v>Insert into BlueCreditTypeRainbow Values (12, 3.9, 2, 13.9, 14, 0.076594941454229)</v>
      </c>
      <c r="N1134" s="4">
        <v>1131</v>
      </c>
      <c r="O1134" s="8">
        <f>$B$7*COUNTIF(Sheet2!$B$1:$B$132,N1134)</f>
        <v>0</v>
      </c>
      <c r="P1134" s="8">
        <f t="shared" ca="1" si="67"/>
        <v>0</v>
      </c>
      <c r="Q1134" s="8">
        <f ca="1">CEILING(R1133*(IF(N1134&lt;=IF($B$2=0,0,OFFSET(Sheet2!$B$1,Sheet1!$B$2-1,0)),$B$1/(365*100),$B$3/(365*100)))*100,1)/100</f>
        <v>243.76</v>
      </c>
      <c r="R1134" s="9">
        <f t="shared" ca="1" si="68"/>
        <v>597358.33562810882</v>
      </c>
    </row>
    <row r="1135" spans="1:18" x14ac:dyDescent="0.25">
      <c r="A1135">
        <v>12</v>
      </c>
      <c r="B1135">
        <v>3.9</v>
      </c>
      <c r="C1135">
        <v>2</v>
      </c>
      <c r="D1135">
        <v>13.9</v>
      </c>
      <c r="E1135">
        <v>15</v>
      </c>
      <c r="F1135">
        <v>7.1889991371481513E-2</v>
      </c>
      <c r="G1135" t="str">
        <f t="shared" si="69"/>
        <v>Insert into BlueCreditTypeRainbow Values (12, 3.9, 2, 13.9, 15, 0.0718899913714815)</v>
      </c>
      <c r="N1135" s="4">
        <v>1132</v>
      </c>
      <c r="O1135" s="8">
        <f>$B$7*COUNTIF(Sheet2!$B$1:$B$132,N1135)</f>
        <v>0</v>
      </c>
      <c r="P1135" s="8">
        <f t="shared" ca="1" si="67"/>
        <v>0</v>
      </c>
      <c r="Q1135" s="8">
        <f ca="1">CEILING(R1134*(IF(N1135&lt;=IF($B$2=0,0,OFFSET(Sheet2!$B$1,Sheet1!$B$2-1,0)),$B$1/(365*100),$B$3/(365*100)))*100,1)/100</f>
        <v>243.86</v>
      </c>
      <c r="R1135" s="9">
        <f t="shared" ca="1" si="68"/>
        <v>597602.19562810881</v>
      </c>
    </row>
    <row r="1136" spans="1:18" x14ac:dyDescent="0.25">
      <c r="A1136">
        <v>12</v>
      </c>
      <c r="B1136">
        <v>3.9</v>
      </c>
      <c r="C1136">
        <v>2</v>
      </c>
      <c r="D1136">
        <v>13.9</v>
      </c>
      <c r="E1136">
        <v>16</v>
      </c>
      <c r="F1136">
        <v>6.777564376647098E-2</v>
      </c>
      <c r="G1136" t="str">
        <f t="shared" si="69"/>
        <v>Insert into BlueCreditTypeRainbow Values (12, 3.9, 2, 13.9, 16, 0.067775643766471)</v>
      </c>
      <c r="N1136" s="4">
        <v>1133</v>
      </c>
      <c r="O1136" s="8">
        <f>$B$7*COUNTIF(Sheet2!$B$1:$B$132,N1136)</f>
        <v>0</v>
      </c>
      <c r="P1136" s="8">
        <f t="shared" ca="1" si="67"/>
        <v>0</v>
      </c>
      <c r="Q1136" s="8">
        <f ca="1">CEILING(R1135*(IF(N1136&lt;=IF($B$2=0,0,OFFSET(Sheet2!$B$1,Sheet1!$B$2-1,0)),$B$1/(365*100),$B$3/(365*100)))*100,1)/100</f>
        <v>243.96</v>
      </c>
      <c r="R1136" s="9">
        <f t="shared" ca="1" si="68"/>
        <v>597846.15562810877</v>
      </c>
    </row>
    <row r="1137" spans="1:18" x14ac:dyDescent="0.25">
      <c r="A1137">
        <v>12</v>
      </c>
      <c r="B1137">
        <v>3.9</v>
      </c>
      <c r="C1137">
        <v>2</v>
      </c>
      <c r="D1137">
        <v>13.9</v>
      </c>
      <c r="E1137">
        <v>17</v>
      </c>
      <c r="F1137">
        <v>6.4146162959486011E-2</v>
      </c>
      <c r="G1137" t="str">
        <f t="shared" si="69"/>
        <v>Insert into BlueCreditTypeRainbow Values (12, 3.9, 2, 13.9, 17, 0.064146162959486)</v>
      </c>
      <c r="N1137" s="4">
        <v>1134</v>
      </c>
      <c r="O1137" s="8">
        <f>$B$7*COUNTIF(Sheet2!$B$1:$B$132,N1137)</f>
        <v>0</v>
      </c>
      <c r="P1137" s="8">
        <f t="shared" ca="1" si="67"/>
        <v>0</v>
      </c>
      <c r="Q1137" s="8">
        <f ca="1">CEILING(R1136*(IF(N1137&lt;=IF($B$2=0,0,OFFSET(Sheet2!$B$1,Sheet1!$B$2-1,0)),$B$1/(365*100),$B$3/(365*100)))*100,1)/100</f>
        <v>244.06</v>
      </c>
      <c r="R1137" s="9">
        <f t="shared" ca="1" si="68"/>
        <v>598090.21562810882</v>
      </c>
    </row>
    <row r="1138" spans="1:18" x14ac:dyDescent="0.25">
      <c r="A1138">
        <v>12</v>
      </c>
      <c r="B1138">
        <v>3.9</v>
      </c>
      <c r="C1138">
        <v>2</v>
      </c>
      <c r="D1138">
        <v>13.9</v>
      </c>
      <c r="E1138">
        <v>18</v>
      </c>
      <c r="F1138">
        <v>6.0921993888888928E-2</v>
      </c>
      <c r="G1138" t="str">
        <f t="shared" si="69"/>
        <v>Insert into BlueCreditTypeRainbow Values (12, 3.9, 2, 13.9, 18, 0.0609219938888889)</v>
      </c>
      <c r="N1138" s="4">
        <v>1135</v>
      </c>
      <c r="O1138" s="8">
        <f>$B$7*COUNTIF(Sheet2!$B$1:$B$132,N1138)</f>
        <v>0</v>
      </c>
      <c r="P1138" s="8">
        <f t="shared" ca="1" si="67"/>
        <v>0</v>
      </c>
      <c r="Q1138" s="8">
        <f ca="1">CEILING(R1137*(IF(N1138&lt;=IF($B$2=0,0,OFFSET(Sheet2!$B$1,Sheet1!$B$2-1,0)),$B$1/(365*100),$B$3/(365*100)))*100,1)/100</f>
        <v>244.16</v>
      </c>
      <c r="R1138" s="9">
        <f t="shared" ca="1" si="68"/>
        <v>598334.37562810886</v>
      </c>
    </row>
    <row r="1139" spans="1:18" x14ac:dyDescent="0.25">
      <c r="A1139">
        <v>12</v>
      </c>
      <c r="B1139">
        <v>3.9</v>
      </c>
      <c r="C1139">
        <v>2</v>
      </c>
      <c r="D1139">
        <v>13.9</v>
      </c>
      <c r="E1139">
        <v>19</v>
      </c>
      <c r="F1139">
        <v>5.8037972105263222E-2</v>
      </c>
      <c r="G1139" t="str">
        <f t="shared" si="69"/>
        <v>Insert into BlueCreditTypeRainbow Values (12, 3.9, 2, 13.9, 19, 0.0580379721052632)</v>
      </c>
      <c r="N1139" s="4">
        <v>1136</v>
      </c>
      <c r="O1139" s="8">
        <f>$B$7*COUNTIF(Sheet2!$B$1:$B$132,N1139)</f>
        <v>0</v>
      </c>
      <c r="P1139" s="8">
        <f t="shared" ca="1" si="67"/>
        <v>0</v>
      </c>
      <c r="Q1139" s="8">
        <f ca="1">CEILING(R1138*(IF(N1139&lt;=IF($B$2=0,0,OFFSET(Sheet2!$B$1,Sheet1!$B$2-1,0)),$B$1/(365*100),$B$3/(365*100)))*100,1)/100</f>
        <v>244.26</v>
      </c>
      <c r="R1139" s="9">
        <f t="shared" ca="1" si="68"/>
        <v>598578.63562810887</v>
      </c>
    </row>
    <row r="1140" spans="1:18" x14ac:dyDescent="0.25">
      <c r="A1140">
        <v>12</v>
      </c>
      <c r="B1140">
        <v>3.9</v>
      </c>
      <c r="C1140">
        <v>2</v>
      </c>
      <c r="D1140">
        <v>13.9</v>
      </c>
      <c r="E1140">
        <v>20</v>
      </c>
      <c r="F1140">
        <v>5.5443125540982088E-2</v>
      </c>
      <c r="G1140" t="str">
        <f t="shared" si="69"/>
        <v>Insert into BlueCreditTypeRainbow Values (12, 3.9, 2, 13.9, 20, 0.0554431255409821)</v>
      </c>
      <c r="N1140" s="4">
        <v>1137</v>
      </c>
      <c r="O1140" s="8">
        <f>$B$7*COUNTIF(Sheet2!$B$1:$B$132,N1140)</f>
        <v>0</v>
      </c>
      <c r="P1140" s="8">
        <f t="shared" ca="1" si="67"/>
        <v>0</v>
      </c>
      <c r="Q1140" s="8">
        <f ca="1">CEILING(R1139*(IF(N1140&lt;=IF($B$2=0,0,OFFSET(Sheet2!$B$1,Sheet1!$B$2-1,0)),$B$1/(365*100),$B$3/(365*100)))*100,1)/100</f>
        <v>244.36</v>
      </c>
      <c r="R1140" s="9">
        <f t="shared" ca="1" si="68"/>
        <v>598822.99562810885</v>
      </c>
    </row>
    <row r="1141" spans="1:18" x14ac:dyDescent="0.25">
      <c r="A1141">
        <v>12</v>
      </c>
      <c r="B1141">
        <v>3.9</v>
      </c>
      <c r="C1141">
        <v>2</v>
      </c>
      <c r="D1141">
        <v>13.9</v>
      </c>
      <c r="E1141">
        <v>21</v>
      </c>
      <c r="F1141">
        <v>5.3097043348272505E-2</v>
      </c>
      <c r="G1141" t="str">
        <f t="shared" si="69"/>
        <v>Insert into BlueCreditTypeRainbow Values (12, 3.9, 2, 13.9, 21, 0.0530970433482725)</v>
      </c>
      <c r="N1141" s="4">
        <v>1138</v>
      </c>
      <c r="O1141" s="8">
        <f>$B$7*COUNTIF(Sheet2!$B$1:$B$132,N1141)</f>
        <v>0</v>
      </c>
      <c r="P1141" s="8">
        <f t="shared" ca="1" si="67"/>
        <v>0</v>
      </c>
      <c r="Q1141" s="8">
        <f ca="1">CEILING(R1140*(IF(N1141&lt;=IF($B$2=0,0,OFFSET(Sheet2!$B$1,Sheet1!$B$2-1,0)),$B$1/(365*100),$B$3/(365*100)))*100,1)/100</f>
        <v>244.46</v>
      </c>
      <c r="R1141" s="9">
        <f t="shared" ca="1" si="68"/>
        <v>599067.45562810882</v>
      </c>
    </row>
    <row r="1142" spans="1:18" x14ac:dyDescent="0.25">
      <c r="A1142">
        <v>12</v>
      </c>
      <c r="B1142">
        <v>3.9</v>
      </c>
      <c r="C1142">
        <v>2</v>
      </c>
      <c r="D1142">
        <v>13.9</v>
      </c>
      <c r="E1142">
        <v>22</v>
      </c>
      <c r="F1142">
        <v>5.0964956405666756E-2</v>
      </c>
      <c r="G1142" t="str">
        <f t="shared" si="69"/>
        <v>Insert into BlueCreditTypeRainbow Values (12, 3.9, 2, 13.9, 22, 0.0509649564056668)</v>
      </c>
      <c r="N1142" s="4">
        <v>1139</v>
      </c>
      <c r="O1142" s="8">
        <f>$B$7*COUNTIF(Sheet2!$B$1:$B$132,N1142)</f>
        <v>0</v>
      </c>
      <c r="P1142" s="8">
        <f t="shared" ca="1" si="67"/>
        <v>0</v>
      </c>
      <c r="Q1142" s="8">
        <f ca="1">CEILING(R1141*(IF(N1142&lt;=IF($B$2=0,0,OFFSET(Sheet2!$B$1,Sheet1!$B$2-1,0)),$B$1/(365*100),$B$3/(365*100)))*100,1)/100</f>
        <v>244.56</v>
      </c>
      <c r="R1142" s="9">
        <f t="shared" ca="1" si="68"/>
        <v>599312.01562810887</v>
      </c>
    </row>
    <row r="1143" spans="1:18" x14ac:dyDescent="0.25">
      <c r="A1143">
        <v>12</v>
      </c>
      <c r="B1143">
        <v>3.9</v>
      </c>
      <c r="C1143">
        <v>2</v>
      </c>
      <c r="D1143">
        <v>13.9</v>
      </c>
      <c r="E1143">
        <v>23</v>
      </c>
      <c r="F1143">
        <v>4.9019683478260877E-2</v>
      </c>
      <c r="G1143" t="str">
        <f t="shared" si="69"/>
        <v>Insert into BlueCreditTypeRainbow Values (12, 3.9, 2, 13.9, 23, 0.0490196834782609)</v>
      </c>
      <c r="N1143" s="4">
        <v>1140</v>
      </c>
      <c r="O1143" s="8">
        <f>$B$7*COUNTIF(Sheet2!$B$1:$B$132,N1143)</f>
        <v>0</v>
      </c>
      <c r="P1143" s="8">
        <f t="shared" ca="1" si="67"/>
        <v>0</v>
      </c>
      <c r="Q1143" s="8">
        <f ca="1">CEILING(R1142*(IF(N1143&lt;=IF($B$2=0,0,OFFSET(Sheet2!$B$1,Sheet1!$B$2-1,0)),$B$1/(365*100),$B$3/(365*100)))*100,1)/100</f>
        <v>244.66</v>
      </c>
      <c r="R1143" s="9">
        <f t="shared" ca="1" si="68"/>
        <v>599556.6756281089</v>
      </c>
    </row>
    <row r="1144" spans="1:18" x14ac:dyDescent="0.25">
      <c r="A1144">
        <v>12</v>
      </c>
      <c r="B1144">
        <v>3.9</v>
      </c>
      <c r="C1144">
        <v>2</v>
      </c>
      <c r="D1144">
        <v>13.9</v>
      </c>
      <c r="E1144">
        <v>24</v>
      </c>
      <c r="F1144">
        <v>4.7237169608580799E-2</v>
      </c>
      <c r="G1144" t="str">
        <f t="shared" si="69"/>
        <v>Insert into BlueCreditTypeRainbow Values (12, 3.9, 2, 13.9, 24, 0.0472371696085808)</v>
      </c>
      <c r="N1144" s="4">
        <v>1141</v>
      </c>
      <c r="O1144" s="8">
        <f>$B$7*COUNTIF(Sheet2!$B$1:$B$132,N1144)</f>
        <v>0</v>
      </c>
      <c r="P1144" s="8">
        <f t="shared" ca="1" si="67"/>
        <v>0</v>
      </c>
      <c r="Q1144" s="8">
        <f ca="1">CEILING(R1143*(IF(N1144&lt;=IF($B$2=0,0,OFFSET(Sheet2!$B$1,Sheet1!$B$2-1,0)),$B$1/(365*100),$B$3/(365*100)))*100,1)/100</f>
        <v>244.76</v>
      </c>
      <c r="R1144" s="9">
        <f t="shared" ca="1" si="68"/>
        <v>599801.43562810891</v>
      </c>
    </row>
    <row r="1145" spans="1:18" x14ac:dyDescent="0.25">
      <c r="A1145">
        <v>12</v>
      </c>
      <c r="B1145">
        <v>3.9</v>
      </c>
      <c r="C1145">
        <v>1</v>
      </c>
      <c r="D1145">
        <v>13.9</v>
      </c>
      <c r="E1145">
        <v>12</v>
      </c>
      <c r="F1145">
        <v>8.9027807499999931E-2</v>
      </c>
      <c r="G1145" t="str">
        <f t="shared" si="69"/>
        <v>Insert into BlueCreditTypeRainbow Values (12, 3.9, 1, 13.9, 12, 0.0890278074999999)</v>
      </c>
      <c r="N1145" s="4">
        <v>1142</v>
      </c>
      <c r="O1145" s="8">
        <f>$B$7*COUNTIF(Sheet2!$B$1:$B$132,N1145)</f>
        <v>0</v>
      </c>
      <c r="P1145" s="8">
        <f t="shared" ca="1" si="67"/>
        <v>0</v>
      </c>
      <c r="Q1145" s="8">
        <f ca="1">CEILING(R1144*(IF(N1145&lt;=IF($B$2=0,0,OFFSET(Sheet2!$B$1,Sheet1!$B$2-1,0)),$B$1/(365*100),$B$3/(365*100)))*100,1)/100</f>
        <v>244.86</v>
      </c>
      <c r="R1145" s="9">
        <f t="shared" ca="1" si="68"/>
        <v>600046.2956281089</v>
      </c>
    </row>
    <row r="1146" spans="1:18" x14ac:dyDescent="0.25">
      <c r="A1146">
        <v>12</v>
      </c>
      <c r="B1146">
        <v>3.9</v>
      </c>
      <c r="C1146">
        <v>1</v>
      </c>
      <c r="D1146">
        <v>13.9</v>
      </c>
      <c r="E1146">
        <v>13</v>
      </c>
      <c r="F1146">
        <v>8.2645886988665318E-2</v>
      </c>
      <c r="G1146" t="str">
        <f t="shared" si="69"/>
        <v>Insert into BlueCreditTypeRainbow Values (12, 3.9, 1, 13.9, 13, 0.0826458869886653)</v>
      </c>
      <c r="N1146" s="4">
        <v>1143</v>
      </c>
      <c r="O1146" s="8">
        <f>$B$7*COUNTIF(Sheet2!$B$1:$B$132,N1146)</f>
        <v>0</v>
      </c>
      <c r="P1146" s="8">
        <f t="shared" ca="1" si="67"/>
        <v>0</v>
      </c>
      <c r="Q1146" s="8">
        <f ca="1">CEILING(R1145*(IF(N1146&lt;=IF($B$2=0,0,OFFSET(Sheet2!$B$1,Sheet1!$B$2-1,0)),$B$1/(365*100),$B$3/(365*100)))*100,1)/100</f>
        <v>244.96</v>
      </c>
      <c r="R1146" s="9">
        <f t="shared" ca="1" si="68"/>
        <v>600291.25562810886</v>
      </c>
    </row>
    <row r="1147" spans="1:18" x14ac:dyDescent="0.25">
      <c r="A1147">
        <v>12</v>
      </c>
      <c r="B1147">
        <v>3.9</v>
      </c>
      <c r="C1147">
        <v>1</v>
      </c>
      <c r="D1147">
        <v>13.9</v>
      </c>
      <c r="E1147">
        <v>14</v>
      </c>
      <c r="F1147">
        <v>7.7178310582711074E-2</v>
      </c>
      <c r="G1147" t="str">
        <f t="shared" si="69"/>
        <v>Insert into BlueCreditTypeRainbow Values (12, 3.9, 1, 13.9, 14, 0.0771783105827111)</v>
      </c>
      <c r="N1147" s="4">
        <v>1144</v>
      </c>
      <c r="O1147" s="8">
        <f>$B$7*COUNTIF(Sheet2!$B$1:$B$132,N1147)</f>
        <v>0</v>
      </c>
      <c r="P1147" s="8">
        <f t="shared" ca="1" si="67"/>
        <v>0</v>
      </c>
      <c r="Q1147" s="8">
        <f ca="1">CEILING(R1146*(IF(N1147&lt;=IF($B$2=0,0,OFFSET(Sheet2!$B$1,Sheet1!$B$2-1,0)),$B$1/(365*100),$B$3/(365*100)))*100,1)/100</f>
        <v>245.06</v>
      </c>
      <c r="R1147" s="9">
        <f t="shared" ca="1" si="68"/>
        <v>600536.31562810892</v>
      </c>
    </row>
    <row r="1148" spans="1:18" x14ac:dyDescent="0.25">
      <c r="A1148">
        <v>12</v>
      </c>
      <c r="B1148">
        <v>3.9</v>
      </c>
      <c r="C1148">
        <v>1</v>
      </c>
      <c r="D1148">
        <v>13.9</v>
      </c>
      <c r="E1148">
        <v>15</v>
      </c>
      <c r="F1148">
        <v>7.2440330066129183E-2</v>
      </c>
      <c r="G1148" t="str">
        <f t="shared" si="69"/>
        <v>Insert into BlueCreditTypeRainbow Values (12, 3.9, 1, 13.9, 15, 0.0724403300661292)</v>
      </c>
      <c r="N1148" s="4">
        <v>1145</v>
      </c>
      <c r="O1148" s="8">
        <f>$B$7*COUNTIF(Sheet2!$B$1:$B$132,N1148)</f>
        <v>0</v>
      </c>
      <c r="P1148" s="8">
        <f t="shared" ca="1" si="67"/>
        <v>0</v>
      </c>
      <c r="Q1148" s="8">
        <f ca="1">CEILING(R1147*(IF(N1148&lt;=IF($B$2=0,0,OFFSET(Sheet2!$B$1,Sheet1!$B$2-1,0)),$B$1/(365*100),$B$3/(365*100)))*100,1)/100</f>
        <v>245.16</v>
      </c>
      <c r="R1148" s="9">
        <f t="shared" ca="1" si="68"/>
        <v>600781.47562810895</v>
      </c>
    </row>
    <row r="1149" spans="1:18" x14ac:dyDescent="0.25">
      <c r="A1149">
        <v>12</v>
      </c>
      <c r="B1149">
        <v>3.9</v>
      </c>
      <c r="C1149">
        <v>1</v>
      </c>
      <c r="D1149">
        <v>13.9</v>
      </c>
      <c r="E1149">
        <v>16</v>
      </c>
      <c r="F1149">
        <v>6.8296788125000035E-2</v>
      </c>
      <c r="G1149" t="str">
        <f t="shared" si="69"/>
        <v>Insert into BlueCreditTypeRainbow Values (12, 3.9, 1, 13.9, 16, 0.068296788125)</v>
      </c>
      <c r="N1149" s="4">
        <v>1146</v>
      </c>
      <c r="O1149" s="8">
        <f>$B$7*COUNTIF(Sheet2!$B$1:$B$132,N1149)</f>
        <v>0</v>
      </c>
      <c r="P1149" s="8">
        <f t="shared" ca="1" si="67"/>
        <v>0</v>
      </c>
      <c r="Q1149" s="8">
        <f ca="1">CEILING(R1148*(IF(N1149&lt;=IF($B$2=0,0,OFFSET(Sheet2!$B$1,Sheet1!$B$2-1,0)),$B$1/(365*100),$B$3/(365*100)))*100,1)/100</f>
        <v>245.26</v>
      </c>
      <c r="R1149" s="9">
        <f t="shared" ca="1" si="68"/>
        <v>601026.73562810896</v>
      </c>
    </row>
    <row r="1150" spans="1:18" x14ac:dyDescent="0.25">
      <c r="A1150">
        <v>12</v>
      </c>
      <c r="B1150">
        <v>3.9</v>
      </c>
      <c r="C1150">
        <v>1</v>
      </c>
      <c r="D1150">
        <v>13.9</v>
      </c>
      <c r="E1150">
        <v>17</v>
      </c>
      <c r="F1150">
        <v>6.4641330643909117E-2</v>
      </c>
      <c r="G1150" t="str">
        <f t="shared" si="69"/>
        <v>Insert into BlueCreditTypeRainbow Values (12, 3.9, 1, 13.9, 17, 0.0646413306439091)</v>
      </c>
      <c r="N1150" s="4">
        <v>1147</v>
      </c>
      <c r="O1150" s="8">
        <f>$B$7*COUNTIF(Sheet2!$B$1:$B$132,N1150)</f>
        <v>0</v>
      </c>
      <c r="P1150" s="8">
        <f t="shared" ca="1" si="67"/>
        <v>0</v>
      </c>
      <c r="Q1150" s="8">
        <f ca="1">CEILING(R1149*(IF(N1150&lt;=IF($B$2=0,0,OFFSET(Sheet2!$B$1,Sheet1!$B$2-1,0)),$B$1/(365*100),$B$3/(365*100)))*100,1)/100</f>
        <v>245.36</v>
      </c>
      <c r="R1150" s="9">
        <f t="shared" ca="1" si="68"/>
        <v>601272.09562810895</v>
      </c>
    </row>
    <row r="1151" spans="1:18" x14ac:dyDescent="0.25">
      <c r="A1151">
        <v>12</v>
      </c>
      <c r="B1151">
        <v>3.9</v>
      </c>
      <c r="C1151">
        <v>1</v>
      </c>
      <c r="D1151">
        <v>13.9</v>
      </c>
      <c r="E1151">
        <v>18</v>
      </c>
      <c r="F1151">
        <v>6.1393912222222263E-2</v>
      </c>
      <c r="G1151" t="str">
        <f t="shared" si="69"/>
        <v>Insert into BlueCreditTypeRainbow Values (12, 3.9, 1, 13.9, 18, 0.0613939122222223)</v>
      </c>
      <c r="N1151" s="4">
        <v>1148</v>
      </c>
      <c r="O1151" s="8">
        <f>$B$7*COUNTIF(Sheet2!$B$1:$B$132,N1151)</f>
        <v>0</v>
      </c>
      <c r="P1151" s="8">
        <f t="shared" ca="1" si="67"/>
        <v>0</v>
      </c>
      <c r="Q1151" s="8">
        <f ca="1">CEILING(R1150*(IF(N1151&lt;=IF($B$2=0,0,OFFSET(Sheet2!$B$1,Sheet1!$B$2-1,0)),$B$1/(365*100),$B$3/(365*100)))*100,1)/100</f>
        <v>245.46</v>
      </c>
      <c r="R1151" s="9">
        <f t="shared" ca="1" si="68"/>
        <v>601517.55562810891</v>
      </c>
    </row>
    <row r="1152" spans="1:18" x14ac:dyDescent="0.25">
      <c r="A1152">
        <v>12</v>
      </c>
      <c r="B1152">
        <v>3.9</v>
      </c>
      <c r="C1152">
        <v>1</v>
      </c>
      <c r="D1152">
        <v>13.9</v>
      </c>
      <c r="E1152">
        <v>19</v>
      </c>
      <c r="F1152">
        <v>5.8488926363960227E-2</v>
      </c>
      <c r="G1152" t="str">
        <f t="shared" si="69"/>
        <v>Insert into BlueCreditTypeRainbow Values (12, 3.9, 1, 13.9, 19, 0.0584889263639602)</v>
      </c>
      <c r="N1152" s="4">
        <v>1149</v>
      </c>
      <c r="O1152" s="8">
        <f>$B$7*COUNTIF(Sheet2!$B$1:$B$132,N1152)</f>
        <v>0</v>
      </c>
      <c r="P1152" s="8">
        <f t="shared" ca="1" si="67"/>
        <v>0</v>
      </c>
      <c r="Q1152" s="8">
        <f ca="1">CEILING(R1151*(IF(N1152&lt;=IF($B$2=0,0,OFFSET(Sheet2!$B$1,Sheet1!$B$2-1,0)),$B$1/(365*100),$B$3/(365*100)))*100,1)/100</f>
        <v>245.56</v>
      </c>
      <c r="R1152" s="9">
        <f t="shared" ca="1" si="68"/>
        <v>601763.11562810896</v>
      </c>
    </row>
    <row r="1153" spans="1:18" x14ac:dyDescent="0.25">
      <c r="A1153">
        <v>12</v>
      </c>
      <c r="B1153">
        <v>3.9</v>
      </c>
      <c r="C1153">
        <v>1</v>
      </c>
      <c r="D1153">
        <v>13.9</v>
      </c>
      <c r="E1153">
        <v>20</v>
      </c>
      <c r="F1153">
        <v>5.5875113032758508E-2</v>
      </c>
      <c r="G1153" t="str">
        <f t="shared" si="69"/>
        <v>Insert into BlueCreditTypeRainbow Values (12, 3.9, 1, 13.9, 20, 0.0558751130327585)</v>
      </c>
      <c r="N1153" s="4">
        <v>1150</v>
      </c>
      <c r="O1153" s="8">
        <f>$B$7*COUNTIF(Sheet2!$B$1:$B$132,N1153)</f>
        <v>0</v>
      </c>
      <c r="P1153" s="8">
        <f t="shared" ca="1" si="67"/>
        <v>0</v>
      </c>
      <c r="Q1153" s="8">
        <f ca="1">CEILING(R1152*(IF(N1153&lt;=IF($B$2=0,0,OFFSET(Sheet2!$B$1,Sheet1!$B$2-1,0)),$B$1/(365*100),$B$3/(365*100)))*100,1)/100</f>
        <v>245.66</v>
      </c>
      <c r="R1153" s="9">
        <f t="shared" ca="1" si="68"/>
        <v>602008.775628109</v>
      </c>
    </row>
    <row r="1154" spans="1:18" x14ac:dyDescent="0.25">
      <c r="A1154">
        <v>12</v>
      </c>
      <c r="B1154">
        <v>3.9</v>
      </c>
      <c r="C1154">
        <v>1</v>
      </c>
      <c r="D1154">
        <v>13.9</v>
      </c>
      <c r="E1154">
        <v>21</v>
      </c>
      <c r="F1154">
        <v>5.3511793839745872E-2</v>
      </c>
      <c r="G1154" t="str">
        <f t="shared" si="69"/>
        <v>Insert into BlueCreditTypeRainbow Values (12, 3.9, 1, 13.9, 21, 0.0535117938397459)</v>
      </c>
      <c r="N1154" s="4">
        <v>1151</v>
      </c>
      <c r="O1154" s="8">
        <f>$B$7*COUNTIF(Sheet2!$B$1:$B$132,N1154)</f>
        <v>0</v>
      </c>
      <c r="P1154" s="8">
        <f t="shared" ca="1" si="67"/>
        <v>0</v>
      </c>
      <c r="Q1154" s="8">
        <f ca="1">CEILING(R1153*(IF(N1154&lt;=IF($B$2=0,0,OFFSET(Sheet2!$B$1,Sheet1!$B$2-1,0)),$B$1/(365*100),$B$3/(365*100)))*100,1)/100</f>
        <v>245.76</v>
      </c>
      <c r="R1154" s="9">
        <f t="shared" ca="1" si="68"/>
        <v>602254.53562810901</v>
      </c>
    </row>
    <row r="1155" spans="1:18" x14ac:dyDescent="0.25">
      <c r="A1155">
        <v>12</v>
      </c>
      <c r="B1155">
        <v>3.9</v>
      </c>
      <c r="C1155">
        <v>1</v>
      </c>
      <c r="D1155">
        <v>13.9</v>
      </c>
      <c r="E1155">
        <v>22</v>
      </c>
      <c r="F1155">
        <v>5.1363945007870664E-2</v>
      </c>
      <c r="G1155" t="str">
        <f t="shared" si="69"/>
        <v>Insert into BlueCreditTypeRainbow Values (12, 3.9, 1, 13.9, 22, 0.0513639450078707)</v>
      </c>
      <c r="N1155" s="4">
        <v>1152</v>
      </c>
      <c r="O1155" s="8">
        <f>$B$7*COUNTIF(Sheet2!$B$1:$B$132,N1155)</f>
        <v>0</v>
      </c>
      <c r="P1155" s="8">
        <f t="shared" ca="1" si="67"/>
        <v>0</v>
      </c>
      <c r="Q1155" s="8">
        <f ca="1">CEILING(R1154*(IF(N1155&lt;=IF($B$2=0,0,OFFSET(Sheet2!$B$1,Sheet1!$B$2-1,0)),$B$1/(365*100),$B$3/(365*100)))*100,1)/100</f>
        <v>245.86</v>
      </c>
      <c r="R1155" s="9">
        <f t="shared" ca="1" si="68"/>
        <v>602500.39562810899</v>
      </c>
    </row>
    <row r="1156" spans="1:18" x14ac:dyDescent="0.25">
      <c r="A1156">
        <v>12</v>
      </c>
      <c r="B1156">
        <v>3.9</v>
      </c>
      <c r="C1156">
        <v>1</v>
      </c>
      <c r="D1156">
        <v>13.9</v>
      </c>
      <c r="E1156">
        <v>23</v>
      </c>
      <c r="F1156">
        <v>4.9404230302158104E-2</v>
      </c>
      <c r="G1156" t="str">
        <f t="shared" si="69"/>
        <v>Insert into BlueCreditTypeRainbow Values (12, 3.9, 1, 13.9, 23, 0.0494042303021581)</v>
      </c>
      <c r="N1156" s="4">
        <v>1153</v>
      </c>
      <c r="O1156" s="8">
        <f>$B$7*COUNTIF(Sheet2!$B$1:$B$132,N1156)</f>
        <v>0</v>
      </c>
      <c r="P1156" s="8">
        <f t="shared" ca="1" si="67"/>
        <v>0</v>
      </c>
      <c r="Q1156" s="8">
        <f ca="1">CEILING(R1155*(IF(N1156&lt;=IF($B$2=0,0,OFFSET(Sheet2!$B$1,Sheet1!$B$2-1,0)),$B$1/(365*100),$B$3/(365*100)))*100,1)/100</f>
        <v>245.96</v>
      </c>
      <c r="R1156" s="9">
        <f t="shared" ca="1" si="68"/>
        <v>602746.35562810895</v>
      </c>
    </row>
    <row r="1157" spans="1:18" x14ac:dyDescent="0.25">
      <c r="A1157">
        <v>12</v>
      </c>
      <c r="B1157">
        <v>3.9</v>
      </c>
      <c r="C1157">
        <v>1</v>
      </c>
      <c r="D1157">
        <v>13.9</v>
      </c>
      <c r="E1157">
        <v>24</v>
      </c>
      <c r="F1157">
        <v>4.7608431283879649E-2</v>
      </c>
      <c r="G1157" t="str">
        <f t="shared" si="69"/>
        <v>Insert into BlueCreditTypeRainbow Values (12, 3.9, 1, 13.9, 24, 0.0476084312838796)</v>
      </c>
      <c r="N1157" s="4">
        <v>1154</v>
      </c>
      <c r="O1157" s="8">
        <f>$B$7*COUNTIF(Sheet2!$B$1:$B$132,N1157)</f>
        <v>0</v>
      </c>
      <c r="P1157" s="8">
        <f t="shared" ref="P1157:P1220" ca="1" si="70">IF(O1157-Q1157&gt; 0, O1157-Q1157, 0)</f>
        <v>0</v>
      </c>
      <c r="Q1157" s="8">
        <f ca="1">CEILING(R1156*(IF(N1157&lt;=IF($B$2=0,0,OFFSET(Sheet2!$B$1,Sheet1!$B$2-1,0)),$B$1/(365*100),$B$3/(365*100)))*100,1)/100</f>
        <v>246.06</v>
      </c>
      <c r="R1157" s="9">
        <f t="shared" ref="R1157:R1220" ca="1" si="71">R1156+Q1157-O1157</f>
        <v>602992.41562810901</v>
      </c>
    </row>
    <row r="1158" spans="1:18" x14ac:dyDescent="0.25">
      <c r="A1158">
        <v>12</v>
      </c>
      <c r="B1158">
        <v>3.9</v>
      </c>
      <c r="C1158">
        <v>0</v>
      </c>
      <c r="D1158">
        <v>13.9</v>
      </c>
      <c r="E1158">
        <v>12</v>
      </c>
      <c r="F1158">
        <v>8.9786969166666605E-2</v>
      </c>
      <c r="G1158" t="str">
        <f t="shared" si="69"/>
        <v>Insert into BlueCreditTypeRainbow Values (12, 3.9, 0, 13.9, 12, 0.0897869691666666)</v>
      </c>
      <c r="N1158" s="4">
        <v>1155</v>
      </c>
      <c r="O1158" s="8">
        <f>$B$7*COUNTIF(Sheet2!$B$1:$B$132,N1158)</f>
        <v>0</v>
      </c>
      <c r="P1158" s="8">
        <f t="shared" ca="1" si="70"/>
        <v>0</v>
      </c>
      <c r="Q1158" s="8">
        <f ca="1">CEILING(R1157*(IF(N1158&lt;=IF($B$2=0,0,OFFSET(Sheet2!$B$1,Sheet1!$B$2-1,0)),$B$1/(365*100),$B$3/(365*100)))*100,1)/100</f>
        <v>246.16</v>
      </c>
      <c r="R1158" s="9">
        <f t="shared" ca="1" si="71"/>
        <v>603238.57562810904</v>
      </c>
    </row>
    <row r="1159" spans="1:18" x14ac:dyDescent="0.25">
      <c r="A1159">
        <v>12</v>
      </c>
      <c r="B1159">
        <v>3.9</v>
      </c>
      <c r="C1159">
        <v>0</v>
      </c>
      <c r="D1159">
        <v>13.9</v>
      </c>
      <c r="E1159">
        <v>13</v>
      </c>
      <c r="F1159">
        <v>8.3350630000000078E-2</v>
      </c>
      <c r="G1159" t="str">
        <f t="shared" si="69"/>
        <v>Insert into BlueCreditTypeRainbow Values (12, 3.9, 0, 13.9, 13, 0.0833506300000001)</v>
      </c>
      <c r="N1159" s="4">
        <v>1156</v>
      </c>
      <c r="O1159" s="8">
        <f>$B$7*COUNTIF(Sheet2!$B$1:$B$132,N1159)</f>
        <v>0</v>
      </c>
      <c r="P1159" s="8">
        <f t="shared" ca="1" si="70"/>
        <v>0</v>
      </c>
      <c r="Q1159" s="8">
        <f ca="1">CEILING(R1158*(IF(N1159&lt;=IF($B$2=0,0,OFFSET(Sheet2!$B$1,Sheet1!$B$2-1,0)),$B$1/(365*100),$B$3/(365*100)))*100,1)/100</f>
        <v>246.26</v>
      </c>
      <c r="R1159" s="9">
        <f t="shared" ca="1" si="71"/>
        <v>603484.83562810905</v>
      </c>
    </row>
    <row r="1160" spans="1:18" x14ac:dyDescent="0.25">
      <c r="A1160">
        <v>12</v>
      </c>
      <c r="B1160">
        <v>3.9</v>
      </c>
      <c r="C1160">
        <v>0</v>
      </c>
      <c r="D1160">
        <v>13.9</v>
      </c>
      <c r="E1160">
        <v>14</v>
      </c>
      <c r="F1160">
        <v>7.7836427179792014E-2</v>
      </c>
      <c r="G1160" t="str">
        <f t="shared" si="69"/>
        <v>Insert into BlueCreditTypeRainbow Values (12, 3.9, 0, 13.9, 14, 0.077836427179792)</v>
      </c>
      <c r="N1160" s="4">
        <v>1157</v>
      </c>
      <c r="O1160" s="8">
        <f>$B$7*COUNTIF(Sheet2!$B$1:$B$132,N1160)</f>
        <v>0</v>
      </c>
      <c r="P1160" s="8">
        <f t="shared" ca="1" si="70"/>
        <v>0</v>
      </c>
      <c r="Q1160" s="8">
        <f ca="1">CEILING(R1159*(IF(N1160&lt;=IF($B$2=0,0,OFFSET(Sheet2!$B$1,Sheet1!$B$2-1,0)),$B$1/(365*100),$B$3/(365*100)))*100,1)/100</f>
        <v>246.36</v>
      </c>
      <c r="R1160" s="9">
        <f t="shared" ca="1" si="71"/>
        <v>603731.19562810904</v>
      </c>
    </row>
    <row r="1161" spans="1:18" x14ac:dyDescent="0.25">
      <c r="A1161">
        <v>12</v>
      </c>
      <c r="B1161">
        <v>3.9</v>
      </c>
      <c r="C1161">
        <v>0</v>
      </c>
      <c r="D1161">
        <v>13.9</v>
      </c>
      <c r="E1161">
        <v>15</v>
      </c>
      <c r="F1161">
        <v>7.3058049333333305E-2</v>
      </c>
      <c r="G1161" t="str">
        <f t="shared" si="69"/>
        <v>Insert into BlueCreditTypeRainbow Values (12, 3.9, 0, 13.9, 15, 0.0730580493333333)</v>
      </c>
      <c r="N1161" s="4">
        <v>1158</v>
      </c>
      <c r="O1161" s="8">
        <f>$B$7*COUNTIF(Sheet2!$B$1:$B$132,N1161)</f>
        <v>21157.10552356458</v>
      </c>
      <c r="P1161" s="8">
        <f t="shared" ca="1" si="70"/>
        <v>20910.645523564581</v>
      </c>
      <c r="Q1161" s="8">
        <f ca="1">CEILING(R1160*(IF(N1161&lt;=IF($B$2=0,0,OFFSET(Sheet2!$B$1,Sheet1!$B$2-1,0)),$B$1/(365*100),$B$3/(365*100)))*100,1)/100</f>
        <v>246.46</v>
      </c>
      <c r="R1161" s="9">
        <f t="shared" ca="1" si="71"/>
        <v>582820.55010454438</v>
      </c>
    </row>
    <row r="1162" spans="1:18" x14ac:dyDescent="0.25">
      <c r="A1162">
        <v>12</v>
      </c>
      <c r="B1162">
        <v>3.9</v>
      </c>
      <c r="C1162">
        <v>0</v>
      </c>
      <c r="D1162">
        <v>13.9</v>
      </c>
      <c r="E1162">
        <v>16</v>
      </c>
      <c r="F1162">
        <v>6.8879169766186785E-2</v>
      </c>
      <c r="G1162" t="str">
        <f t="shared" si="69"/>
        <v>Insert into BlueCreditTypeRainbow Values (12, 3.9, 0, 13.9, 16, 0.0688791697661868)</v>
      </c>
      <c r="N1162" s="4">
        <v>1159</v>
      </c>
      <c r="O1162" s="8">
        <f>$B$7*COUNTIF(Sheet2!$B$1:$B$132,N1162)</f>
        <v>0</v>
      </c>
      <c r="P1162" s="8">
        <f t="shared" ca="1" si="70"/>
        <v>0</v>
      </c>
      <c r="Q1162" s="8">
        <f ca="1">CEILING(R1161*(IF(N1162&lt;=IF($B$2=0,0,OFFSET(Sheet2!$B$1,Sheet1!$B$2-1,0)),$B$1/(365*100),$B$3/(365*100)))*100,1)/100</f>
        <v>237.92</v>
      </c>
      <c r="R1162" s="9">
        <f t="shared" ca="1" si="71"/>
        <v>583058.47010454442</v>
      </c>
    </row>
    <row r="1163" spans="1:18" x14ac:dyDescent="0.25">
      <c r="A1163">
        <v>12</v>
      </c>
      <c r="B1163">
        <v>3.9</v>
      </c>
      <c r="C1163">
        <v>0</v>
      </c>
      <c r="D1163">
        <v>13.9</v>
      </c>
      <c r="E1163">
        <v>17</v>
      </c>
      <c r="F1163">
        <v>6.5192544705882344E-2</v>
      </c>
      <c r="G1163" t="str">
        <f t="shared" si="69"/>
        <v>Insert into BlueCreditTypeRainbow Values (12, 3.9, 0, 13.9, 17, 0.0651925447058823)</v>
      </c>
      <c r="N1163" s="4">
        <v>1160</v>
      </c>
      <c r="O1163" s="8">
        <f>$B$7*COUNTIF(Sheet2!$B$1:$B$132,N1163)</f>
        <v>0</v>
      </c>
      <c r="P1163" s="8">
        <f t="shared" ca="1" si="70"/>
        <v>0</v>
      </c>
      <c r="Q1163" s="8">
        <f ca="1">CEILING(R1162*(IF(N1163&lt;=IF($B$2=0,0,OFFSET(Sheet2!$B$1,Sheet1!$B$2-1,0)),$B$1/(365*100),$B$3/(365*100)))*100,1)/100</f>
        <v>238.02</v>
      </c>
      <c r="R1163" s="9">
        <f t="shared" ca="1" si="71"/>
        <v>583296.49010454444</v>
      </c>
    </row>
    <row r="1164" spans="1:18" x14ac:dyDescent="0.25">
      <c r="A1164">
        <v>12</v>
      </c>
      <c r="B1164">
        <v>3.9</v>
      </c>
      <c r="C1164">
        <v>0</v>
      </c>
      <c r="D1164">
        <v>13.9</v>
      </c>
      <c r="E1164">
        <v>18</v>
      </c>
      <c r="F1164">
        <v>6.1917425000000054E-2</v>
      </c>
      <c r="G1164" t="str">
        <f t="shared" si="69"/>
        <v>Insert into BlueCreditTypeRainbow Values (12, 3.9, 0, 13.9, 18, 0.0619174250000001)</v>
      </c>
      <c r="N1164" s="4">
        <v>1161</v>
      </c>
      <c r="O1164" s="8">
        <f>$B$7*COUNTIF(Sheet2!$B$1:$B$132,N1164)</f>
        <v>0</v>
      </c>
      <c r="P1164" s="8">
        <f t="shared" ca="1" si="70"/>
        <v>0</v>
      </c>
      <c r="Q1164" s="8">
        <f ca="1">CEILING(R1163*(IF(N1164&lt;=IF($B$2=0,0,OFFSET(Sheet2!$B$1,Sheet1!$B$2-1,0)),$B$1/(365*100),$B$3/(365*100)))*100,1)/100</f>
        <v>238.12</v>
      </c>
      <c r="R1164" s="9">
        <f t="shared" ca="1" si="71"/>
        <v>583534.61010454444</v>
      </c>
    </row>
    <row r="1165" spans="1:18" x14ac:dyDescent="0.25">
      <c r="A1165">
        <v>12</v>
      </c>
      <c r="B1165">
        <v>3.9</v>
      </c>
      <c r="C1165">
        <v>0</v>
      </c>
      <c r="D1165">
        <v>13.9</v>
      </c>
      <c r="E1165">
        <v>19</v>
      </c>
      <c r="F1165">
        <v>5.8987673206352259E-2</v>
      </c>
      <c r="G1165" t="str">
        <f t="shared" si="69"/>
        <v>Insert into BlueCreditTypeRainbow Values (12, 3.9, 0, 13.9, 19, 0.0589876732063523)</v>
      </c>
      <c r="N1165" s="4">
        <v>1162</v>
      </c>
      <c r="O1165" s="8">
        <f>$B$7*COUNTIF(Sheet2!$B$1:$B$132,N1165)</f>
        <v>0</v>
      </c>
      <c r="P1165" s="8">
        <f t="shared" ca="1" si="70"/>
        <v>0</v>
      </c>
      <c r="Q1165" s="8">
        <f ca="1">CEILING(R1164*(IF(N1165&lt;=IF($B$2=0,0,OFFSET(Sheet2!$B$1,Sheet1!$B$2-1,0)),$B$1/(365*100),$B$3/(365*100)))*100,1)/100</f>
        <v>238.22</v>
      </c>
      <c r="R1165" s="9">
        <f t="shared" ca="1" si="71"/>
        <v>583772.83010454441</v>
      </c>
    </row>
    <row r="1166" spans="1:18" x14ac:dyDescent="0.25">
      <c r="A1166">
        <v>12</v>
      </c>
      <c r="B1166">
        <v>3.9</v>
      </c>
      <c r="C1166">
        <v>0</v>
      </c>
      <c r="D1166">
        <v>13.9</v>
      </c>
      <c r="E1166">
        <v>20</v>
      </c>
      <c r="F1166">
        <v>5.6351571857457733E-2</v>
      </c>
      <c r="G1166" t="str">
        <f t="shared" si="69"/>
        <v>Insert into BlueCreditTypeRainbow Values (12, 3.9, 0, 13.9, 20, 0.0563515718574577)</v>
      </c>
      <c r="N1166" s="4">
        <v>1163</v>
      </c>
      <c r="O1166" s="8">
        <f>$B$7*COUNTIF(Sheet2!$B$1:$B$132,N1166)</f>
        <v>0</v>
      </c>
      <c r="P1166" s="8">
        <f t="shared" ca="1" si="70"/>
        <v>0</v>
      </c>
      <c r="Q1166" s="8">
        <f ca="1">CEILING(R1165*(IF(N1166&lt;=IF($B$2=0,0,OFFSET(Sheet2!$B$1,Sheet1!$B$2-1,0)),$B$1/(365*100),$B$3/(365*100)))*100,1)/100</f>
        <v>238.31</v>
      </c>
      <c r="R1166" s="9">
        <f t="shared" ca="1" si="71"/>
        <v>584011.14010454447</v>
      </c>
    </row>
    <row r="1167" spans="1:18" x14ac:dyDescent="0.25">
      <c r="A1167">
        <v>12</v>
      </c>
      <c r="B1167">
        <v>3.9</v>
      </c>
      <c r="C1167">
        <v>0</v>
      </c>
      <c r="D1167">
        <v>13.9</v>
      </c>
      <c r="E1167">
        <v>21</v>
      </c>
      <c r="F1167">
        <v>5.3968087189517594E-2</v>
      </c>
      <c r="G1167" t="str">
        <f t="shared" ref="G1167:G1230" si="72">CONCATENATE("Insert into BlueCreditTypeRainbow Values (",A1167,", ",B1167,", ",C1167,", ",D1167,", ",E1167,", ",F1167,")")</f>
        <v>Insert into BlueCreditTypeRainbow Values (12, 3.9, 0, 13.9, 21, 0.0539680871895176)</v>
      </c>
      <c r="N1167" s="4">
        <v>1164</v>
      </c>
      <c r="O1167" s="8">
        <f>$B$7*COUNTIF(Sheet2!$B$1:$B$132,N1167)</f>
        <v>0</v>
      </c>
      <c r="P1167" s="8">
        <f t="shared" ca="1" si="70"/>
        <v>0</v>
      </c>
      <c r="Q1167" s="8">
        <f ca="1">CEILING(R1166*(IF(N1167&lt;=IF($B$2=0,0,OFFSET(Sheet2!$B$1,Sheet1!$B$2-1,0)),$B$1/(365*100),$B$3/(365*100)))*100,1)/100</f>
        <v>238.41</v>
      </c>
      <c r="R1167" s="9">
        <f t="shared" ca="1" si="71"/>
        <v>584249.5501045445</v>
      </c>
    </row>
    <row r="1168" spans="1:18" x14ac:dyDescent="0.25">
      <c r="A1168">
        <v>12</v>
      </c>
      <c r="B1168">
        <v>3.9</v>
      </c>
      <c r="C1168">
        <v>0</v>
      </c>
      <c r="D1168">
        <v>13.9</v>
      </c>
      <c r="E1168">
        <v>22</v>
      </c>
      <c r="F1168">
        <v>5.1801933659839011E-2</v>
      </c>
      <c r="G1168" t="str">
        <f t="shared" si="72"/>
        <v>Insert into BlueCreditTypeRainbow Values (12, 3.9, 0, 13.9, 22, 0.051801933659839)</v>
      </c>
      <c r="N1168" s="4">
        <v>1165</v>
      </c>
      <c r="O1168" s="8">
        <f>$B$7*COUNTIF(Sheet2!$B$1:$B$132,N1168)</f>
        <v>0</v>
      </c>
      <c r="P1168" s="8">
        <f t="shared" ca="1" si="70"/>
        <v>0</v>
      </c>
      <c r="Q1168" s="8">
        <f ca="1">CEILING(R1167*(IF(N1168&lt;=IF($B$2=0,0,OFFSET(Sheet2!$B$1,Sheet1!$B$2-1,0)),$B$1/(365*100),$B$3/(365*100)))*100,1)/100</f>
        <v>238.51</v>
      </c>
      <c r="R1168" s="9">
        <f t="shared" ca="1" si="71"/>
        <v>584488.06010454451</v>
      </c>
    </row>
    <row r="1169" spans="1:18" x14ac:dyDescent="0.25">
      <c r="A1169">
        <v>12</v>
      </c>
      <c r="B1169">
        <v>3.9</v>
      </c>
      <c r="C1169">
        <v>0</v>
      </c>
      <c r="D1169">
        <v>13.9</v>
      </c>
      <c r="E1169">
        <v>23</v>
      </c>
      <c r="F1169">
        <v>4.9825509161023997E-2</v>
      </c>
      <c r="G1169" t="str">
        <f t="shared" si="72"/>
        <v>Insert into BlueCreditTypeRainbow Values (12, 3.9, 0, 13.9, 23, 0.049825509161024)</v>
      </c>
      <c r="N1169" s="4">
        <v>1166</v>
      </c>
      <c r="O1169" s="8">
        <f>$B$7*COUNTIF(Sheet2!$B$1:$B$132,N1169)</f>
        <v>0</v>
      </c>
      <c r="P1169" s="8">
        <f t="shared" ca="1" si="70"/>
        <v>0</v>
      </c>
      <c r="Q1169" s="8">
        <f ca="1">CEILING(R1168*(IF(N1169&lt;=IF($B$2=0,0,OFFSET(Sheet2!$B$1,Sheet1!$B$2-1,0)),$B$1/(365*100),$B$3/(365*100)))*100,1)/100</f>
        <v>238.6</v>
      </c>
      <c r="R1169" s="9">
        <f t="shared" ca="1" si="71"/>
        <v>584726.66010454448</v>
      </c>
    </row>
    <row r="1170" spans="1:18" x14ac:dyDescent="0.25">
      <c r="A1170">
        <v>12</v>
      </c>
      <c r="B1170">
        <v>3.9</v>
      </c>
      <c r="C1170">
        <v>0</v>
      </c>
      <c r="D1170">
        <v>13.9</v>
      </c>
      <c r="E1170">
        <v>24</v>
      </c>
      <c r="F1170">
        <v>4.8014400635350021E-2</v>
      </c>
      <c r="G1170" t="str">
        <f t="shared" si="72"/>
        <v>Insert into BlueCreditTypeRainbow Values (12, 3.9, 0, 13.9, 24, 0.04801440063535)</v>
      </c>
      <c r="N1170" s="4">
        <v>1167</v>
      </c>
      <c r="O1170" s="8">
        <f>$B$7*COUNTIF(Sheet2!$B$1:$B$132,N1170)</f>
        <v>0</v>
      </c>
      <c r="P1170" s="8">
        <f t="shared" ca="1" si="70"/>
        <v>0</v>
      </c>
      <c r="Q1170" s="8">
        <f ca="1">CEILING(R1169*(IF(N1170&lt;=IF($B$2=0,0,OFFSET(Sheet2!$B$1,Sheet1!$B$2-1,0)),$B$1/(365*100),$B$3/(365*100)))*100,1)/100</f>
        <v>238.7</v>
      </c>
      <c r="R1170" s="9">
        <f t="shared" ca="1" si="71"/>
        <v>584965.36010454444</v>
      </c>
    </row>
    <row r="1171" spans="1:18" x14ac:dyDescent="0.25">
      <c r="A1171">
        <v>13</v>
      </c>
      <c r="B1171">
        <v>5.9</v>
      </c>
      <c r="C1171">
        <v>9</v>
      </c>
      <c r="D1171">
        <v>15.9</v>
      </c>
      <c r="E1171">
        <v>18</v>
      </c>
      <c r="F1171">
        <v>5.9371745555555536E-2</v>
      </c>
      <c r="G1171" t="str">
        <f t="shared" si="72"/>
        <v>Insert into BlueCreditTypeRainbow Values (13, 5.9, 9, 15.9, 18, 0.0593717455555555)</v>
      </c>
      <c r="N1171" s="4">
        <v>1168</v>
      </c>
      <c r="O1171" s="8">
        <f>$B$7*COUNTIF(Sheet2!$B$1:$B$132,N1171)</f>
        <v>0</v>
      </c>
      <c r="P1171" s="8">
        <f t="shared" ca="1" si="70"/>
        <v>0</v>
      </c>
      <c r="Q1171" s="8">
        <f ca="1">CEILING(R1170*(IF(N1171&lt;=IF($B$2=0,0,OFFSET(Sheet2!$B$1,Sheet1!$B$2-1,0)),$B$1/(365*100),$B$3/(365*100)))*100,1)/100</f>
        <v>238.8</v>
      </c>
      <c r="R1171" s="9">
        <f t="shared" ca="1" si="71"/>
        <v>585204.16010454448</v>
      </c>
    </row>
    <row r="1172" spans="1:18" x14ac:dyDescent="0.25">
      <c r="A1172">
        <v>13</v>
      </c>
      <c r="B1172">
        <v>5.9</v>
      </c>
      <c r="C1172">
        <v>9</v>
      </c>
      <c r="D1172">
        <v>15.9</v>
      </c>
      <c r="E1172">
        <v>19</v>
      </c>
      <c r="F1172">
        <v>5.6558840391872159E-2</v>
      </c>
      <c r="G1172" t="str">
        <f t="shared" si="72"/>
        <v>Insert into BlueCreditTypeRainbow Values (13, 5.9, 9, 15.9, 19, 0.0565588403918722)</v>
      </c>
      <c r="N1172" s="4">
        <v>1169</v>
      </c>
      <c r="O1172" s="8">
        <f>$B$7*COUNTIF(Sheet2!$B$1:$B$132,N1172)</f>
        <v>0</v>
      </c>
      <c r="P1172" s="8">
        <f t="shared" ca="1" si="70"/>
        <v>0</v>
      </c>
      <c r="Q1172" s="8">
        <f ca="1">CEILING(R1171*(IF(N1172&lt;=IF($B$2=0,0,OFFSET(Sheet2!$B$1,Sheet1!$B$2-1,0)),$B$1/(365*100),$B$3/(365*100)))*100,1)/100</f>
        <v>238.9</v>
      </c>
      <c r="R1172" s="9">
        <f t="shared" ca="1" si="71"/>
        <v>585443.06010454451</v>
      </c>
    </row>
    <row r="1173" spans="1:18" x14ac:dyDescent="0.25">
      <c r="A1173">
        <v>13</v>
      </c>
      <c r="B1173">
        <v>5.9</v>
      </c>
      <c r="C1173">
        <v>9</v>
      </c>
      <c r="D1173">
        <v>15.9</v>
      </c>
      <c r="E1173">
        <v>20</v>
      </c>
      <c r="F1173">
        <v>5.4032148012145405E-2</v>
      </c>
      <c r="G1173" t="str">
        <f t="shared" si="72"/>
        <v>Insert into BlueCreditTypeRainbow Values (13, 5.9, 9, 15.9, 20, 0.0540321480121454)</v>
      </c>
      <c r="N1173" s="4">
        <v>1170</v>
      </c>
      <c r="O1173" s="8">
        <f>$B$7*COUNTIF(Sheet2!$B$1:$B$132,N1173)</f>
        <v>0</v>
      </c>
      <c r="P1173" s="8">
        <f t="shared" ca="1" si="70"/>
        <v>0</v>
      </c>
      <c r="Q1173" s="8">
        <f ca="1">CEILING(R1172*(IF(N1173&lt;=IF($B$2=0,0,OFFSET(Sheet2!$B$1,Sheet1!$B$2-1,0)),$B$1/(365*100),$B$3/(365*100)))*100,1)/100</f>
        <v>238.99</v>
      </c>
      <c r="R1173" s="9">
        <f t="shared" ca="1" si="71"/>
        <v>585682.0501045445</v>
      </c>
    </row>
    <row r="1174" spans="1:18" x14ac:dyDescent="0.25">
      <c r="A1174">
        <v>13</v>
      </c>
      <c r="B1174">
        <v>5.9</v>
      </c>
      <c r="C1174">
        <v>9</v>
      </c>
      <c r="D1174">
        <v>15.9</v>
      </c>
      <c r="E1174">
        <v>21</v>
      </c>
      <c r="F1174">
        <v>5.1751221904761897E-2</v>
      </c>
      <c r="G1174" t="str">
        <f t="shared" si="72"/>
        <v>Insert into BlueCreditTypeRainbow Values (13, 5.9, 9, 15.9, 21, 0.0517512219047619)</v>
      </c>
      <c r="N1174" s="4">
        <v>1171</v>
      </c>
      <c r="O1174" s="8">
        <f>$B$7*COUNTIF(Sheet2!$B$1:$B$132,N1174)</f>
        <v>0</v>
      </c>
      <c r="P1174" s="8">
        <f t="shared" ca="1" si="70"/>
        <v>0</v>
      </c>
      <c r="Q1174" s="8">
        <f ca="1">CEILING(R1173*(IF(N1174&lt;=IF($B$2=0,0,OFFSET(Sheet2!$B$1,Sheet1!$B$2-1,0)),$B$1/(365*100),$B$3/(365*100)))*100,1)/100</f>
        <v>239.09</v>
      </c>
      <c r="R1174" s="9">
        <f t="shared" ca="1" si="71"/>
        <v>585921.14010454447</v>
      </c>
    </row>
    <row r="1175" spans="1:18" x14ac:dyDescent="0.25">
      <c r="A1175">
        <v>13</v>
      </c>
      <c r="B1175">
        <v>5.9</v>
      </c>
      <c r="C1175">
        <v>9</v>
      </c>
      <c r="D1175">
        <v>15.9</v>
      </c>
      <c r="E1175">
        <v>22</v>
      </c>
      <c r="F1175">
        <v>4.9681196826307263E-2</v>
      </c>
      <c r="G1175" t="str">
        <f t="shared" si="72"/>
        <v>Insert into BlueCreditTypeRainbow Values (13, 5.9, 9, 15.9, 22, 0.0496811968263073)</v>
      </c>
      <c r="N1175" s="4">
        <v>1172</v>
      </c>
      <c r="O1175" s="8">
        <f>$B$7*COUNTIF(Sheet2!$B$1:$B$132,N1175)</f>
        <v>0</v>
      </c>
      <c r="P1175" s="8">
        <f t="shared" ca="1" si="70"/>
        <v>0</v>
      </c>
      <c r="Q1175" s="8">
        <f ca="1">CEILING(R1174*(IF(N1175&lt;=IF($B$2=0,0,OFFSET(Sheet2!$B$1,Sheet1!$B$2-1,0)),$B$1/(365*100),$B$3/(365*100)))*100,1)/100</f>
        <v>239.19</v>
      </c>
      <c r="R1175" s="9">
        <f t="shared" ca="1" si="71"/>
        <v>586160.33010454441</v>
      </c>
    </row>
    <row r="1176" spans="1:18" x14ac:dyDescent="0.25">
      <c r="A1176">
        <v>13</v>
      </c>
      <c r="B1176">
        <v>5.9</v>
      </c>
      <c r="C1176">
        <v>9</v>
      </c>
      <c r="D1176">
        <v>15.9</v>
      </c>
      <c r="E1176">
        <v>23</v>
      </c>
      <c r="F1176">
        <v>4.7795057434417088E-2</v>
      </c>
      <c r="G1176" t="str">
        <f t="shared" si="72"/>
        <v>Insert into BlueCreditTypeRainbow Values (13, 5.9, 9, 15.9, 23, 0.0477950574344171)</v>
      </c>
      <c r="N1176" s="4">
        <v>1173</v>
      </c>
      <c r="O1176" s="8">
        <f>$B$7*COUNTIF(Sheet2!$B$1:$B$132,N1176)</f>
        <v>0</v>
      </c>
      <c r="P1176" s="8">
        <f t="shared" ca="1" si="70"/>
        <v>0</v>
      </c>
      <c r="Q1176" s="8">
        <f ca="1">CEILING(R1175*(IF(N1176&lt;=IF($B$2=0,0,OFFSET(Sheet2!$B$1,Sheet1!$B$2-1,0)),$B$1/(365*100),$B$3/(365*100)))*100,1)/100</f>
        <v>239.29</v>
      </c>
      <c r="R1176" s="9">
        <f t="shared" ca="1" si="71"/>
        <v>586399.62010454445</v>
      </c>
    </row>
    <row r="1177" spans="1:18" x14ac:dyDescent="0.25">
      <c r="A1177">
        <v>13</v>
      </c>
      <c r="B1177">
        <v>5.9</v>
      </c>
      <c r="C1177">
        <v>9</v>
      </c>
      <c r="D1177">
        <v>15.9</v>
      </c>
      <c r="E1177">
        <v>24</v>
      </c>
      <c r="F1177">
        <v>4.606876503354615E-2</v>
      </c>
      <c r="G1177" t="str">
        <f t="shared" si="72"/>
        <v>Insert into BlueCreditTypeRainbow Values (13, 5.9, 9, 15.9, 24, 0.0460687650335461)</v>
      </c>
      <c r="N1177" s="4">
        <v>1174</v>
      </c>
      <c r="O1177" s="8">
        <f>$B$7*COUNTIF(Sheet2!$B$1:$B$132,N1177)</f>
        <v>0</v>
      </c>
      <c r="P1177" s="8">
        <f t="shared" ca="1" si="70"/>
        <v>0</v>
      </c>
      <c r="Q1177" s="8">
        <f ca="1">CEILING(R1176*(IF(N1177&lt;=IF($B$2=0,0,OFFSET(Sheet2!$B$1,Sheet1!$B$2-1,0)),$B$1/(365*100),$B$3/(365*100)))*100,1)/100</f>
        <v>239.38</v>
      </c>
      <c r="R1177" s="9">
        <f t="shared" ca="1" si="71"/>
        <v>586639.00010454445</v>
      </c>
    </row>
    <row r="1178" spans="1:18" x14ac:dyDescent="0.25">
      <c r="A1178">
        <v>13</v>
      </c>
      <c r="B1178">
        <v>5.9</v>
      </c>
      <c r="C1178">
        <v>9</v>
      </c>
      <c r="D1178">
        <v>15.9</v>
      </c>
      <c r="E1178">
        <v>25</v>
      </c>
      <c r="F1178">
        <v>4.4483623554206396E-2</v>
      </c>
      <c r="G1178" t="str">
        <f t="shared" si="72"/>
        <v>Insert into BlueCreditTypeRainbow Values (13, 5.9, 9, 15.9, 25, 0.0444836235542064)</v>
      </c>
      <c r="N1178" s="4">
        <v>1175</v>
      </c>
      <c r="O1178" s="8">
        <f>$B$7*COUNTIF(Sheet2!$B$1:$B$132,N1178)</f>
        <v>0</v>
      </c>
      <c r="P1178" s="8">
        <f t="shared" ca="1" si="70"/>
        <v>0</v>
      </c>
      <c r="Q1178" s="8">
        <f ca="1">CEILING(R1177*(IF(N1178&lt;=IF($B$2=0,0,OFFSET(Sheet2!$B$1,Sheet1!$B$2-1,0)),$B$1/(365*100),$B$3/(365*100)))*100,1)/100</f>
        <v>239.48</v>
      </c>
      <c r="R1178" s="9">
        <f t="shared" ca="1" si="71"/>
        <v>586878.48010454443</v>
      </c>
    </row>
    <row r="1179" spans="1:18" x14ac:dyDescent="0.25">
      <c r="A1179">
        <v>13</v>
      </c>
      <c r="B1179">
        <v>5.9</v>
      </c>
      <c r="C1179">
        <v>9</v>
      </c>
      <c r="D1179">
        <v>15.9</v>
      </c>
      <c r="E1179">
        <v>26</v>
      </c>
      <c r="F1179">
        <v>4.3023134649884151E-2</v>
      </c>
      <c r="G1179" t="str">
        <f t="shared" si="72"/>
        <v>Insert into BlueCreditTypeRainbow Values (13, 5.9, 9, 15.9, 26, 0.0430231346498842)</v>
      </c>
      <c r="N1179" s="4">
        <v>1176</v>
      </c>
      <c r="O1179" s="8">
        <f>$B$7*COUNTIF(Sheet2!$B$1:$B$132,N1179)</f>
        <v>0</v>
      </c>
      <c r="P1179" s="8">
        <f t="shared" ca="1" si="70"/>
        <v>0</v>
      </c>
      <c r="Q1179" s="8">
        <f ca="1">CEILING(R1178*(IF(N1179&lt;=IF($B$2=0,0,OFFSET(Sheet2!$B$1,Sheet1!$B$2-1,0)),$B$1/(365*100),$B$3/(365*100)))*100,1)/100</f>
        <v>239.58</v>
      </c>
      <c r="R1179" s="9">
        <f t="shared" ca="1" si="71"/>
        <v>587118.06010454439</v>
      </c>
    </row>
    <row r="1180" spans="1:18" x14ac:dyDescent="0.25">
      <c r="A1180">
        <v>13</v>
      </c>
      <c r="B1180">
        <v>5.9</v>
      </c>
      <c r="C1180">
        <v>9</v>
      </c>
      <c r="D1180">
        <v>15.9</v>
      </c>
      <c r="E1180">
        <v>27</v>
      </c>
      <c r="F1180">
        <v>4.167268740740742E-2</v>
      </c>
      <c r="G1180" t="str">
        <f t="shared" si="72"/>
        <v>Insert into BlueCreditTypeRainbow Values (13, 5.9, 9, 15.9, 27, 0.0416726874074074)</v>
      </c>
      <c r="N1180" s="4">
        <v>1177</v>
      </c>
      <c r="O1180" s="8">
        <f>$B$7*COUNTIF(Sheet2!$B$1:$B$132,N1180)</f>
        <v>0</v>
      </c>
      <c r="P1180" s="8">
        <f t="shared" ca="1" si="70"/>
        <v>0</v>
      </c>
      <c r="Q1180" s="8">
        <f ca="1">CEILING(R1179*(IF(N1180&lt;=IF($B$2=0,0,OFFSET(Sheet2!$B$1,Sheet1!$B$2-1,0)),$B$1/(365*100),$B$3/(365*100)))*100,1)/100</f>
        <v>239.68</v>
      </c>
      <c r="R1180" s="9">
        <f t="shared" ca="1" si="71"/>
        <v>587357.74010454444</v>
      </c>
    </row>
    <row r="1181" spans="1:18" x14ac:dyDescent="0.25">
      <c r="A1181">
        <v>13</v>
      </c>
      <c r="B1181">
        <v>5.9</v>
      </c>
      <c r="C1181">
        <v>9</v>
      </c>
      <c r="D1181">
        <v>15.9</v>
      </c>
      <c r="E1181">
        <v>28</v>
      </c>
      <c r="F1181">
        <v>4.0420938214285745E-2</v>
      </c>
      <c r="G1181" t="str">
        <f t="shared" si="72"/>
        <v>Insert into BlueCreditTypeRainbow Values (13, 5.9, 9, 15.9, 28, 0.0404209382142857)</v>
      </c>
      <c r="N1181" s="4">
        <v>1178</v>
      </c>
      <c r="O1181" s="8">
        <f>$B$7*COUNTIF(Sheet2!$B$1:$B$132,N1181)</f>
        <v>0</v>
      </c>
      <c r="P1181" s="8">
        <f t="shared" ca="1" si="70"/>
        <v>0</v>
      </c>
      <c r="Q1181" s="8">
        <f ca="1">CEILING(R1180*(IF(N1181&lt;=IF($B$2=0,0,OFFSET(Sheet2!$B$1,Sheet1!$B$2-1,0)),$B$1/(365*100),$B$3/(365*100)))*100,1)/100</f>
        <v>239.78</v>
      </c>
      <c r="R1181" s="9">
        <f t="shared" ca="1" si="71"/>
        <v>587597.52010454447</v>
      </c>
    </row>
    <row r="1182" spans="1:18" x14ac:dyDescent="0.25">
      <c r="A1182">
        <v>13</v>
      </c>
      <c r="B1182">
        <v>5.9</v>
      </c>
      <c r="C1182">
        <v>9</v>
      </c>
      <c r="D1182">
        <v>15.9</v>
      </c>
      <c r="E1182">
        <v>29</v>
      </c>
      <c r="F1182">
        <v>3.9257059655172413E-2</v>
      </c>
      <c r="G1182" t="str">
        <f t="shared" si="72"/>
        <v>Insert into BlueCreditTypeRainbow Values (13, 5.9, 9, 15.9, 29, 0.0392570596551724)</v>
      </c>
      <c r="N1182" s="4">
        <v>1179</v>
      </c>
      <c r="O1182" s="8">
        <f>$B$7*COUNTIF(Sheet2!$B$1:$B$132,N1182)</f>
        <v>0</v>
      </c>
      <c r="P1182" s="8">
        <f t="shared" ca="1" si="70"/>
        <v>0</v>
      </c>
      <c r="Q1182" s="8">
        <f ca="1">CEILING(R1181*(IF(N1182&lt;=IF($B$2=0,0,OFFSET(Sheet2!$B$1,Sheet1!$B$2-1,0)),$B$1/(365*100),$B$3/(365*100)))*100,1)/100</f>
        <v>239.87</v>
      </c>
      <c r="R1182" s="9">
        <f t="shared" ca="1" si="71"/>
        <v>587837.39010454447</v>
      </c>
    </row>
    <row r="1183" spans="1:18" x14ac:dyDescent="0.25">
      <c r="A1183">
        <v>13</v>
      </c>
      <c r="B1183">
        <v>5.9</v>
      </c>
      <c r="C1183">
        <v>9</v>
      </c>
      <c r="D1183">
        <v>15.9</v>
      </c>
      <c r="E1183">
        <v>30</v>
      </c>
      <c r="F1183">
        <v>3.8172658698996768E-2</v>
      </c>
      <c r="G1183" t="str">
        <f t="shared" si="72"/>
        <v>Insert into BlueCreditTypeRainbow Values (13, 5.9, 9, 15.9, 30, 0.0381726586989968)</v>
      </c>
      <c r="N1183" s="4">
        <v>1180</v>
      </c>
      <c r="O1183" s="8">
        <f>$B$7*COUNTIF(Sheet2!$B$1:$B$132,N1183)</f>
        <v>0</v>
      </c>
      <c r="P1183" s="8">
        <f t="shared" ca="1" si="70"/>
        <v>0</v>
      </c>
      <c r="Q1183" s="8">
        <f ca="1">CEILING(R1182*(IF(N1183&lt;=IF($B$2=0,0,OFFSET(Sheet2!$B$1,Sheet1!$B$2-1,0)),$B$1/(365*100),$B$3/(365*100)))*100,1)/100</f>
        <v>239.97</v>
      </c>
      <c r="R1183" s="9">
        <f t="shared" ca="1" si="71"/>
        <v>588077.36010454444</v>
      </c>
    </row>
    <row r="1184" spans="1:18" x14ac:dyDescent="0.25">
      <c r="A1184">
        <v>13</v>
      </c>
      <c r="B1184">
        <v>5.9</v>
      </c>
      <c r="C1184">
        <v>8</v>
      </c>
      <c r="D1184">
        <v>15.9</v>
      </c>
      <c r="E1184">
        <v>18</v>
      </c>
      <c r="F1184">
        <v>5.9633019456952353E-2</v>
      </c>
      <c r="G1184" t="str">
        <f t="shared" si="72"/>
        <v>Insert into BlueCreditTypeRainbow Values (13, 5.9, 8, 15.9, 18, 0.0596330194569524)</v>
      </c>
      <c r="N1184" s="4">
        <v>1181</v>
      </c>
      <c r="O1184" s="8">
        <f>$B$7*COUNTIF(Sheet2!$B$1:$B$132,N1184)</f>
        <v>0</v>
      </c>
      <c r="P1184" s="8">
        <f t="shared" ca="1" si="70"/>
        <v>0</v>
      </c>
      <c r="Q1184" s="8">
        <f ca="1">CEILING(R1183*(IF(N1184&lt;=IF($B$2=0,0,OFFSET(Sheet2!$B$1,Sheet1!$B$2-1,0)),$B$1/(365*100),$B$3/(365*100)))*100,1)/100</f>
        <v>240.07</v>
      </c>
      <c r="R1184" s="9">
        <f t="shared" ca="1" si="71"/>
        <v>588317.43010454439</v>
      </c>
    </row>
    <row r="1185" spans="1:18" x14ac:dyDescent="0.25">
      <c r="A1185">
        <v>13</v>
      </c>
      <c r="B1185">
        <v>5.9</v>
      </c>
      <c r="C1185">
        <v>8</v>
      </c>
      <c r="D1185">
        <v>15.9</v>
      </c>
      <c r="E1185">
        <v>19</v>
      </c>
      <c r="F1185">
        <v>5.6818012631578985E-2</v>
      </c>
      <c r="G1185" t="str">
        <f t="shared" si="72"/>
        <v>Insert into BlueCreditTypeRainbow Values (13, 5.9, 8, 15.9, 19, 0.056818012631579)</v>
      </c>
      <c r="N1185" s="4">
        <v>1182</v>
      </c>
      <c r="O1185" s="8">
        <f>$B$7*COUNTIF(Sheet2!$B$1:$B$132,N1185)</f>
        <v>0</v>
      </c>
      <c r="P1185" s="8">
        <f t="shared" ca="1" si="70"/>
        <v>0</v>
      </c>
      <c r="Q1185" s="8">
        <f ca="1">CEILING(R1184*(IF(N1185&lt;=IF($B$2=0,0,OFFSET(Sheet2!$B$1,Sheet1!$B$2-1,0)),$B$1/(365*100),$B$3/(365*100)))*100,1)/100</f>
        <v>240.17</v>
      </c>
      <c r="R1185" s="9">
        <f t="shared" ca="1" si="71"/>
        <v>588557.60010454443</v>
      </c>
    </row>
    <row r="1186" spans="1:18" x14ac:dyDescent="0.25">
      <c r="A1186">
        <v>13</v>
      </c>
      <c r="B1186">
        <v>5.9</v>
      </c>
      <c r="C1186">
        <v>8</v>
      </c>
      <c r="D1186">
        <v>15.9</v>
      </c>
      <c r="E1186">
        <v>20</v>
      </c>
      <c r="F1186">
        <v>5.428855954264445E-2</v>
      </c>
      <c r="G1186" t="str">
        <f t="shared" si="72"/>
        <v>Insert into BlueCreditTypeRainbow Values (13, 5.9, 8, 15.9, 20, 0.0542885595426445)</v>
      </c>
      <c r="N1186" s="4">
        <v>1183</v>
      </c>
      <c r="O1186" s="8">
        <f>$B$7*COUNTIF(Sheet2!$B$1:$B$132,N1186)</f>
        <v>0</v>
      </c>
      <c r="P1186" s="8">
        <f t="shared" ca="1" si="70"/>
        <v>0</v>
      </c>
      <c r="Q1186" s="8">
        <f ca="1">CEILING(R1185*(IF(N1186&lt;=IF($B$2=0,0,OFFSET(Sheet2!$B$1,Sheet1!$B$2-1,0)),$B$1/(365*100),$B$3/(365*100)))*100,1)/100</f>
        <v>240.27</v>
      </c>
      <c r="R1186" s="9">
        <f t="shared" ca="1" si="71"/>
        <v>588797.87010454445</v>
      </c>
    </row>
    <row r="1187" spans="1:18" x14ac:dyDescent="0.25">
      <c r="A1187">
        <v>13</v>
      </c>
      <c r="B1187">
        <v>5.9</v>
      </c>
      <c r="C1187">
        <v>8</v>
      </c>
      <c r="D1187">
        <v>15.9</v>
      </c>
      <c r="E1187">
        <v>21</v>
      </c>
      <c r="F1187">
        <v>5.2004437020440171E-2</v>
      </c>
      <c r="G1187" t="str">
        <f t="shared" si="72"/>
        <v>Insert into BlueCreditTypeRainbow Values (13, 5.9, 8, 15.9, 21, 0.0520044370204402)</v>
      </c>
      <c r="N1187" s="4">
        <v>1184</v>
      </c>
      <c r="O1187" s="8">
        <f>$B$7*COUNTIF(Sheet2!$B$1:$B$132,N1187)</f>
        <v>0</v>
      </c>
      <c r="P1187" s="8">
        <f t="shared" ca="1" si="70"/>
        <v>0</v>
      </c>
      <c r="Q1187" s="8">
        <f ca="1">CEILING(R1186*(IF(N1187&lt;=IF($B$2=0,0,OFFSET(Sheet2!$B$1,Sheet1!$B$2-1,0)),$B$1/(365*100),$B$3/(365*100)))*100,1)/100</f>
        <v>240.36</v>
      </c>
      <c r="R1187" s="9">
        <f t="shared" ca="1" si="71"/>
        <v>589038.23010454443</v>
      </c>
    </row>
    <row r="1188" spans="1:18" x14ac:dyDescent="0.25">
      <c r="A1188">
        <v>13</v>
      </c>
      <c r="B1188">
        <v>5.9</v>
      </c>
      <c r="C1188">
        <v>8</v>
      </c>
      <c r="D1188">
        <v>15.9</v>
      </c>
      <c r="E1188">
        <v>22</v>
      </c>
      <c r="F1188">
        <v>4.9930941839033197E-2</v>
      </c>
      <c r="G1188" t="str">
        <f t="shared" si="72"/>
        <v>Insert into BlueCreditTypeRainbow Values (13, 5.9, 8, 15.9, 22, 0.0499309418390332)</v>
      </c>
      <c r="N1188" s="4">
        <v>1185</v>
      </c>
      <c r="O1188" s="8">
        <f>$B$7*COUNTIF(Sheet2!$B$1:$B$132,N1188)</f>
        <v>0</v>
      </c>
      <c r="P1188" s="8">
        <f t="shared" ca="1" si="70"/>
        <v>0</v>
      </c>
      <c r="Q1188" s="8">
        <f ca="1">CEILING(R1187*(IF(N1188&lt;=IF($B$2=0,0,OFFSET(Sheet2!$B$1,Sheet1!$B$2-1,0)),$B$1/(365*100),$B$3/(365*100)))*100,1)/100</f>
        <v>240.46</v>
      </c>
      <c r="R1188" s="9">
        <f t="shared" ca="1" si="71"/>
        <v>589278.6901045444</v>
      </c>
    </row>
    <row r="1189" spans="1:18" x14ac:dyDescent="0.25">
      <c r="A1189">
        <v>13</v>
      </c>
      <c r="B1189">
        <v>5.9</v>
      </c>
      <c r="C1189">
        <v>8</v>
      </c>
      <c r="D1189">
        <v>15.9</v>
      </c>
      <c r="E1189">
        <v>23</v>
      </c>
      <c r="F1189">
        <v>4.8041155685415837E-2</v>
      </c>
      <c r="G1189" t="str">
        <f t="shared" si="72"/>
        <v>Insert into BlueCreditTypeRainbow Values (13, 5.9, 8, 15.9, 23, 0.0480411556854158)</v>
      </c>
      <c r="N1189" s="4">
        <v>1186</v>
      </c>
      <c r="O1189" s="8">
        <f>$B$7*COUNTIF(Sheet2!$B$1:$B$132,N1189)</f>
        <v>0</v>
      </c>
      <c r="P1189" s="8">
        <f t="shared" ca="1" si="70"/>
        <v>0</v>
      </c>
      <c r="Q1189" s="8">
        <f ca="1">CEILING(R1188*(IF(N1189&lt;=IF($B$2=0,0,OFFSET(Sheet2!$B$1,Sheet1!$B$2-1,0)),$B$1/(365*100),$B$3/(365*100)))*100,1)/100</f>
        <v>240.56</v>
      </c>
      <c r="R1189" s="9">
        <f t="shared" ca="1" si="71"/>
        <v>589519.25010454445</v>
      </c>
    </row>
    <row r="1190" spans="1:18" x14ac:dyDescent="0.25">
      <c r="A1190">
        <v>13</v>
      </c>
      <c r="B1190">
        <v>5.9</v>
      </c>
      <c r="C1190">
        <v>8</v>
      </c>
      <c r="D1190">
        <v>15.9</v>
      </c>
      <c r="E1190">
        <v>24</v>
      </c>
      <c r="F1190">
        <v>4.6311121666666698E-2</v>
      </c>
      <c r="G1190" t="str">
        <f t="shared" si="72"/>
        <v>Insert into BlueCreditTypeRainbow Values (13, 5.9, 8, 15.9, 24, 0.0463111216666667)</v>
      </c>
      <c r="N1190" s="4">
        <v>1187</v>
      </c>
      <c r="O1190" s="8">
        <f>$B$7*COUNTIF(Sheet2!$B$1:$B$132,N1190)</f>
        <v>0</v>
      </c>
      <c r="P1190" s="8">
        <f t="shared" ca="1" si="70"/>
        <v>0</v>
      </c>
      <c r="Q1190" s="8">
        <f ca="1">CEILING(R1189*(IF(N1190&lt;=IF($B$2=0,0,OFFSET(Sheet2!$B$1,Sheet1!$B$2-1,0)),$B$1/(365*100),$B$3/(365*100)))*100,1)/100</f>
        <v>240.66</v>
      </c>
      <c r="R1190" s="9">
        <f t="shared" ca="1" si="71"/>
        <v>589759.91010454448</v>
      </c>
    </row>
    <row r="1191" spans="1:18" x14ac:dyDescent="0.25">
      <c r="A1191">
        <v>13</v>
      </c>
      <c r="B1191">
        <v>5.9</v>
      </c>
      <c r="C1191">
        <v>8</v>
      </c>
      <c r="D1191">
        <v>15.9</v>
      </c>
      <c r="E1191">
        <v>25</v>
      </c>
      <c r="F1191">
        <v>4.4722203638494017E-2</v>
      </c>
      <c r="G1191" t="str">
        <f t="shared" si="72"/>
        <v>Insert into BlueCreditTypeRainbow Values (13, 5.9, 8, 15.9, 25, 0.044722203638494)</v>
      </c>
      <c r="N1191" s="4">
        <v>1188</v>
      </c>
      <c r="O1191" s="8">
        <f>$B$7*COUNTIF(Sheet2!$B$1:$B$132,N1191)</f>
        <v>0</v>
      </c>
      <c r="P1191" s="8">
        <f t="shared" ca="1" si="70"/>
        <v>0</v>
      </c>
      <c r="Q1191" s="8">
        <f ca="1">CEILING(R1190*(IF(N1191&lt;=IF($B$2=0,0,OFFSET(Sheet2!$B$1,Sheet1!$B$2-1,0)),$B$1/(365*100),$B$3/(365*100)))*100,1)/100</f>
        <v>240.76</v>
      </c>
      <c r="R1191" s="9">
        <f t="shared" ca="1" si="71"/>
        <v>590000.67010454449</v>
      </c>
    </row>
    <row r="1192" spans="1:18" x14ac:dyDescent="0.25">
      <c r="A1192">
        <v>13</v>
      </c>
      <c r="B1192">
        <v>5.9</v>
      </c>
      <c r="C1192">
        <v>8</v>
      </c>
      <c r="D1192">
        <v>15.9</v>
      </c>
      <c r="E1192">
        <v>26</v>
      </c>
      <c r="F1192">
        <v>4.3257948050846984E-2</v>
      </c>
      <c r="G1192" t="str">
        <f t="shared" si="72"/>
        <v>Insert into BlueCreditTypeRainbow Values (13, 5.9, 8, 15.9, 26, 0.043257948050847)</v>
      </c>
      <c r="N1192" s="4">
        <v>1189</v>
      </c>
      <c r="O1192" s="8">
        <f>$B$7*COUNTIF(Sheet2!$B$1:$B$132,N1192)</f>
        <v>21157.10552356458</v>
      </c>
      <c r="P1192" s="8">
        <f t="shared" ca="1" si="70"/>
        <v>20916.255523564581</v>
      </c>
      <c r="Q1192" s="8">
        <f ca="1">CEILING(R1191*(IF(N1192&lt;=IF($B$2=0,0,OFFSET(Sheet2!$B$1,Sheet1!$B$2-1,0)),$B$1/(365*100),$B$3/(365*100)))*100,1)/100</f>
        <v>240.85</v>
      </c>
      <c r="R1192" s="9">
        <f t="shared" ca="1" si="71"/>
        <v>569084.41458097985</v>
      </c>
    </row>
    <row r="1193" spans="1:18" x14ac:dyDescent="0.25">
      <c r="A1193">
        <v>13</v>
      </c>
      <c r="B1193">
        <v>5.9</v>
      </c>
      <c r="C1193">
        <v>8</v>
      </c>
      <c r="D1193">
        <v>15.9</v>
      </c>
      <c r="E1193">
        <v>27</v>
      </c>
      <c r="F1193">
        <v>4.1903770378957809E-2</v>
      </c>
      <c r="G1193" t="str">
        <f t="shared" si="72"/>
        <v>Insert into BlueCreditTypeRainbow Values (13, 5.9, 8, 15.9, 27, 0.0419037703789578)</v>
      </c>
      <c r="N1193" s="4">
        <v>1190</v>
      </c>
      <c r="O1193" s="8">
        <f>$B$7*COUNTIF(Sheet2!$B$1:$B$132,N1193)</f>
        <v>0</v>
      </c>
      <c r="P1193" s="8">
        <f t="shared" ca="1" si="70"/>
        <v>0</v>
      </c>
      <c r="Q1193" s="8">
        <f ca="1">CEILING(R1192*(IF(N1193&lt;=IF($B$2=0,0,OFFSET(Sheet2!$B$1,Sheet1!$B$2-1,0)),$B$1/(365*100),$B$3/(365*100)))*100,1)/100</f>
        <v>232.32</v>
      </c>
      <c r="R1193" s="9">
        <f t="shared" ca="1" si="71"/>
        <v>569316.7345809798</v>
      </c>
    </row>
    <row r="1194" spans="1:18" x14ac:dyDescent="0.25">
      <c r="A1194">
        <v>13</v>
      </c>
      <c r="B1194">
        <v>5.9</v>
      </c>
      <c r="C1194">
        <v>8</v>
      </c>
      <c r="D1194">
        <v>15.9</v>
      </c>
      <c r="E1194">
        <v>28</v>
      </c>
      <c r="F1194">
        <v>4.0648353928571461E-2</v>
      </c>
      <c r="G1194" t="str">
        <f t="shared" si="72"/>
        <v>Insert into BlueCreditTypeRainbow Values (13, 5.9, 8, 15.9, 28, 0.0406483539285715)</v>
      </c>
      <c r="N1194" s="4">
        <v>1191</v>
      </c>
      <c r="O1194" s="8">
        <f>$B$7*COUNTIF(Sheet2!$B$1:$B$132,N1194)</f>
        <v>0</v>
      </c>
      <c r="P1194" s="8">
        <f t="shared" ca="1" si="70"/>
        <v>0</v>
      </c>
      <c r="Q1194" s="8">
        <f ca="1">CEILING(R1193*(IF(N1194&lt;=IF($B$2=0,0,OFFSET(Sheet2!$B$1,Sheet1!$B$2-1,0)),$B$1/(365*100),$B$3/(365*100)))*100,1)/100</f>
        <v>232.41</v>
      </c>
      <c r="R1194" s="9">
        <f t="shared" ca="1" si="71"/>
        <v>569549.14458097983</v>
      </c>
    </row>
    <row r="1195" spans="1:18" x14ac:dyDescent="0.25">
      <c r="A1195">
        <v>13</v>
      </c>
      <c r="B1195">
        <v>5.9</v>
      </c>
      <c r="C1195">
        <v>8</v>
      </c>
      <c r="D1195">
        <v>15.9</v>
      </c>
      <c r="E1195">
        <v>29</v>
      </c>
      <c r="F1195">
        <v>3.9480887472280769E-2</v>
      </c>
      <c r="G1195" t="str">
        <f t="shared" si="72"/>
        <v>Insert into BlueCreditTypeRainbow Values (13, 5.9, 8, 15.9, 29, 0.0394808874722808)</v>
      </c>
      <c r="N1195" s="4">
        <v>1192</v>
      </c>
      <c r="O1195" s="8">
        <f>$B$7*COUNTIF(Sheet2!$B$1:$B$132,N1195)</f>
        <v>0</v>
      </c>
      <c r="P1195" s="8">
        <f t="shared" ca="1" si="70"/>
        <v>0</v>
      </c>
      <c r="Q1195" s="8">
        <f ca="1">CEILING(R1194*(IF(N1195&lt;=IF($B$2=0,0,OFFSET(Sheet2!$B$1,Sheet1!$B$2-1,0)),$B$1/(365*100),$B$3/(365*100)))*100,1)/100</f>
        <v>232.51</v>
      </c>
      <c r="R1195" s="9">
        <f t="shared" ca="1" si="71"/>
        <v>569781.65458097984</v>
      </c>
    </row>
    <row r="1196" spans="1:18" x14ac:dyDescent="0.25">
      <c r="A1196">
        <v>13</v>
      </c>
      <c r="B1196">
        <v>5.9</v>
      </c>
      <c r="C1196">
        <v>8</v>
      </c>
      <c r="D1196">
        <v>15.9</v>
      </c>
      <c r="E1196">
        <v>30</v>
      </c>
      <c r="F1196">
        <v>3.8392977000000099E-2</v>
      </c>
      <c r="G1196" t="str">
        <f t="shared" si="72"/>
        <v>Insert into BlueCreditTypeRainbow Values (13, 5.9, 8, 15.9, 30, 0.0383929770000001)</v>
      </c>
      <c r="N1196" s="4">
        <v>1193</v>
      </c>
      <c r="O1196" s="8">
        <f>$B$7*COUNTIF(Sheet2!$B$1:$B$132,N1196)</f>
        <v>0</v>
      </c>
      <c r="P1196" s="8">
        <f t="shared" ca="1" si="70"/>
        <v>0</v>
      </c>
      <c r="Q1196" s="8">
        <f ca="1">CEILING(R1195*(IF(N1196&lt;=IF($B$2=0,0,OFFSET(Sheet2!$B$1,Sheet1!$B$2-1,0)),$B$1/(365*100),$B$3/(365*100)))*100,1)/100</f>
        <v>232.6</v>
      </c>
      <c r="R1196" s="9">
        <f t="shared" ca="1" si="71"/>
        <v>570014.25458097982</v>
      </c>
    </row>
    <row r="1197" spans="1:18" x14ac:dyDescent="0.25">
      <c r="A1197">
        <v>13</v>
      </c>
      <c r="B1197">
        <v>5.9</v>
      </c>
      <c r="C1197">
        <v>7</v>
      </c>
      <c r="D1197">
        <v>15.9</v>
      </c>
      <c r="E1197">
        <v>18</v>
      </c>
      <c r="F1197">
        <v>5.9922668388438641E-2</v>
      </c>
      <c r="G1197" t="str">
        <f t="shared" si="72"/>
        <v>Insert into BlueCreditTypeRainbow Values (13, 5.9, 7, 15.9, 18, 0.0599226683884386)</v>
      </c>
      <c r="N1197" s="4">
        <v>1194</v>
      </c>
      <c r="O1197" s="8">
        <f>$B$7*COUNTIF(Sheet2!$B$1:$B$132,N1197)</f>
        <v>0</v>
      </c>
      <c r="P1197" s="8">
        <f t="shared" ca="1" si="70"/>
        <v>0</v>
      </c>
      <c r="Q1197" s="8">
        <f ca="1">CEILING(R1196*(IF(N1197&lt;=IF($B$2=0,0,OFFSET(Sheet2!$B$1,Sheet1!$B$2-1,0)),$B$1/(365*100),$B$3/(365*100)))*100,1)/100</f>
        <v>232.7</v>
      </c>
      <c r="R1197" s="9">
        <f t="shared" ca="1" si="71"/>
        <v>570246.95458097977</v>
      </c>
    </row>
    <row r="1198" spans="1:18" x14ac:dyDescent="0.25">
      <c r="A1198">
        <v>13</v>
      </c>
      <c r="B1198">
        <v>5.9</v>
      </c>
      <c r="C1198">
        <v>7</v>
      </c>
      <c r="D1198">
        <v>15.9</v>
      </c>
      <c r="E1198">
        <v>19</v>
      </c>
      <c r="F1198">
        <v>5.7103059515512526E-2</v>
      </c>
      <c r="G1198" t="str">
        <f t="shared" si="72"/>
        <v>Insert into BlueCreditTypeRainbow Values (13, 5.9, 7, 15.9, 19, 0.0571030595155125)</v>
      </c>
      <c r="N1198" s="4">
        <v>1195</v>
      </c>
      <c r="O1198" s="8">
        <f>$B$7*COUNTIF(Sheet2!$B$1:$B$132,N1198)</f>
        <v>0</v>
      </c>
      <c r="P1198" s="8">
        <f t="shared" ca="1" si="70"/>
        <v>0</v>
      </c>
      <c r="Q1198" s="8">
        <f ca="1">CEILING(R1197*(IF(N1198&lt;=IF($B$2=0,0,OFFSET(Sheet2!$B$1,Sheet1!$B$2-1,0)),$B$1/(365*100),$B$3/(365*100)))*100,1)/100</f>
        <v>232.79</v>
      </c>
      <c r="R1198" s="9">
        <f t="shared" ca="1" si="71"/>
        <v>570479.74458097981</v>
      </c>
    </row>
    <row r="1199" spans="1:18" x14ac:dyDescent="0.25">
      <c r="A1199">
        <v>13</v>
      </c>
      <c r="B1199">
        <v>5.9</v>
      </c>
      <c r="C1199">
        <v>7</v>
      </c>
      <c r="D1199">
        <v>15.9</v>
      </c>
      <c r="E1199">
        <v>20</v>
      </c>
      <c r="F1199">
        <v>5.4568704520488828E-2</v>
      </c>
      <c r="G1199" t="str">
        <f t="shared" si="72"/>
        <v>Insert into BlueCreditTypeRainbow Values (13, 5.9, 7, 15.9, 20, 0.0545687045204888)</v>
      </c>
      <c r="N1199" s="4">
        <v>1196</v>
      </c>
      <c r="O1199" s="8">
        <f>$B$7*COUNTIF(Sheet2!$B$1:$B$132,N1199)</f>
        <v>0</v>
      </c>
      <c r="P1199" s="8">
        <f t="shared" ca="1" si="70"/>
        <v>0</v>
      </c>
      <c r="Q1199" s="8">
        <f ca="1">CEILING(R1198*(IF(N1199&lt;=IF($B$2=0,0,OFFSET(Sheet2!$B$1,Sheet1!$B$2-1,0)),$B$1/(365*100),$B$3/(365*100)))*100,1)/100</f>
        <v>232.89</v>
      </c>
      <c r="R1199" s="9">
        <f t="shared" ca="1" si="71"/>
        <v>570712.63458097982</v>
      </c>
    </row>
    <row r="1200" spans="1:18" x14ac:dyDescent="0.25">
      <c r="A1200">
        <v>13</v>
      </c>
      <c r="B1200">
        <v>5.9</v>
      </c>
      <c r="C1200">
        <v>7</v>
      </c>
      <c r="D1200">
        <v>15.9</v>
      </c>
      <c r="E1200">
        <v>21</v>
      </c>
      <c r="F1200">
        <v>5.2279550999425169E-2</v>
      </c>
      <c r="G1200" t="str">
        <f t="shared" si="72"/>
        <v>Insert into BlueCreditTypeRainbow Values (13, 5.9, 7, 15.9, 21, 0.0522795509994252)</v>
      </c>
      <c r="N1200" s="4">
        <v>1197</v>
      </c>
      <c r="O1200" s="8">
        <f>$B$7*COUNTIF(Sheet2!$B$1:$B$132,N1200)</f>
        <v>0</v>
      </c>
      <c r="P1200" s="8">
        <f t="shared" ca="1" si="70"/>
        <v>0</v>
      </c>
      <c r="Q1200" s="8">
        <f ca="1">CEILING(R1199*(IF(N1200&lt;=IF($B$2=0,0,OFFSET(Sheet2!$B$1,Sheet1!$B$2-1,0)),$B$1/(365*100),$B$3/(365*100)))*100,1)/100</f>
        <v>232.98</v>
      </c>
      <c r="R1200" s="9">
        <f t="shared" ca="1" si="71"/>
        <v>570945.6145809798</v>
      </c>
    </row>
    <row r="1201" spans="1:18" x14ac:dyDescent="0.25">
      <c r="A1201">
        <v>13</v>
      </c>
      <c r="B1201">
        <v>5.9</v>
      </c>
      <c r="C1201">
        <v>7</v>
      </c>
      <c r="D1201">
        <v>15.9</v>
      </c>
      <c r="E1201">
        <v>22</v>
      </c>
      <c r="F1201">
        <v>5.0200962769858005E-2</v>
      </c>
      <c r="G1201" t="str">
        <f t="shared" si="72"/>
        <v>Insert into BlueCreditTypeRainbow Values (13, 5.9, 7, 15.9, 22, 0.050200962769858)</v>
      </c>
      <c r="N1201" s="4">
        <v>1198</v>
      </c>
      <c r="O1201" s="8">
        <f>$B$7*COUNTIF(Sheet2!$B$1:$B$132,N1201)</f>
        <v>0</v>
      </c>
      <c r="P1201" s="8">
        <f t="shared" ca="1" si="70"/>
        <v>0</v>
      </c>
      <c r="Q1201" s="8">
        <f ca="1">CEILING(R1200*(IF(N1201&lt;=IF($B$2=0,0,OFFSET(Sheet2!$B$1,Sheet1!$B$2-1,0)),$B$1/(365*100),$B$3/(365*100)))*100,1)/100</f>
        <v>233.08</v>
      </c>
      <c r="R1201" s="9">
        <f t="shared" ca="1" si="71"/>
        <v>571178.69458097976</v>
      </c>
    </row>
    <row r="1202" spans="1:18" x14ac:dyDescent="0.25">
      <c r="A1202">
        <v>13</v>
      </c>
      <c r="B1202">
        <v>5.9</v>
      </c>
      <c r="C1202">
        <v>7</v>
      </c>
      <c r="D1202">
        <v>15.9</v>
      </c>
      <c r="E1202">
        <v>23</v>
      </c>
      <c r="F1202">
        <v>4.830610167844173E-2</v>
      </c>
      <c r="G1202" t="str">
        <f t="shared" si="72"/>
        <v>Insert into BlueCreditTypeRainbow Values (13, 5.9, 7, 15.9, 23, 0.0483061016784417)</v>
      </c>
      <c r="N1202" s="4">
        <v>1199</v>
      </c>
      <c r="O1202" s="8">
        <f>$B$7*COUNTIF(Sheet2!$B$1:$B$132,N1202)</f>
        <v>0</v>
      </c>
      <c r="P1202" s="8">
        <f t="shared" ca="1" si="70"/>
        <v>0</v>
      </c>
      <c r="Q1202" s="8">
        <f ca="1">CEILING(R1201*(IF(N1202&lt;=IF($B$2=0,0,OFFSET(Sheet2!$B$1,Sheet1!$B$2-1,0)),$B$1/(365*100),$B$3/(365*100)))*100,1)/100</f>
        <v>233.17</v>
      </c>
      <c r="R1202" s="9">
        <f t="shared" ca="1" si="71"/>
        <v>571411.8645809798</v>
      </c>
    </row>
    <row r="1203" spans="1:18" x14ac:dyDescent="0.25">
      <c r="A1203">
        <v>13</v>
      </c>
      <c r="B1203">
        <v>5.9</v>
      </c>
      <c r="C1203">
        <v>7</v>
      </c>
      <c r="D1203">
        <v>15.9</v>
      </c>
      <c r="E1203">
        <v>24</v>
      </c>
      <c r="F1203">
        <v>4.6571080416666646E-2</v>
      </c>
      <c r="G1203" t="str">
        <f t="shared" si="72"/>
        <v>Insert into BlueCreditTypeRainbow Values (13, 5.9, 7, 15.9, 24, 0.0465710804166666)</v>
      </c>
      <c r="N1203" s="4">
        <v>1200</v>
      </c>
      <c r="O1203" s="8">
        <f>$B$7*COUNTIF(Sheet2!$B$1:$B$132,N1203)</f>
        <v>0</v>
      </c>
      <c r="P1203" s="8">
        <f t="shared" ca="1" si="70"/>
        <v>0</v>
      </c>
      <c r="Q1203" s="8">
        <f ca="1">CEILING(R1202*(IF(N1203&lt;=IF($B$2=0,0,OFFSET(Sheet2!$B$1,Sheet1!$B$2-1,0)),$B$1/(365*100),$B$3/(365*100)))*100,1)/100</f>
        <v>233.27</v>
      </c>
      <c r="R1203" s="9">
        <f t="shared" ca="1" si="71"/>
        <v>571645.13458097982</v>
      </c>
    </row>
    <row r="1204" spans="1:18" x14ac:dyDescent="0.25">
      <c r="A1204">
        <v>13</v>
      </c>
      <c r="B1204">
        <v>5.9</v>
      </c>
      <c r="C1204">
        <v>7</v>
      </c>
      <c r="D1204">
        <v>15.9</v>
      </c>
      <c r="E1204">
        <v>25</v>
      </c>
      <c r="F1204">
        <v>4.4977274036239981E-2</v>
      </c>
      <c r="G1204" t="str">
        <f t="shared" si="72"/>
        <v>Insert into BlueCreditTypeRainbow Values (13, 5.9, 7, 15.9, 25, 0.04497727403624)</v>
      </c>
      <c r="N1204" s="4">
        <v>1201</v>
      </c>
      <c r="O1204" s="8">
        <f>$B$7*COUNTIF(Sheet2!$B$1:$B$132,N1204)</f>
        <v>0</v>
      </c>
      <c r="P1204" s="8">
        <f t="shared" ca="1" si="70"/>
        <v>0</v>
      </c>
      <c r="Q1204" s="8">
        <f ca="1">CEILING(R1203*(IF(N1204&lt;=IF($B$2=0,0,OFFSET(Sheet2!$B$1,Sheet1!$B$2-1,0)),$B$1/(365*100),$B$3/(365*100)))*100,1)/100</f>
        <v>233.36</v>
      </c>
      <c r="R1204" s="9">
        <f t="shared" ca="1" si="71"/>
        <v>571878.49458097981</v>
      </c>
    </row>
    <row r="1205" spans="1:18" x14ac:dyDescent="0.25">
      <c r="A1205">
        <v>13</v>
      </c>
      <c r="B1205">
        <v>5.9</v>
      </c>
      <c r="C1205">
        <v>7</v>
      </c>
      <c r="D1205">
        <v>15.9</v>
      </c>
      <c r="E1205">
        <v>26</v>
      </c>
      <c r="F1205">
        <v>4.3508265035058558E-2</v>
      </c>
      <c r="G1205" t="str">
        <f t="shared" si="72"/>
        <v>Insert into BlueCreditTypeRainbow Values (13, 5.9, 7, 15.9, 26, 0.0435082650350586)</v>
      </c>
      <c r="N1205" s="4">
        <v>1202</v>
      </c>
      <c r="O1205" s="8">
        <f>$B$7*COUNTIF(Sheet2!$B$1:$B$132,N1205)</f>
        <v>0</v>
      </c>
      <c r="P1205" s="8">
        <f t="shared" ca="1" si="70"/>
        <v>0</v>
      </c>
      <c r="Q1205" s="8">
        <f ca="1">CEILING(R1204*(IF(N1205&lt;=IF($B$2=0,0,OFFSET(Sheet2!$B$1,Sheet1!$B$2-1,0)),$B$1/(365*100),$B$3/(365*100)))*100,1)/100</f>
        <v>233.46</v>
      </c>
      <c r="R1205" s="9">
        <f t="shared" ca="1" si="71"/>
        <v>572111.95458097977</v>
      </c>
    </row>
    <row r="1206" spans="1:18" x14ac:dyDescent="0.25">
      <c r="A1206">
        <v>13</v>
      </c>
      <c r="B1206">
        <v>5.9</v>
      </c>
      <c r="C1206">
        <v>7</v>
      </c>
      <c r="D1206">
        <v>15.9</v>
      </c>
      <c r="E1206">
        <v>27</v>
      </c>
      <c r="F1206">
        <v>4.2149484092763631E-2</v>
      </c>
      <c r="G1206" t="str">
        <f t="shared" si="72"/>
        <v>Insert into BlueCreditTypeRainbow Values (13, 5.9, 7, 15.9, 27, 0.0421494840927636)</v>
      </c>
      <c r="N1206" s="4">
        <v>1203</v>
      </c>
      <c r="O1206" s="8">
        <f>$B$7*COUNTIF(Sheet2!$B$1:$B$132,N1206)</f>
        <v>0</v>
      </c>
      <c r="P1206" s="8">
        <f t="shared" ca="1" si="70"/>
        <v>0</v>
      </c>
      <c r="Q1206" s="8">
        <f ca="1">CEILING(R1205*(IF(N1206&lt;=IF($B$2=0,0,OFFSET(Sheet2!$B$1,Sheet1!$B$2-1,0)),$B$1/(365*100),$B$3/(365*100)))*100,1)/100</f>
        <v>233.55</v>
      </c>
      <c r="R1206" s="9">
        <f t="shared" ca="1" si="71"/>
        <v>572345.50458097982</v>
      </c>
    </row>
    <row r="1207" spans="1:18" x14ac:dyDescent="0.25">
      <c r="A1207">
        <v>13</v>
      </c>
      <c r="B1207">
        <v>5.9</v>
      </c>
      <c r="C1207">
        <v>7</v>
      </c>
      <c r="D1207">
        <v>15.9</v>
      </c>
      <c r="E1207">
        <v>28</v>
      </c>
      <c r="F1207">
        <v>4.0889605714285689E-2</v>
      </c>
      <c r="G1207" t="str">
        <f t="shared" si="72"/>
        <v>Insert into BlueCreditTypeRainbow Values (13, 5.9, 7, 15.9, 28, 0.0408896057142857)</v>
      </c>
      <c r="N1207" s="4">
        <v>1204</v>
      </c>
      <c r="O1207" s="8">
        <f>$B$7*COUNTIF(Sheet2!$B$1:$B$132,N1207)</f>
        <v>0</v>
      </c>
      <c r="P1207" s="8">
        <f t="shared" ca="1" si="70"/>
        <v>0</v>
      </c>
      <c r="Q1207" s="8">
        <f ca="1">CEILING(R1206*(IF(N1207&lt;=IF($B$2=0,0,OFFSET(Sheet2!$B$1,Sheet1!$B$2-1,0)),$B$1/(365*100),$B$3/(365*100)))*100,1)/100</f>
        <v>233.65</v>
      </c>
      <c r="R1207" s="9">
        <f t="shared" ca="1" si="71"/>
        <v>572579.15458097984</v>
      </c>
    </row>
    <row r="1208" spans="1:18" x14ac:dyDescent="0.25">
      <c r="A1208">
        <v>13</v>
      </c>
      <c r="B1208">
        <v>5.9</v>
      </c>
      <c r="C1208">
        <v>7</v>
      </c>
      <c r="D1208">
        <v>15.9</v>
      </c>
      <c r="E1208">
        <v>29</v>
      </c>
      <c r="F1208">
        <v>3.9717823793103499E-2</v>
      </c>
      <c r="G1208" t="str">
        <f t="shared" si="72"/>
        <v>Insert into BlueCreditTypeRainbow Values (13, 5.9, 7, 15.9, 29, 0.0397178237931035)</v>
      </c>
      <c r="N1208" s="4">
        <v>1205</v>
      </c>
      <c r="O1208" s="8">
        <f>$B$7*COUNTIF(Sheet2!$B$1:$B$132,N1208)</f>
        <v>0</v>
      </c>
      <c r="P1208" s="8">
        <f t="shared" ca="1" si="70"/>
        <v>0</v>
      </c>
      <c r="Q1208" s="8">
        <f ca="1">CEILING(R1207*(IF(N1208&lt;=IF($B$2=0,0,OFFSET(Sheet2!$B$1,Sheet1!$B$2-1,0)),$B$1/(365*100),$B$3/(365*100)))*100,1)/100</f>
        <v>233.74</v>
      </c>
      <c r="R1208" s="9">
        <f t="shared" ca="1" si="71"/>
        <v>572812.89458097983</v>
      </c>
    </row>
    <row r="1209" spans="1:18" x14ac:dyDescent="0.25">
      <c r="A1209">
        <v>13</v>
      </c>
      <c r="B1209">
        <v>5.9</v>
      </c>
      <c r="C1209">
        <v>7</v>
      </c>
      <c r="D1209">
        <v>15.9</v>
      </c>
      <c r="E1209">
        <v>30</v>
      </c>
      <c r="F1209">
        <v>3.862576700124213E-2</v>
      </c>
      <c r="G1209" t="str">
        <f t="shared" si="72"/>
        <v>Insert into BlueCreditTypeRainbow Values (13, 5.9, 7, 15.9, 30, 0.0386257670012421)</v>
      </c>
      <c r="N1209" s="4">
        <v>1206</v>
      </c>
      <c r="O1209" s="8">
        <f>$B$7*COUNTIF(Sheet2!$B$1:$B$132,N1209)</f>
        <v>0</v>
      </c>
      <c r="P1209" s="8">
        <f t="shared" ca="1" si="70"/>
        <v>0</v>
      </c>
      <c r="Q1209" s="8">
        <f ca="1">CEILING(R1208*(IF(N1209&lt;=IF($B$2=0,0,OFFSET(Sheet2!$B$1,Sheet1!$B$2-1,0)),$B$1/(365*100),$B$3/(365*100)))*100,1)/100</f>
        <v>233.84</v>
      </c>
      <c r="R1209" s="9">
        <f t="shared" ca="1" si="71"/>
        <v>573046.7345809798</v>
      </c>
    </row>
    <row r="1210" spans="1:18" x14ac:dyDescent="0.25">
      <c r="A1210">
        <v>13</v>
      </c>
      <c r="B1210">
        <v>5.9</v>
      </c>
      <c r="C1210">
        <v>6</v>
      </c>
      <c r="D1210">
        <v>15.9</v>
      </c>
      <c r="E1210">
        <v>18</v>
      </c>
      <c r="F1210">
        <v>6.0252049472498855E-2</v>
      </c>
      <c r="G1210" t="str">
        <f t="shared" si="72"/>
        <v>Insert into BlueCreditTypeRainbow Values (13, 5.9, 6, 15.9, 18, 0.0602520494724989)</v>
      </c>
      <c r="N1210" s="4">
        <v>1207</v>
      </c>
      <c r="O1210" s="8">
        <f>$B$7*COUNTIF(Sheet2!$B$1:$B$132,N1210)</f>
        <v>0</v>
      </c>
      <c r="P1210" s="8">
        <f t="shared" ca="1" si="70"/>
        <v>0</v>
      </c>
      <c r="Q1210" s="8">
        <f ca="1">CEILING(R1209*(IF(N1210&lt;=IF($B$2=0,0,OFFSET(Sheet2!$B$1,Sheet1!$B$2-1,0)),$B$1/(365*100),$B$3/(365*100)))*100,1)/100</f>
        <v>233.93</v>
      </c>
      <c r="R1210" s="9">
        <f t="shared" ca="1" si="71"/>
        <v>573280.66458097985</v>
      </c>
    </row>
    <row r="1211" spans="1:18" x14ac:dyDescent="0.25">
      <c r="A1211">
        <v>13</v>
      </c>
      <c r="B1211">
        <v>5.9</v>
      </c>
      <c r="C1211">
        <v>6</v>
      </c>
      <c r="D1211">
        <v>15.9</v>
      </c>
      <c r="E1211">
        <v>19</v>
      </c>
      <c r="F1211">
        <v>5.7425062375960838E-2</v>
      </c>
      <c r="G1211" t="str">
        <f t="shared" si="72"/>
        <v>Insert into BlueCreditTypeRainbow Values (13, 5.9, 6, 15.9, 19, 0.0574250623759608)</v>
      </c>
      <c r="N1211" s="4">
        <v>1208</v>
      </c>
      <c r="O1211" s="8">
        <f>$B$7*COUNTIF(Sheet2!$B$1:$B$132,N1211)</f>
        <v>0</v>
      </c>
      <c r="P1211" s="8">
        <f t="shared" ca="1" si="70"/>
        <v>0</v>
      </c>
      <c r="Q1211" s="8">
        <f ca="1">CEILING(R1210*(IF(N1211&lt;=IF($B$2=0,0,OFFSET(Sheet2!$B$1,Sheet1!$B$2-1,0)),$B$1/(365*100),$B$3/(365*100)))*100,1)/100</f>
        <v>234.03</v>
      </c>
      <c r="R1211" s="9">
        <f t="shared" ca="1" si="71"/>
        <v>573514.69458097988</v>
      </c>
    </row>
    <row r="1212" spans="1:18" x14ac:dyDescent="0.25">
      <c r="A1212">
        <v>13</v>
      </c>
      <c r="B1212">
        <v>5.9</v>
      </c>
      <c r="C1212">
        <v>6</v>
      </c>
      <c r="D1212">
        <v>15.9</v>
      </c>
      <c r="E1212">
        <v>20</v>
      </c>
      <c r="F1212">
        <v>5.4883393500000072E-2</v>
      </c>
      <c r="G1212" t="str">
        <f t="shared" si="72"/>
        <v>Insert into BlueCreditTypeRainbow Values (13, 5.9, 6, 15.9, 20, 0.0548833935000001)</v>
      </c>
      <c r="N1212" s="4">
        <v>1209</v>
      </c>
      <c r="O1212" s="8">
        <f>$B$7*COUNTIF(Sheet2!$B$1:$B$132,N1212)</f>
        <v>0</v>
      </c>
      <c r="P1212" s="8">
        <f t="shared" ca="1" si="70"/>
        <v>0</v>
      </c>
      <c r="Q1212" s="8">
        <f ca="1">CEILING(R1211*(IF(N1212&lt;=IF($B$2=0,0,OFFSET(Sheet2!$B$1,Sheet1!$B$2-1,0)),$B$1/(365*100),$B$3/(365*100)))*100,1)/100</f>
        <v>234.12</v>
      </c>
      <c r="R1212" s="9">
        <f t="shared" ca="1" si="71"/>
        <v>573748.81458097987</v>
      </c>
    </row>
    <row r="1213" spans="1:18" x14ac:dyDescent="0.25">
      <c r="A1213">
        <v>13</v>
      </c>
      <c r="B1213">
        <v>5.9</v>
      </c>
      <c r="C1213">
        <v>6</v>
      </c>
      <c r="D1213">
        <v>15.9</v>
      </c>
      <c r="E1213">
        <v>21</v>
      </c>
      <c r="F1213">
        <v>5.2587070220125778E-2</v>
      </c>
      <c r="G1213" t="str">
        <f t="shared" si="72"/>
        <v>Insert into BlueCreditTypeRainbow Values (13, 5.9, 6, 15.9, 21, 0.0525870702201258)</v>
      </c>
      <c r="N1213" s="4">
        <v>1210</v>
      </c>
      <c r="O1213" s="8">
        <f>$B$7*COUNTIF(Sheet2!$B$1:$B$132,N1213)</f>
        <v>0</v>
      </c>
      <c r="P1213" s="8">
        <f t="shared" ca="1" si="70"/>
        <v>0</v>
      </c>
      <c r="Q1213" s="8">
        <f ca="1">CEILING(R1212*(IF(N1213&lt;=IF($B$2=0,0,OFFSET(Sheet2!$B$1,Sheet1!$B$2-1,0)),$B$1/(365*100),$B$3/(365*100)))*100,1)/100</f>
        <v>234.22</v>
      </c>
      <c r="R1213" s="9">
        <f t="shared" ca="1" si="71"/>
        <v>573983.03458097985</v>
      </c>
    </row>
    <row r="1214" spans="1:18" x14ac:dyDescent="0.25">
      <c r="A1214">
        <v>13</v>
      </c>
      <c r="B1214">
        <v>5.9</v>
      </c>
      <c r="C1214">
        <v>6</v>
      </c>
      <c r="D1214">
        <v>15.9</v>
      </c>
      <c r="E1214">
        <v>22</v>
      </c>
      <c r="F1214">
        <v>5.0501516837433043E-2</v>
      </c>
      <c r="G1214" t="str">
        <f t="shared" si="72"/>
        <v>Insert into BlueCreditTypeRainbow Values (13, 5.9, 6, 15.9, 22, 0.050501516837433)</v>
      </c>
      <c r="N1214" s="4">
        <v>1211</v>
      </c>
      <c r="O1214" s="8">
        <f>$B$7*COUNTIF(Sheet2!$B$1:$B$132,N1214)</f>
        <v>0</v>
      </c>
      <c r="P1214" s="8">
        <f t="shared" ca="1" si="70"/>
        <v>0</v>
      </c>
      <c r="Q1214" s="8">
        <f ca="1">CEILING(R1213*(IF(N1214&lt;=IF($B$2=0,0,OFFSET(Sheet2!$B$1,Sheet1!$B$2-1,0)),$B$1/(365*100),$B$3/(365*100)))*100,1)/100</f>
        <v>234.32</v>
      </c>
      <c r="R1214" s="9">
        <f t="shared" ca="1" si="71"/>
        <v>574217.35458097979</v>
      </c>
    </row>
    <row r="1215" spans="1:18" x14ac:dyDescent="0.25">
      <c r="A1215">
        <v>13</v>
      </c>
      <c r="B1215">
        <v>5.9</v>
      </c>
      <c r="C1215">
        <v>6</v>
      </c>
      <c r="D1215">
        <v>15.9</v>
      </c>
      <c r="E1215">
        <v>23</v>
      </c>
      <c r="F1215">
        <v>4.8599937826086945E-2</v>
      </c>
      <c r="G1215" t="str">
        <f t="shared" si="72"/>
        <v>Insert into BlueCreditTypeRainbow Values (13, 5.9, 6, 15.9, 23, 0.0485999378260869)</v>
      </c>
      <c r="N1215" s="4">
        <v>1212</v>
      </c>
      <c r="O1215" s="8">
        <f>$B$7*COUNTIF(Sheet2!$B$1:$B$132,N1215)</f>
        <v>0</v>
      </c>
      <c r="P1215" s="8">
        <f t="shared" ca="1" si="70"/>
        <v>0</v>
      </c>
      <c r="Q1215" s="8">
        <f ca="1">CEILING(R1214*(IF(N1215&lt;=IF($B$2=0,0,OFFSET(Sheet2!$B$1,Sheet1!$B$2-1,0)),$B$1/(365*100),$B$3/(365*100)))*100,1)/100</f>
        <v>234.41</v>
      </c>
      <c r="R1215" s="9">
        <f t="shared" ca="1" si="71"/>
        <v>574451.76458097983</v>
      </c>
    </row>
    <row r="1216" spans="1:18" x14ac:dyDescent="0.25">
      <c r="A1216">
        <v>13</v>
      </c>
      <c r="B1216">
        <v>5.9</v>
      </c>
      <c r="C1216">
        <v>6</v>
      </c>
      <c r="D1216">
        <v>15.9</v>
      </c>
      <c r="E1216">
        <v>24</v>
      </c>
      <c r="F1216">
        <v>4.6858437955302291E-2</v>
      </c>
      <c r="G1216" t="str">
        <f t="shared" si="72"/>
        <v>Insert into BlueCreditTypeRainbow Values (13, 5.9, 6, 15.9, 24, 0.0468584379553023)</v>
      </c>
      <c r="N1216" s="4">
        <v>1213</v>
      </c>
      <c r="O1216" s="8">
        <f>$B$7*COUNTIF(Sheet2!$B$1:$B$132,N1216)</f>
        <v>0</v>
      </c>
      <c r="P1216" s="8">
        <f t="shared" ca="1" si="70"/>
        <v>0</v>
      </c>
      <c r="Q1216" s="8">
        <f ca="1">CEILING(R1215*(IF(N1216&lt;=IF($B$2=0,0,OFFSET(Sheet2!$B$1,Sheet1!$B$2-1,0)),$B$1/(365*100),$B$3/(365*100)))*100,1)/100</f>
        <v>234.51</v>
      </c>
      <c r="R1216" s="9">
        <f t="shared" ca="1" si="71"/>
        <v>574686.27458097984</v>
      </c>
    </row>
    <row r="1217" spans="1:18" x14ac:dyDescent="0.25">
      <c r="A1217">
        <v>13</v>
      </c>
      <c r="B1217">
        <v>5.9</v>
      </c>
      <c r="C1217">
        <v>6</v>
      </c>
      <c r="D1217">
        <v>15.9</v>
      </c>
      <c r="E1217">
        <v>25</v>
      </c>
      <c r="F1217">
        <v>4.5258423200000078E-2</v>
      </c>
      <c r="G1217" t="str">
        <f t="shared" si="72"/>
        <v>Insert into BlueCreditTypeRainbow Values (13, 5.9, 6, 15.9, 25, 0.0452584232000001)</v>
      </c>
      <c r="N1217" s="4">
        <v>1214</v>
      </c>
      <c r="O1217" s="8">
        <f>$B$7*COUNTIF(Sheet2!$B$1:$B$132,N1217)</f>
        <v>0</v>
      </c>
      <c r="P1217" s="8">
        <f t="shared" ca="1" si="70"/>
        <v>0</v>
      </c>
      <c r="Q1217" s="8">
        <f ca="1">CEILING(R1216*(IF(N1217&lt;=IF($B$2=0,0,OFFSET(Sheet2!$B$1,Sheet1!$B$2-1,0)),$B$1/(365*100),$B$3/(365*100)))*100,1)/100</f>
        <v>234.6</v>
      </c>
      <c r="R1217" s="9">
        <f t="shared" ca="1" si="71"/>
        <v>574920.87458097981</v>
      </c>
    </row>
    <row r="1218" spans="1:18" x14ac:dyDescent="0.25">
      <c r="A1218">
        <v>13</v>
      </c>
      <c r="B1218">
        <v>5.9</v>
      </c>
      <c r="C1218">
        <v>6</v>
      </c>
      <c r="D1218">
        <v>15.9</v>
      </c>
      <c r="E1218">
        <v>26</v>
      </c>
      <c r="F1218">
        <v>4.3783454615384541E-2</v>
      </c>
      <c r="G1218" t="str">
        <f t="shared" si="72"/>
        <v>Insert into BlueCreditTypeRainbow Values (13, 5.9, 6, 15.9, 26, 0.0437834546153845)</v>
      </c>
      <c r="N1218" s="4">
        <v>1215</v>
      </c>
      <c r="O1218" s="8">
        <f>$B$7*COUNTIF(Sheet2!$B$1:$B$132,N1218)</f>
        <v>0</v>
      </c>
      <c r="P1218" s="8">
        <f t="shared" ca="1" si="70"/>
        <v>0</v>
      </c>
      <c r="Q1218" s="8">
        <f ca="1">CEILING(R1217*(IF(N1218&lt;=IF($B$2=0,0,OFFSET(Sheet2!$B$1,Sheet1!$B$2-1,0)),$B$1/(365*100),$B$3/(365*100)))*100,1)/100</f>
        <v>234.7</v>
      </c>
      <c r="R1218" s="9">
        <f t="shared" ca="1" si="71"/>
        <v>575155.57458097977</v>
      </c>
    </row>
    <row r="1219" spans="1:18" x14ac:dyDescent="0.25">
      <c r="A1219">
        <v>13</v>
      </c>
      <c r="B1219">
        <v>5.9</v>
      </c>
      <c r="C1219">
        <v>6</v>
      </c>
      <c r="D1219">
        <v>15.9</v>
      </c>
      <c r="E1219">
        <v>27</v>
      </c>
      <c r="F1219">
        <v>4.2418968518518486E-2</v>
      </c>
      <c r="G1219" t="str">
        <f t="shared" si="72"/>
        <v>Insert into BlueCreditTypeRainbow Values (13, 5.9, 6, 15.9, 27, 0.0424189685185185)</v>
      </c>
      <c r="N1219" s="4">
        <v>1216</v>
      </c>
      <c r="O1219" s="8">
        <f>$B$7*COUNTIF(Sheet2!$B$1:$B$132,N1219)</f>
        <v>0</v>
      </c>
      <c r="P1219" s="8">
        <f t="shared" ca="1" si="70"/>
        <v>0</v>
      </c>
      <c r="Q1219" s="8">
        <f ca="1">CEILING(R1218*(IF(N1219&lt;=IF($B$2=0,0,OFFSET(Sheet2!$B$1,Sheet1!$B$2-1,0)),$B$1/(365*100),$B$3/(365*100)))*100,1)/100</f>
        <v>234.79</v>
      </c>
      <c r="R1219" s="9">
        <f t="shared" ca="1" si="71"/>
        <v>575390.3645809798</v>
      </c>
    </row>
    <row r="1220" spans="1:18" x14ac:dyDescent="0.25">
      <c r="A1220">
        <v>13</v>
      </c>
      <c r="B1220">
        <v>5.9</v>
      </c>
      <c r="C1220">
        <v>6</v>
      </c>
      <c r="D1220">
        <v>15.9</v>
      </c>
      <c r="E1220">
        <v>28</v>
      </c>
      <c r="F1220">
        <v>4.1153641071428604E-2</v>
      </c>
      <c r="G1220" t="str">
        <f t="shared" si="72"/>
        <v>Insert into BlueCreditTypeRainbow Values (13, 5.9, 6, 15.9, 28, 0.0411536410714286)</v>
      </c>
      <c r="N1220" s="4">
        <v>1217</v>
      </c>
      <c r="O1220" s="8">
        <f>$B$7*COUNTIF(Sheet2!$B$1:$B$132,N1220)</f>
        <v>0</v>
      </c>
      <c r="P1220" s="8">
        <f t="shared" ca="1" si="70"/>
        <v>0</v>
      </c>
      <c r="Q1220" s="8">
        <f ca="1">CEILING(R1219*(IF(N1220&lt;=IF($B$2=0,0,OFFSET(Sheet2!$B$1,Sheet1!$B$2-1,0)),$B$1/(365*100),$B$3/(365*100)))*100,1)/100</f>
        <v>234.89</v>
      </c>
      <c r="R1220" s="9">
        <f t="shared" ca="1" si="71"/>
        <v>575625.25458097982</v>
      </c>
    </row>
    <row r="1221" spans="1:18" x14ac:dyDescent="0.25">
      <c r="A1221">
        <v>13</v>
      </c>
      <c r="B1221">
        <v>5.9</v>
      </c>
      <c r="C1221">
        <v>6</v>
      </c>
      <c r="D1221">
        <v>15.9</v>
      </c>
      <c r="E1221">
        <v>29</v>
      </c>
      <c r="F1221">
        <v>3.9976645172413838E-2</v>
      </c>
      <c r="G1221" t="str">
        <f t="shared" si="72"/>
        <v>Insert into BlueCreditTypeRainbow Values (13, 5.9, 6, 15.9, 29, 0.0399766451724138)</v>
      </c>
      <c r="N1221" s="4">
        <v>1218</v>
      </c>
      <c r="O1221" s="8">
        <f>$B$7*COUNTIF(Sheet2!$B$1:$B$132,N1221)</f>
        <v>0</v>
      </c>
      <c r="P1221" s="8">
        <f t="shared" ref="P1221:P1284" ca="1" si="73">IF(O1221-Q1221&gt; 0, O1221-Q1221, 0)</f>
        <v>0</v>
      </c>
      <c r="Q1221" s="8">
        <f ca="1">CEILING(R1220*(IF(N1221&lt;=IF($B$2=0,0,OFFSET(Sheet2!$B$1,Sheet1!$B$2-1,0)),$B$1/(365*100),$B$3/(365*100)))*100,1)/100</f>
        <v>234.99</v>
      </c>
      <c r="R1221" s="9">
        <f t="shared" ref="R1221:R1284" ca="1" si="74">R1220+Q1221-O1221</f>
        <v>575860.24458097981</v>
      </c>
    </row>
    <row r="1222" spans="1:18" x14ac:dyDescent="0.25">
      <c r="A1222">
        <v>13</v>
      </c>
      <c r="B1222">
        <v>5.9</v>
      </c>
      <c r="C1222">
        <v>6</v>
      </c>
      <c r="D1222">
        <v>15.9</v>
      </c>
      <c r="E1222">
        <v>30</v>
      </c>
      <c r="F1222">
        <v>3.8879600000000021E-2</v>
      </c>
      <c r="G1222" t="str">
        <f t="shared" si="72"/>
        <v>Insert into BlueCreditTypeRainbow Values (13, 5.9, 6, 15.9, 30, 0.0388796)</v>
      </c>
      <c r="N1222" s="4">
        <v>1219</v>
      </c>
      <c r="O1222" s="8">
        <f>$B$7*COUNTIF(Sheet2!$B$1:$B$132,N1222)</f>
        <v>0</v>
      </c>
      <c r="P1222" s="8">
        <f t="shared" ca="1" si="73"/>
        <v>0</v>
      </c>
      <c r="Q1222" s="8">
        <f ca="1">CEILING(R1221*(IF(N1222&lt;=IF($B$2=0,0,OFFSET(Sheet2!$B$1,Sheet1!$B$2-1,0)),$B$1/(365*100),$B$3/(365*100)))*100,1)/100</f>
        <v>235.08</v>
      </c>
      <c r="R1222" s="9">
        <f t="shared" ca="1" si="74"/>
        <v>576095.32458097977</v>
      </c>
    </row>
    <row r="1223" spans="1:18" x14ac:dyDescent="0.25">
      <c r="A1223">
        <v>13</v>
      </c>
      <c r="B1223">
        <v>5.9</v>
      </c>
      <c r="C1223">
        <v>5</v>
      </c>
      <c r="D1223">
        <v>15.9</v>
      </c>
      <c r="E1223">
        <v>18</v>
      </c>
      <c r="F1223">
        <v>6.061238777777786E-2</v>
      </c>
      <c r="G1223" t="str">
        <f t="shared" si="72"/>
        <v>Insert into BlueCreditTypeRainbow Values (13, 5.9, 5, 15.9, 18, 0.0606123877777779)</v>
      </c>
      <c r="N1223" s="4">
        <v>1220</v>
      </c>
      <c r="O1223" s="8">
        <f>$B$7*COUNTIF(Sheet2!$B$1:$B$132,N1223)</f>
        <v>21157.10552356458</v>
      </c>
      <c r="P1223" s="8">
        <f t="shared" ca="1" si="73"/>
        <v>20921.92552356458</v>
      </c>
      <c r="Q1223" s="8">
        <f ca="1">CEILING(R1222*(IF(N1223&lt;=IF($B$2=0,0,OFFSET(Sheet2!$B$1,Sheet1!$B$2-1,0)),$B$1/(365*100),$B$3/(365*100)))*100,1)/100</f>
        <v>235.18</v>
      </c>
      <c r="R1223" s="9">
        <f t="shared" ca="1" si="74"/>
        <v>555173.3990574152</v>
      </c>
    </row>
    <row r="1224" spans="1:18" x14ac:dyDescent="0.25">
      <c r="A1224">
        <v>13</v>
      </c>
      <c r="B1224">
        <v>5.9</v>
      </c>
      <c r="C1224">
        <v>5</v>
      </c>
      <c r="D1224">
        <v>15.9</v>
      </c>
      <c r="E1224">
        <v>19</v>
      </c>
      <c r="F1224">
        <v>5.7775332631578975E-2</v>
      </c>
      <c r="G1224" t="str">
        <f t="shared" si="72"/>
        <v>Insert into BlueCreditTypeRainbow Values (13, 5.9, 5, 15.9, 19, 0.057775332631579)</v>
      </c>
      <c r="N1224" s="4">
        <v>1221</v>
      </c>
      <c r="O1224" s="8">
        <f>$B$7*COUNTIF(Sheet2!$B$1:$B$132,N1224)</f>
        <v>0</v>
      </c>
      <c r="P1224" s="8">
        <f t="shared" ca="1" si="73"/>
        <v>0</v>
      </c>
      <c r="Q1224" s="8">
        <f ca="1">CEILING(R1223*(IF(N1224&lt;=IF($B$2=0,0,OFFSET(Sheet2!$B$1,Sheet1!$B$2-1,0)),$B$1/(365*100),$B$3/(365*100)))*100,1)/100</f>
        <v>226.64</v>
      </c>
      <c r="R1224" s="9">
        <f t="shared" ca="1" si="74"/>
        <v>555400.03905741521</v>
      </c>
    </row>
    <row r="1225" spans="1:18" x14ac:dyDescent="0.25">
      <c r="A1225">
        <v>13</v>
      </c>
      <c r="B1225">
        <v>5.9</v>
      </c>
      <c r="C1225">
        <v>5</v>
      </c>
      <c r="D1225">
        <v>15.9</v>
      </c>
      <c r="E1225">
        <v>20</v>
      </c>
      <c r="F1225">
        <v>5.5224045525193395E-2</v>
      </c>
      <c r="G1225" t="str">
        <f t="shared" si="72"/>
        <v>Insert into BlueCreditTypeRainbow Values (13, 5.9, 5, 15.9, 20, 0.0552240455251934)</v>
      </c>
      <c r="N1225" s="4">
        <v>1222</v>
      </c>
      <c r="O1225" s="8">
        <f>$B$7*COUNTIF(Sheet2!$B$1:$B$132,N1225)</f>
        <v>0</v>
      </c>
      <c r="P1225" s="8">
        <f t="shared" ca="1" si="73"/>
        <v>0</v>
      </c>
      <c r="Q1225" s="8">
        <f ca="1">CEILING(R1224*(IF(N1225&lt;=IF($B$2=0,0,OFFSET(Sheet2!$B$1,Sheet1!$B$2-1,0)),$B$1/(365*100),$B$3/(365*100)))*100,1)/100</f>
        <v>226.73</v>
      </c>
      <c r="R1225" s="9">
        <f t="shared" ca="1" si="74"/>
        <v>555626.76905741519</v>
      </c>
    </row>
    <row r="1226" spans="1:18" x14ac:dyDescent="0.25">
      <c r="A1226">
        <v>13</v>
      </c>
      <c r="B1226">
        <v>5.9</v>
      </c>
      <c r="C1226">
        <v>5</v>
      </c>
      <c r="D1226">
        <v>15.9</v>
      </c>
      <c r="E1226">
        <v>21</v>
      </c>
      <c r="F1226">
        <v>5.2918568601245553E-2</v>
      </c>
      <c r="G1226" t="str">
        <f t="shared" si="72"/>
        <v>Insert into BlueCreditTypeRainbow Values (13, 5.9, 5, 15.9, 21, 0.0529185686012456)</v>
      </c>
      <c r="N1226" s="4">
        <v>1223</v>
      </c>
      <c r="O1226" s="8">
        <f>$B$7*COUNTIF(Sheet2!$B$1:$B$132,N1226)</f>
        <v>0</v>
      </c>
      <c r="P1226" s="8">
        <f t="shared" ca="1" si="73"/>
        <v>0</v>
      </c>
      <c r="Q1226" s="8">
        <f ca="1">CEILING(R1225*(IF(N1226&lt;=IF($B$2=0,0,OFFSET(Sheet2!$B$1,Sheet1!$B$2-1,0)),$B$1/(365*100),$B$3/(365*100)))*100,1)/100</f>
        <v>226.82</v>
      </c>
      <c r="R1226" s="9">
        <f t="shared" ca="1" si="74"/>
        <v>555853.58905741514</v>
      </c>
    </row>
    <row r="1227" spans="1:18" x14ac:dyDescent="0.25">
      <c r="A1227">
        <v>13</v>
      </c>
      <c r="B1227">
        <v>5.9</v>
      </c>
      <c r="C1227">
        <v>5</v>
      </c>
      <c r="D1227">
        <v>15.9</v>
      </c>
      <c r="E1227">
        <v>22</v>
      </c>
      <c r="F1227">
        <v>5.0824302727272765E-2</v>
      </c>
      <c r="G1227" t="str">
        <f t="shared" si="72"/>
        <v>Insert into BlueCreditTypeRainbow Values (13, 5.9, 5, 15.9, 22, 0.0508243027272728)</v>
      </c>
      <c r="N1227" s="4">
        <v>1224</v>
      </c>
      <c r="O1227" s="8">
        <f>$B$7*COUNTIF(Sheet2!$B$1:$B$132,N1227)</f>
        <v>0</v>
      </c>
      <c r="P1227" s="8">
        <f t="shared" ca="1" si="73"/>
        <v>0</v>
      </c>
      <c r="Q1227" s="8">
        <f ca="1">CEILING(R1226*(IF(N1227&lt;=IF($B$2=0,0,OFFSET(Sheet2!$B$1,Sheet1!$B$2-1,0)),$B$1/(365*100),$B$3/(365*100)))*100,1)/100</f>
        <v>226.92</v>
      </c>
      <c r="R1227" s="9">
        <f t="shared" ca="1" si="74"/>
        <v>556080.50905741518</v>
      </c>
    </row>
    <row r="1228" spans="1:18" x14ac:dyDescent="0.25">
      <c r="A1228">
        <v>13</v>
      </c>
      <c r="B1228">
        <v>5.9</v>
      </c>
      <c r="C1228">
        <v>5</v>
      </c>
      <c r="D1228">
        <v>15.9</v>
      </c>
      <c r="E1228">
        <v>23</v>
      </c>
      <c r="F1228">
        <v>4.89144665217391E-2</v>
      </c>
      <c r="G1228" t="str">
        <f t="shared" si="72"/>
        <v>Insert into BlueCreditTypeRainbow Values (13, 5.9, 5, 15.9, 23, 0.0489144665217391)</v>
      </c>
      <c r="N1228" s="4">
        <v>1225</v>
      </c>
      <c r="O1228" s="8">
        <f>$B$7*COUNTIF(Sheet2!$B$1:$B$132,N1228)</f>
        <v>0</v>
      </c>
      <c r="P1228" s="8">
        <f t="shared" ca="1" si="73"/>
        <v>0</v>
      </c>
      <c r="Q1228" s="8">
        <f ca="1">CEILING(R1227*(IF(N1228&lt;=IF($B$2=0,0,OFFSET(Sheet2!$B$1,Sheet1!$B$2-1,0)),$B$1/(365*100),$B$3/(365*100)))*100,1)/100</f>
        <v>227.01</v>
      </c>
      <c r="R1228" s="9">
        <f t="shared" ca="1" si="74"/>
        <v>556307.51905741519</v>
      </c>
    </row>
    <row r="1229" spans="1:18" x14ac:dyDescent="0.25">
      <c r="A1229">
        <v>13</v>
      </c>
      <c r="B1229">
        <v>5.9</v>
      </c>
      <c r="C1229">
        <v>5</v>
      </c>
      <c r="D1229">
        <v>15.9</v>
      </c>
      <c r="E1229">
        <v>24</v>
      </c>
      <c r="F1229">
        <v>4.7165141857767982E-2</v>
      </c>
      <c r="G1229" t="str">
        <f t="shared" si="72"/>
        <v>Insert into BlueCreditTypeRainbow Values (13, 5.9, 5, 15.9, 24, 0.047165141857768)</v>
      </c>
      <c r="N1229" s="4">
        <v>1226</v>
      </c>
      <c r="O1229" s="8">
        <f>$B$7*COUNTIF(Sheet2!$B$1:$B$132,N1229)</f>
        <v>0</v>
      </c>
      <c r="P1229" s="8">
        <f t="shared" ca="1" si="73"/>
        <v>0</v>
      </c>
      <c r="Q1229" s="8">
        <f ca="1">CEILING(R1228*(IF(N1229&lt;=IF($B$2=0,0,OFFSET(Sheet2!$B$1,Sheet1!$B$2-1,0)),$B$1/(365*100),$B$3/(365*100)))*100,1)/100</f>
        <v>227.1</v>
      </c>
      <c r="R1229" s="9">
        <f t="shared" ca="1" si="74"/>
        <v>556534.61905741517</v>
      </c>
    </row>
    <row r="1230" spans="1:18" x14ac:dyDescent="0.25">
      <c r="A1230">
        <v>13</v>
      </c>
      <c r="B1230">
        <v>5.9</v>
      </c>
      <c r="C1230">
        <v>5</v>
      </c>
      <c r="D1230">
        <v>15.9</v>
      </c>
      <c r="E1230">
        <v>25</v>
      </c>
      <c r="F1230">
        <v>4.5557707554905062E-2</v>
      </c>
      <c r="G1230" t="str">
        <f t="shared" si="72"/>
        <v>Insert into BlueCreditTypeRainbow Values (13, 5.9, 5, 15.9, 25, 0.0455577075549051)</v>
      </c>
      <c r="N1230" s="4">
        <v>1227</v>
      </c>
      <c r="O1230" s="8">
        <f>$B$7*COUNTIF(Sheet2!$B$1:$B$132,N1230)</f>
        <v>0</v>
      </c>
      <c r="P1230" s="8">
        <f t="shared" ca="1" si="73"/>
        <v>0</v>
      </c>
      <c r="Q1230" s="8">
        <f ca="1">CEILING(R1229*(IF(N1230&lt;=IF($B$2=0,0,OFFSET(Sheet2!$B$1,Sheet1!$B$2-1,0)),$B$1/(365*100),$B$3/(365*100)))*100,1)/100</f>
        <v>227.19</v>
      </c>
      <c r="R1230" s="9">
        <f t="shared" ca="1" si="74"/>
        <v>556761.80905741511</v>
      </c>
    </row>
    <row r="1231" spans="1:18" x14ac:dyDescent="0.25">
      <c r="A1231">
        <v>13</v>
      </c>
      <c r="B1231">
        <v>5.9</v>
      </c>
      <c r="C1231">
        <v>5</v>
      </c>
      <c r="D1231">
        <v>15.9</v>
      </c>
      <c r="E1231">
        <v>26</v>
      </c>
      <c r="F1231">
        <v>4.4075713922442403E-2</v>
      </c>
      <c r="G1231" t="str">
        <f t="shared" ref="G1231:G1294" si="75">CONCATENATE("Insert into BlueCreditTypeRainbow Values (",A1231,", ",B1231,", ",C1231,", ",D1231,", ",E1231,", ",F1231,")")</f>
        <v>Insert into BlueCreditTypeRainbow Values (13, 5.9, 5, 15.9, 26, 0.0440757139224424)</v>
      </c>
      <c r="N1231" s="4">
        <v>1228</v>
      </c>
      <c r="O1231" s="8">
        <f>$B$7*COUNTIF(Sheet2!$B$1:$B$132,N1231)</f>
        <v>0</v>
      </c>
      <c r="P1231" s="8">
        <f t="shared" ca="1" si="73"/>
        <v>0</v>
      </c>
      <c r="Q1231" s="8">
        <f ca="1">CEILING(R1230*(IF(N1231&lt;=IF($B$2=0,0,OFFSET(Sheet2!$B$1,Sheet1!$B$2-1,0)),$B$1/(365*100),$B$3/(365*100)))*100,1)/100</f>
        <v>227.29</v>
      </c>
      <c r="R1231" s="9">
        <f t="shared" ca="1" si="74"/>
        <v>556989.09905741515</v>
      </c>
    </row>
    <row r="1232" spans="1:18" x14ac:dyDescent="0.25">
      <c r="A1232">
        <v>13</v>
      </c>
      <c r="B1232">
        <v>5.9</v>
      </c>
      <c r="C1232">
        <v>5</v>
      </c>
      <c r="D1232">
        <v>15.9</v>
      </c>
      <c r="E1232">
        <v>27</v>
      </c>
      <c r="F1232">
        <v>4.2704565185185207E-2</v>
      </c>
      <c r="G1232" t="str">
        <f t="shared" si="75"/>
        <v>Insert into BlueCreditTypeRainbow Values (13, 5.9, 5, 15.9, 27, 0.0427045651851852)</v>
      </c>
      <c r="N1232" s="4">
        <v>1229</v>
      </c>
      <c r="O1232" s="8">
        <f>$B$7*COUNTIF(Sheet2!$B$1:$B$132,N1232)</f>
        <v>0</v>
      </c>
      <c r="P1232" s="8">
        <f t="shared" ca="1" si="73"/>
        <v>0</v>
      </c>
      <c r="Q1232" s="8">
        <f ca="1">CEILING(R1231*(IF(N1232&lt;=IF($B$2=0,0,OFFSET(Sheet2!$B$1,Sheet1!$B$2-1,0)),$B$1/(365*100),$B$3/(365*100)))*100,1)/100</f>
        <v>227.38</v>
      </c>
      <c r="R1232" s="9">
        <f t="shared" ca="1" si="74"/>
        <v>557216.47905741516</v>
      </c>
    </row>
    <row r="1233" spans="1:18" x14ac:dyDescent="0.25">
      <c r="A1233">
        <v>13</v>
      </c>
      <c r="B1233">
        <v>5.9</v>
      </c>
      <c r="C1233">
        <v>5</v>
      </c>
      <c r="D1233">
        <v>15.9</v>
      </c>
      <c r="E1233">
        <v>28</v>
      </c>
      <c r="F1233">
        <v>4.1432913571428545E-2</v>
      </c>
      <c r="G1233" t="str">
        <f t="shared" si="75"/>
        <v>Insert into BlueCreditTypeRainbow Values (13, 5.9, 5, 15.9, 28, 0.0414329135714285)</v>
      </c>
      <c r="N1233" s="4">
        <v>1230</v>
      </c>
      <c r="O1233" s="8">
        <f>$B$7*COUNTIF(Sheet2!$B$1:$B$132,N1233)</f>
        <v>0</v>
      </c>
      <c r="P1233" s="8">
        <f t="shared" ca="1" si="73"/>
        <v>0</v>
      </c>
      <c r="Q1233" s="8">
        <f ca="1">CEILING(R1232*(IF(N1233&lt;=IF($B$2=0,0,OFFSET(Sheet2!$B$1,Sheet1!$B$2-1,0)),$B$1/(365*100),$B$3/(365*100)))*100,1)/100</f>
        <v>227.47</v>
      </c>
      <c r="R1233" s="9">
        <f t="shared" ca="1" si="74"/>
        <v>557443.94905741513</v>
      </c>
    </row>
    <row r="1234" spans="1:18" x14ac:dyDescent="0.25">
      <c r="A1234">
        <v>13</v>
      </c>
      <c r="B1234">
        <v>5.9</v>
      </c>
      <c r="C1234">
        <v>5</v>
      </c>
      <c r="D1234">
        <v>15.9</v>
      </c>
      <c r="E1234">
        <v>29</v>
      </c>
      <c r="F1234">
        <v>4.0249924482758673E-2</v>
      </c>
      <c r="G1234" t="str">
        <f t="shared" si="75"/>
        <v>Insert into BlueCreditTypeRainbow Values (13, 5.9, 5, 15.9, 29, 0.0402499244827587)</v>
      </c>
      <c r="N1234" s="4">
        <v>1231</v>
      </c>
      <c r="O1234" s="8">
        <f>$B$7*COUNTIF(Sheet2!$B$1:$B$132,N1234)</f>
        <v>0</v>
      </c>
      <c r="P1234" s="8">
        <f t="shared" ca="1" si="73"/>
        <v>0</v>
      </c>
      <c r="Q1234" s="8">
        <f ca="1">CEILING(R1233*(IF(N1234&lt;=IF($B$2=0,0,OFFSET(Sheet2!$B$1,Sheet1!$B$2-1,0)),$B$1/(365*100),$B$3/(365*100)))*100,1)/100</f>
        <v>227.56</v>
      </c>
      <c r="R1234" s="9">
        <f t="shared" ca="1" si="74"/>
        <v>557671.50905741518</v>
      </c>
    </row>
    <row r="1235" spans="1:18" x14ac:dyDescent="0.25">
      <c r="A1235">
        <v>13</v>
      </c>
      <c r="B1235">
        <v>5.9</v>
      </c>
      <c r="C1235">
        <v>5</v>
      </c>
      <c r="D1235">
        <v>15.9</v>
      </c>
      <c r="E1235">
        <v>30</v>
      </c>
      <c r="F1235">
        <v>3.9147173697456752E-2</v>
      </c>
      <c r="G1235" t="str">
        <f t="shared" si="75"/>
        <v>Insert into BlueCreditTypeRainbow Values (13, 5.9, 5, 15.9, 30, 0.0391471736974568)</v>
      </c>
      <c r="N1235" s="4">
        <v>1232</v>
      </c>
      <c r="O1235" s="8">
        <f>$B$7*COUNTIF(Sheet2!$B$1:$B$132,N1235)</f>
        <v>0</v>
      </c>
      <c r="P1235" s="8">
        <f t="shared" ca="1" si="73"/>
        <v>0</v>
      </c>
      <c r="Q1235" s="8">
        <f ca="1">CEILING(R1234*(IF(N1235&lt;=IF($B$2=0,0,OFFSET(Sheet2!$B$1,Sheet1!$B$2-1,0)),$B$1/(365*100),$B$3/(365*100)))*100,1)/100</f>
        <v>227.66</v>
      </c>
      <c r="R1235" s="9">
        <f t="shared" ca="1" si="74"/>
        <v>557899.16905741522</v>
      </c>
    </row>
    <row r="1236" spans="1:18" x14ac:dyDescent="0.25">
      <c r="A1236">
        <v>13</v>
      </c>
      <c r="B1236">
        <v>5.9</v>
      </c>
      <c r="C1236">
        <v>4</v>
      </c>
      <c r="D1236">
        <v>15.9</v>
      </c>
      <c r="E1236">
        <v>18</v>
      </c>
      <c r="F1236">
        <v>6.0991959477765652E-2</v>
      </c>
      <c r="G1236" t="str">
        <f t="shared" si="75"/>
        <v>Insert into BlueCreditTypeRainbow Values (13, 5.9, 4, 15.9, 18, 0.0609919594777657)</v>
      </c>
      <c r="N1236" s="4">
        <v>1233</v>
      </c>
      <c r="O1236" s="8">
        <f>$B$7*COUNTIF(Sheet2!$B$1:$B$132,N1236)</f>
        <v>0</v>
      </c>
      <c r="P1236" s="8">
        <f t="shared" ca="1" si="73"/>
        <v>0</v>
      </c>
      <c r="Q1236" s="8">
        <f ca="1">CEILING(R1235*(IF(N1236&lt;=IF($B$2=0,0,OFFSET(Sheet2!$B$1,Sheet1!$B$2-1,0)),$B$1/(365*100),$B$3/(365*100)))*100,1)/100</f>
        <v>227.75</v>
      </c>
      <c r="R1236" s="9">
        <f t="shared" ca="1" si="74"/>
        <v>558126.91905741522</v>
      </c>
    </row>
    <row r="1237" spans="1:18" x14ac:dyDescent="0.25">
      <c r="A1237">
        <v>13</v>
      </c>
      <c r="B1237">
        <v>5.9</v>
      </c>
      <c r="C1237">
        <v>4</v>
      </c>
      <c r="D1237">
        <v>15.9</v>
      </c>
      <c r="E1237">
        <v>19</v>
      </c>
      <c r="F1237">
        <v>5.814252056806251E-2</v>
      </c>
      <c r="G1237" t="str">
        <f t="shared" si="75"/>
        <v>Insert into BlueCreditTypeRainbow Values (13, 5.9, 4, 15.9, 19, 0.0581425205680625)</v>
      </c>
      <c r="N1237" s="4">
        <v>1234</v>
      </c>
      <c r="O1237" s="8">
        <f>$B$7*COUNTIF(Sheet2!$B$1:$B$132,N1237)</f>
        <v>0</v>
      </c>
      <c r="P1237" s="8">
        <f t="shared" ca="1" si="73"/>
        <v>0</v>
      </c>
      <c r="Q1237" s="8">
        <f ca="1">CEILING(R1236*(IF(N1237&lt;=IF($B$2=0,0,OFFSET(Sheet2!$B$1,Sheet1!$B$2-1,0)),$B$1/(365*100),$B$3/(365*100)))*100,1)/100</f>
        <v>227.84</v>
      </c>
      <c r="R1237" s="9">
        <f t="shared" ca="1" si="74"/>
        <v>558354.75905741518</v>
      </c>
    </row>
    <row r="1238" spans="1:18" x14ac:dyDescent="0.25">
      <c r="A1238">
        <v>13</v>
      </c>
      <c r="B1238">
        <v>5.9</v>
      </c>
      <c r="C1238">
        <v>4</v>
      </c>
      <c r="D1238">
        <v>15.9</v>
      </c>
      <c r="E1238">
        <v>20</v>
      </c>
      <c r="F1238">
        <v>5.5579616049506453E-2</v>
      </c>
      <c r="G1238" t="str">
        <f t="shared" si="75"/>
        <v>Insert into BlueCreditTypeRainbow Values (13, 5.9, 4, 15.9, 20, 0.0555796160495065)</v>
      </c>
      <c r="N1238" s="4">
        <v>1235</v>
      </c>
      <c r="O1238" s="8">
        <f>$B$7*COUNTIF(Sheet2!$B$1:$B$132,N1238)</f>
        <v>0</v>
      </c>
      <c r="P1238" s="8">
        <f t="shared" ca="1" si="73"/>
        <v>0</v>
      </c>
      <c r="Q1238" s="8">
        <f ca="1">CEILING(R1237*(IF(N1238&lt;=IF($B$2=0,0,OFFSET(Sheet2!$B$1,Sheet1!$B$2-1,0)),$B$1/(365*100),$B$3/(365*100)))*100,1)/100</f>
        <v>227.94</v>
      </c>
      <c r="R1238" s="9">
        <f t="shared" ca="1" si="74"/>
        <v>558582.69905741513</v>
      </c>
    </row>
    <row r="1239" spans="1:18" x14ac:dyDescent="0.25">
      <c r="A1239">
        <v>13</v>
      </c>
      <c r="B1239">
        <v>5.9</v>
      </c>
      <c r="C1239">
        <v>4</v>
      </c>
      <c r="D1239">
        <v>15.9</v>
      </c>
      <c r="E1239">
        <v>21</v>
      </c>
      <c r="F1239">
        <v>5.3263295281510158E-2</v>
      </c>
      <c r="G1239" t="str">
        <f t="shared" si="75"/>
        <v>Insert into BlueCreditTypeRainbow Values (13, 5.9, 4, 15.9, 21, 0.0532632952815102)</v>
      </c>
      <c r="N1239" s="4">
        <v>1236</v>
      </c>
      <c r="O1239" s="8">
        <f>$B$7*COUNTIF(Sheet2!$B$1:$B$132,N1239)</f>
        <v>0</v>
      </c>
      <c r="P1239" s="8">
        <f t="shared" ca="1" si="73"/>
        <v>0</v>
      </c>
      <c r="Q1239" s="8">
        <f ca="1">CEILING(R1238*(IF(N1239&lt;=IF($B$2=0,0,OFFSET(Sheet2!$B$1,Sheet1!$B$2-1,0)),$B$1/(365*100),$B$3/(365*100)))*100,1)/100</f>
        <v>228.03</v>
      </c>
      <c r="R1239" s="9">
        <f t="shared" ca="1" si="74"/>
        <v>558810.72905741516</v>
      </c>
    </row>
    <row r="1240" spans="1:18" x14ac:dyDescent="0.25">
      <c r="A1240">
        <v>13</v>
      </c>
      <c r="B1240">
        <v>5.9</v>
      </c>
      <c r="C1240">
        <v>4</v>
      </c>
      <c r="D1240">
        <v>15.9</v>
      </c>
      <c r="E1240">
        <v>22</v>
      </c>
      <c r="F1240">
        <v>5.1158873181864739E-2</v>
      </c>
      <c r="G1240" t="str">
        <f t="shared" si="75"/>
        <v>Insert into BlueCreditTypeRainbow Values (13, 5.9, 4, 15.9, 22, 0.0511588731818647)</v>
      </c>
      <c r="N1240" s="4">
        <v>1237</v>
      </c>
      <c r="O1240" s="8">
        <f>$B$7*COUNTIF(Sheet2!$B$1:$B$132,N1240)</f>
        <v>0</v>
      </c>
      <c r="P1240" s="8">
        <f t="shared" ca="1" si="73"/>
        <v>0</v>
      </c>
      <c r="Q1240" s="8">
        <f ca="1">CEILING(R1239*(IF(N1240&lt;=IF($B$2=0,0,OFFSET(Sheet2!$B$1,Sheet1!$B$2-1,0)),$B$1/(365*100),$B$3/(365*100)))*100,1)/100</f>
        <v>228.12</v>
      </c>
      <c r="R1240" s="9">
        <f t="shared" ca="1" si="74"/>
        <v>559038.84905741515</v>
      </c>
    </row>
    <row r="1241" spans="1:18" x14ac:dyDescent="0.25">
      <c r="A1241">
        <v>13</v>
      </c>
      <c r="B1241">
        <v>5.9</v>
      </c>
      <c r="C1241">
        <v>4</v>
      </c>
      <c r="D1241">
        <v>15.9</v>
      </c>
      <c r="E1241">
        <v>23</v>
      </c>
      <c r="F1241">
        <v>4.9239526956521736E-2</v>
      </c>
      <c r="G1241" t="str">
        <f t="shared" si="75"/>
        <v>Insert into BlueCreditTypeRainbow Values (13, 5.9, 4, 15.9, 23, 0.0492395269565217)</v>
      </c>
      <c r="N1241" s="4">
        <v>1238</v>
      </c>
      <c r="O1241" s="8">
        <f>$B$7*COUNTIF(Sheet2!$B$1:$B$132,N1241)</f>
        <v>0</v>
      </c>
      <c r="P1241" s="8">
        <f t="shared" ca="1" si="73"/>
        <v>0</v>
      </c>
      <c r="Q1241" s="8">
        <f ca="1">CEILING(R1240*(IF(N1241&lt;=IF($B$2=0,0,OFFSET(Sheet2!$B$1,Sheet1!$B$2-1,0)),$B$1/(365*100),$B$3/(365*100)))*100,1)/100</f>
        <v>228.22</v>
      </c>
      <c r="R1241" s="9">
        <f t="shared" ca="1" si="74"/>
        <v>559267.06905741512</v>
      </c>
    </row>
    <row r="1242" spans="1:18" x14ac:dyDescent="0.25">
      <c r="A1242">
        <v>13</v>
      </c>
      <c r="B1242">
        <v>5.9</v>
      </c>
      <c r="C1242">
        <v>4</v>
      </c>
      <c r="D1242">
        <v>15.9</v>
      </c>
      <c r="E1242">
        <v>24</v>
      </c>
      <c r="F1242">
        <v>4.7481275859565228E-2</v>
      </c>
      <c r="G1242" t="str">
        <f t="shared" si="75"/>
        <v>Insert into BlueCreditTypeRainbow Values (13, 5.9, 4, 15.9, 24, 0.0474812758595652)</v>
      </c>
      <c r="N1242" s="4">
        <v>1239</v>
      </c>
      <c r="O1242" s="8">
        <f>$B$7*COUNTIF(Sheet2!$B$1:$B$132,N1242)</f>
        <v>0</v>
      </c>
      <c r="P1242" s="8">
        <f t="shared" ca="1" si="73"/>
        <v>0</v>
      </c>
      <c r="Q1242" s="8">
        <f ca="1">CEILING(R1241*(IF(N1242&lt;=IF($B$2=0,0,OFFSET(Sheet2!$B$1,Sheet1!$B$2-1,0)),$B$1/(365*100),$B$3/(365*100)))*100,1)/100</f>
        <v>228.31</v>
      </c>
      <c r="R1242" s="9">
        <f t="shared" ca="1" si="74"/>
        <v>559495.37905741518</v>
      </c>
    </row>
    <row r="1243" spans="1:18" x14ac:dyDescent="0.25">
      <c r="A1243">
        <v>13</v>
      </c>
      <c r="B1243">
        <v>5.9</v>
      </c>
      <c r="C1243">
        <v>4</v>
      </c>
      <c r="D1243">
        <v>15.9</v>
      </c>
      <c r="E1243">
        <v>25</v>
      </c>
      <c r="F1243">
        <v>4.5865476823153756E-2</v>
      </c>
      <c r="G1243" t="str">
        <f t="shared" si="75"/>
        <v>Insert into BlueCreditTypeRainbow Values (13, 5.9, 4, 15.9, 25, 0.0458654768231538)</v>
      </c>
      <c r="N1243" s="4">
        <v>1240</v>
      </c>
      <c r="O1243" s="8">
        <f>$B$7*COUNTIF(Sheet2!$B$1:$B$132,N1243)</f>
        <v>0</v>
      </c>
      <c r="P1243" s="8">
        <f t="shared" ca="1" si="73"/>
        <v>0</v>
      </c>
      <c r="Q1243" s="8">
        <f ca="1">CEILING(R1242*(IF(N1243&lt;=IF($B$2=0,0,OFFSET(Sheet2!$B$1,Sheet1!$B$2-1,0)),$B$1/(365*100),$B$3/(365*100)))*100,1)/100</f>
        <v>228.4</v>
      </c>
      <c r="R1243" s="9">
        <f t="shared" ca="1" si="74"/>
        <v>559723.7790574152</v>
      </c>
    </row>
    <row r="1244" spans="1:18" x14ac:dyDescent="0.25">
      <c r="A1244">
        <v>13</v>
      </c>
      <c r="B1244">
        <v>5.9</v>
      </c>
      <c r="C1244">
        <v>4</v>
      </c>
      <c r="D1244">
        <v>15.9</v>
      </c>
      <c r="E1244">
        <v>26</v>
      </c>
      <c r="F1244">
        <v>4.4375605000000054E-2</v>
      </c>
      <c r="G1244" t="str">
        <f t="shared" si="75"/>
        <v>Insert into BlueCreditTypeRainbow Values (13, 5.9, 4, 15.9, 26, 0.0443756050000001)</v>
      </c>
      <c r="N1244" s="4">
        <v>1241</v>
      </c>
      <c r="O1244" s="8">
        <f>$B$7*COUNTIF(Sheet2!$B$1:$B$132,N1244)</f>
        <v>0</v>
      </c>
      <c r="P1244" s="8">
        <f t="shared" ca="1" si="73"/>
        <v>0</v>
      </c>
      <c r="Q1244" s="8">
        <f ca="1">CEILING(R1243*(IF(N1244&lt;=IF($B$2=0,0,OFFSET(Sheet2!$B$1,Sheet1!$B$2-1,0)),$B$1/(365*100),$B$3/(365*100)))*100,1)/100</f>
        <v>228.49</v>
      </c>
      <c r="R1244" s="9">
        <f t="shared" ca="1" si="74"/>
        <v>559952.26905741519</v>
      </c>
    </row>
    <row r="1245" spans="1:18" x14ac:dyDescent="0.25">
      <c r="A1245">
        <v>13</v>
      </c>
      <c r="B1245">
        <v>5.9</v>
      </c>
      <c r="C1245">
        <v>4</v>
      </c>
      <c r="D1245">
        <v>15.9</v>
      </c>
      <c r="E1245">
        <v>27</v>
      </c>
      <c r="F1245">
        <v>4.2997047784674079E-2</v>
      </c>
      <c r="G1245" t="str">
        <f t="shared" si="75"/>
        <v>Insert into BlueCreditTypeRainbow Values (13, 5.9, 4, 15.9, 27, 0.0429970477846741)</v>
      </c>
      <c r="N1245" s="4">
        <v>1242</v>
      </c>
      <c r="O1245" s="8">
        <f>$B$7*COUNTIF(Sheet2!$B$1:$B$132,N1245)</f>
        <v>0</v>
      </c>
      <c r="P1245" s="8">
        <f t="shared" ca="1" si="73"/>
        <v>0</v>
      </c>
      <c r="Q1245" s="8">
        <f ca="1">CEILING(R1244*(IF(N1245&lt;=IF($B$2=0,0,OFFSET(Sheet2!$B$1,Sheet1!$B$2-1,0)),$B$1/(365*100),$B$3/(365*100)))*100,1)/100</f>
        <v>228.59</v>
      </c>
      <c r="R1245" s="9">
        <f t="shared" ca="1" si="74"/>
        <v>560180.85905741516</v>
      </c>
    </row>
    <row r="1246" spans="1:18" x14ac:dyDescent="0.25">
      <c r="A1246">
        <v>13</v>
      </c>
      <c r="B1246">
        <v>5.9</v>
      </c>
      <c r="C1246">
        <v>4</v>
      </c>
      <c r="D1246">
        <v>15.9</v>
      </c>
      <c r="E1246">
        <v>28</v>
      </c>
      <c r="F1246">
        <v>4.1718414665728752E-2</v>
      </c>
      <c r="G1246" t="str">
        <f t="shared" si="75"/>
        <v>Insert into BlueCreditTypeRainbow Values (13, 5.9, 4, 15.9, 28, 0.0417184146657288)</v>
      </c>
      <c r="N1246" s="4">
        <v>1243</v>
      </c>
      <c r="O1246" s="8">
        <f>$B$7*COUNTIF(Sheet2!$B$1:$B$132,N1246)</f>
        <v>0</v>
      </c>
      <c r="P1246" s="8">
        <f t="shared" ca="1" si="73"/>
        <v>0</v>
      </c>
      <c r="Q1246" s="8">
        <f ca="1">CEILING(R1245*(IF(N1246&lt;=IF($B$2=0,0,OFFSET(Sheet2!$B$1,Sheet1!$B$2-1,0)),$B$1/(365*100),$B$3/(365*100)))*100,1)/100</f>
        <v>228.68</v>
      </c>
      <c r="R1246" s="9">
        <f t="shared" ca="1" si="74"/>
        <v>560409.53905741521</v>
      </c>
    </row>
    <row r="1247" spans="1:18" x14ac:dyDescent="0.25">
      <c r="A1247">
        <v>13</v>
      </c>
      <c r="B1247">
        <v>5.9</v>
      </c>
      <c r="C1247">
        <v>4</v>
      </c>
      <c r="D1247">
        <v>15.9</v>
      </c>
      <c r="E1247">
        <v>29</v>
      </c>
      <c r="F1247">
        <v>4.0528829688820718E-2</v>
      </c>
      <c r="G1247" t="str">
        <f t="shared" si="75"/>
        <v>Insert into BlueCreditTypeRainbow Values (13, 5.9, 4, 15.9, 29, 0.0405288296888207)</v>
      </c>
      <c r="N1247" s="4">
        <v>1244</v>
      </c>
      <c r="O1247" s="8">
        <f>$B$7*COUNTIF(Sheet2!$B$1:$B$132,N1247)</f>
        <v>0</v>
      </c>
      <c r="P1247" s="8">
        <f t="shared" ca="1" si="73"/>
        <v>0</v>
      </c>
      <c r="Q1247" s="8">
        <f ca="1">CEILING(R1246*(IF(N1247&lt;=IF($B$2=0,0,OFFSET(Sheet2!$B$1,Sheet1!$B$2-1,0)),$B$1/(365*100),$B$3/(365*100)))*100,1)/100</f>
        <v>228.77</v>
      </c>
      <c r="R1247" s="9">
        <f t="shared" ca="1" si="74"/>
        <v>560638.30905741523</v>
      </c>
    </row>
    <row r="1248" spans="1:18" x14ac:dyDescent="0.25">
      <c r="A1248">
        <v>13</v>
      </c>
      <c r="B1248">
        <v>5.9</v>
      </c>
      <c r="C1248">
        <v>4</v>
      </c>
      <c r="D1248">
        <v>15.9</v>
      </c>
      <c r="E1248">
        <v>30</v>
      </c>
      <c r="F1248">
        <v>3.9419848074956416E-2</v>
      </c>
      <c r="G1248" t="str">
        <f t="shared" si="75"/>
        <v>Insert into BlueCreditTypeRainbow Values (13, 5.9, 4, 15.9, 30, 0.0394198480749564)</v>
      </c>
      <c r="N1248" s="4">
        <v>1245</v>
      </c>
      <c r="O1248" s="8">
        <f>$B$7*COUNTIF(Sheet2!$B$1:$B$132,N1248)</f>
        <v>0</v>
      </c>
      <c r="P1248" s="8">
        <f t="shared" ca="1" si="73"/>
        <v>0</v>
      </c>
      <c r="Q1248" s="8">
        <f ca="1">CEILING(R1247*(IF(N1248&lt;=IF($B$2=0,0,OFFSET(Sheet2!$B$1,Sheet1!$B$2-1,0)),$B$1/(365*100),$B$3/(365*100)))*100,1)/100</f>
        <v>228.87</v>
      </c>
      <c r="R1248" s="9">
        <f t="shared" ca="1" si="74"/>
        <v>560867.17905741523</v>
      </c>
    </row>
    <row r="1249" spans="1:18" x14ac:dyDescent="0.25">
      <c r="A1249">
        <v>13</v>
      </c>
      <c r="B1249">
        <v>5.9</v>
      </c>
      <c r="C1249">
        <v>3</v>
      </c>
      <c r="D1249">
        <v>15.9</v>
      </c>
      <c r="E1249">
        <v>18</v>
      </c>
      <c r="F1249">
        <v>6.1417141111111122E-2</v>
      </c>
      <c r="G1249" t="str">
        <f t="shared" si="75"/>
        <v>Insert into BlueCreditTypeRainbow Values (13, 5.9, 3, 15.9, 18, 0.0614171411111111)</v>
      </c>
      <c r="N1249" s="4">
        <v>1246</v>
      </c>
      <c r="O1249" s="8">
        <f>$B$7*COUNTIF(Sheet2!$B$1:$B$132,N1249)</f>
        <v>0</v>
      </c>
      <c r="P1249" s="8">
        <f t="shared" ca="1" si="73"/>
        <v>0</v>
      </c>
      <c r="Q1249" s="8">
        <f ca="1">CEILING(R1248*(IF(N1249&lt;=IF($B$2=0,0,OFFSET(Sheet2!$B$1,Sheet1!$B$2-1,0)),$B$1/(365*100),$B$3/(365*100)))*100,1)/100</f>
        <v>228.96</v>
      </c>
      <c r="R1249" s="9">
        <f t="shared" ca="1" si="74"/>
        <v>561096.13905741519</v>
      </c>
    </row>
    <row r="1250" spans="1:18" x14ac:dyDescent="0.25">
      <c r="A1250">
        <v>13</v>
      </c>
      <c r="B1250">
        <v>5.9</v>
      </c>
      <c r="C1250">
        <v>3</v>
      </c>
      <c r="D1250">
        <v>15.9</v>
      </c>
      <c r="E1250">
        <v>19</v>
      </c>
      <c r="F1250">
        <v>5.8552046315789523E-2</v>
      </c>
      <c r="G1250" t="str">
        <f t="shared" si="75"/>
        <v>Insert into BlueCreditTypeRainbow Values (13, 5.9, 3, 15.9, 19, 0.0585520463157895)</v>
      </c>
      <c r="N1250" s="4">
        <v>1247</v>
      </c>
      <c r="O1250" s="8">
        <f>$B$7*COUNTIF(Sheet2!$B$1:$B$132,N1250)</f>
        <v>0</v>
      </c>
      <c r="P1250" s="8">
        <f t="shared" ca="1" si="73"/>
        <v>0</v>
      </c>
      <c r="Q1250" s="8">
        <f ca="1">CEILING(R1249*(IF(N1250&lt;=IF($B$2=0,0,OFFSET(Sheet2!$B$1,Sheet1!$B$2-1,0)),$B$1/(365*100),$B$3/(365*100)))*100,1)/100</f>
        <v>229.06</v>
      </c>
      <c r="R1250" s="9">
        <f t="shared" ca="1" si="74"/>
        <v>561325.19905741524</v>
      </c>
    </row>
    <row r="1251" spans="1:18" x14ac:dyDescent="0.25">
      <c r="A1251">
        <v>13</v>
      </c>
      <c r="B1251">
        <v>5.9</v>
      </c>
      <c r="C1251">
        <v>3</v>
      </c>
      <c r="D1251">
        <v>15.9</v>
      </c>
      <c r="E1251">
        <v>20</v>
      </c>
      <c r="F1251">
        <v>5.5974729000000029E-2</v>
      </c>
      <c r="G1251" t="str">
        <f t="shared" si="75"/>
        <v>Insert into BlueCreditTypeRainbow Values (13, 5.9, 3, 15.9, 20, 0.055974729)</v>
      </c>
      <c r="N1251" s="4">
        <v>1248</v>
      </c>
      <c r="O1251" s="8">
        <f>$B$7*COUNTIF(Sheet2!$B$1:$B$132,N1251)</f>
        <v>0</v>
      </c>
      <c r="P1251" s="8">
        <f t="shared" ca="1" si="73"/>
        <v>0</v>
      </c>
      <c r="Q1251" s="8">
        <f ca="1">CEILING(R1250*(IF(N1251&lt;=IF($B$2=0,0,OFFSET(Sheet2!$B$1,Sheet1!$B$2-1,0)),$B$1/(365*100),$B$3/(365*100)))*100,1)/100</f>
        <v>229.15</v>
      </c>
      <c r="R1251" s="9">
        <f t="shared" ca="1" si="74"/>
        <v>561554.34905741527</v>
      </c>
    </row>
    <row r="1252" spans="1:18" x14ac:dyDescent="0.25">
      <c r="A1252">
        <v>13</v>
      </c>
      <c r="B1252">
        <v>5.9</v>
      </c>
      <c r="C1252">
        <v>3</v>
      </c>
      <c r="D1252">
        <v>15.9</v>
      </c>
      <c r="E1252">
        <v>21</v>
      </c>
      <c r="F1252">
        <v>5.3645081904761943E-2</v>
      </c>
      <c r="G1252" t="str">
        <f t="shared" si="75"/>
        <v>Insert into BlueCreditTypeRainbow Values (13, 5.9, 3, 15.9, 21, 0.0536450819047619)</v>
      </c>
      <c r="N1252" s="4">
        <v>1249</v>
      </c>
      <c r="O1252" s="8">
        <f>$B$7*COUNTIF(Sheet2!$B$1:$B$132,N1252)</f>
        <v>0</v>
      </c>
      <c r="P1252" s="8">
        <f t="shared" ca="1" si="73"/>
        <v>0</v>
      </c>
      <c r="Q1252" s="8">
        <f ca="1">CEILING(R1251*(IF(N1252&lt;=IF($B$2=0,0,OFFSET(Sheet2!$B$1,Sheet1!$B$2-1,0)),$B$1/(365*100),$B$3/(365*100)))*100,1)/100</f>
        <v>229.24</v>
      </c>
      <c r="R1252" s="9">
        <f t="shared" ca="1" si="74"/>
        <v>561783.58905741526</v>
      </c>
    </row>
    <row r="1253" spans="1:18" x14ac:dyDescent="0.25">
      <c r="A1253">
        <v>13</v>
      </c>
      <c r="B1253">
        <v>5.9</v>
      </c>
      <c r="C1253">
        <v>3</v>
      </c>
      <c r="D1253">
        <v>15.9</v>
      </c>
      <c r="E1253">
        <v>22</v>
      </c>
      <c r="F1253">
        <v>5.1528325454545526E-2</v>
      </c>
      <c r="G1253" t="str">
        <f t="shared" si="75"/>
        <v>Insert into BlueCreditTypeRainbow Values (13, 5.9, 3, 15.9, 22, 0.0515283254545455)</v>
      </c>
      <c r="N1253" s="4">
        <v>1250</v>
      </c>
      <c r="O1253" s="8">
        <f>$B$7*COUNTIF(Sheet2!$B$1:$B$132,N1253)</f>
        <v>21157.10552356458</v>
      </c>
      <c r="P1253" s="8">
        <f t="shared" ca="1" si="73"/>
        <v>20927.76552356458</v>
      </c>
      <c r="Q1253" s="8">
        <f ca="1">CEILING(R1252*(IF(N1253&lt;=IF($B$2=0,0,OFFSET(Sheet2!$B$1,Sheet1!$B$2-1,0)),$B$1/(365*100),$B$3/(365*100)))*100,1)/100</f>
        <v>229.34</v>
      </c>
      <c r="R1253" s="9">
        <f t="shared" ca="1" si="74"/>
        <v>540855.82353385061</v>
      </c>
    </row>
    <row r="1254" spans="1:18" x14ac:dyDescent="0.25">
      <c r="A1254">
        <v>13</v>
      </c>
      <c r="B1254">
        <v>5.9</v>
      </c>
      <c r="C1254">
        <v>3</v>
      </c>
      <c r="D1254">
        <v>15.9</v>
      </c>
      <c r="E1254">
        <v>23</v>
      </c>
      <c r="F1254">
        <v>4.9597518695652203E-2</v>
      </c>
      <c r="G1254" t="str">
        <f t="shared" si="75"/>
        <v>Insert into BlueCreditTypeRainbow Values (13, 5.9, 3, 15.9, 23, 0.0495975186956522)</v>
      </c>
      <c r="N1254" s="4">
        <v>1251</v>
      </c>
      <c r="O1254" s="8">
        <f>$B$7*COUNTIF(Sheet2!$B$1:$B$132,N1254)</f>
        <v>0</v>
      </c>
      <c r="P1254" s="8">
        <f t="shared" ca="1" si="73"/>
        <v>0</v>
      </c>
      <c r="Q1254" s="8">
        <f ca="1">CEILING(R1253*(IF(N1254&lt;=IF($B$2=0,0,OFFSET(Sheet2!$B$1,Sheet1!$B$2-1,0)),$B$1/(365*100),$B$3/(365*100)))*100,1)/100</f>
        <v>220.79</v>
      </c>
      <c r="R1254" s="9">
        <f t="shared" ca="1" si="74"/>
        <v>541076.61353385064</v>
      </c>
    </row>
    <row r="1255" spans="1:18" x14ac:dyDescent="0.25">
      <c r="A1255">
        <v>13</v>
      </c>
      <c r="B1255">
        <v>5.9</v>
      </c>
      <c r="C1255">
        <v>3</v>
      </c>
      <c r="D1255">
        <v>15.9</v>
      </c>
      <c r="E1255">
        <v>24</v>
      </c>
      <c r="F1255">
        <v>4.7828615458006409E-2</v>
      </c>
      <c r="G1255" t="str">
        <f t="shared" si="75"/>
        <v>Insert into BlueCreditTypeRainbow Values (13, 5.9, 3, 15.9, 24, 0.0478286154580064)</v>
      </c>
      <c r="N1255" s="4">
        <v>1252</v>
      </c>
      <c r="O1255" s="8">
        <f>$B$7*COUNTIF(Sheet2!$B$1:$B$132,N1255)</f>
        <v>0</v>
      </c>
      <c r="P1255" s="8">
        <f t="shared" ca="1" si="73"/>
        <v>0</v>
      </c>
      <c r="Q1255" s="8">
        <f ca="1">CEILING(R1254*(IF(N1255&lt;=IF($B$2=0,0,OFFSET(Sheet2!$B$1,Sheet1!$B$2-1,0)),$B$1/(365*100),$B$3/(365*100)))*100,1)/100</f>
        <v>220.88</v>
      </c>
      <c r="R1255" s="9">
        <f t="shared" ca="1" si="74"/>
        <v>541297.49353385065</v>
      </c>
    </row>
    <row r="1256" spans="1:18" x14ac:dyDescent="0.25">
      <c r="A1256">
        <v>13</v>
      </c>
      <c r="B1256">
        <v>5.9</v>
      </c>
      <c r="C1256">
        <v>3</v>
      </c>
      <c r="D1256">
        <v>15.9</v>
      </c>
      <c r="E1256">
        <v>25</v>
      </c>
      <c r="F1256">
        <v>4.6202878799999916E-2</v>
      </c>
      <c r="G1256" t="str">
        <f t="shared" si="75"/>
        <v>Insert into BlueCreditTypeRainbow Values (13, 5.9, 3, 15.9, 25, 0.0462028787999999)</v>
      </c>
      <c r="N1256" s="4">
        <v>1253</v>
      </c>
      <c r="O1256" s="8">
        <f>$B$7*COUNTIF(Sheet2!$B$1:$B$132,N1256)</f>
        <v>0</v>
      </c>
      <c r="P1256" s="8">
        <f t="shared" ca="1" si="73"/>
        <v>0</v>
      </c>
      <c r="Q1256" s="8">
        <f ca="1">CEILING(R1255*(IF(N1256&lt;=IF($B$2=0,0,OFFSET(Sheet2!$B$1,Sheet1!$B$2-1,0)),$B$1/(365*100),$B$3/(365*100)))*100,1)/100</f>
        <v>220.97</v>
      </c>
      <c r="R1256" s="9">
        <f t="shared" ca="1" si="74"/>
        <v>541518.46353385062</v>
      </c>
    </row>
    <row r="1257" spans="1:18" x14ac:dyDescent="0.25">
      <c r="A1257">
        <v>13</v>
      </c>
      <c r="B1257">
        <v>5.9</v>
      </c>
      <c r="C1257">
        <v>3</v>
      </c>
      <c r="D1257">
        <v>15.9</v>
      </c>
      <c r="E1257">
        <v>26</v>
      </c>
      <c r="F1257">
        <v>4.4703739225157212E-2</v>
      </c>
      <c r="G1257" t="str">
        <f t="shared" si="75"/>
        <v>Insert into BlueCreditTypeRainbow Values (13, 5.9, 3, 15.9, 26, 0.0447037392251572)</v>
      </c>
      <c r="N1257" s="4">
        <v>1254</v>
      </c>
      <c r="O1257" s="8">
        <f>$B$7*COUNTIF(Sheet2!$B$1:$B$132,N1257)</f>
        <v>0</v>
      </c>
      <c r="P1257" s="8">
        <f t="shared" ca="1" si="73"/>
        <v>0</v>
      </c>
      <c r="Q1257" s="8">
        <f ca="1">CEILING(R1256*(IF(N1257&lt;=IF($B$2=0,0,OFFSET(Sheet2!$B$1,Sheet1!$B$2-1,0)),$B$1/(365*100),$B$3/(365*100)))*100,1)/100</f>
        <v>221.06</v>
      </c>
      <c r="R1257" s="9">
        <f t="shared" ca="1" si="74"/>
        <v>541739.52353385068</v>
      </c>
    </row>
    <row r="1258" spans="1:18" x14ac:dyDescent="0.25">
      <c r="A1258">
        <v>13</v>
      </c>
      <c r="B1258">
        <v>5.9</v>
      </c>
      <c r="C1258">
        <v>3</v>
      </c>
      <c r="D1258">
        <v>15.9</v>
      </c>
      <c r="E1258">
        <v>27</v>
      </c>
      <c r="F1258">
        <v>4.3316493727075446E-2</v>
      </c>
      <c r="G1258" t="str">
        <f t="shared" si="75"/>
        <v>Insert into BlueCreditTypeRainbow Values (13, 5.9, 3, 15.9, 27, 0.0433164937270754)</v>
      </c>
      <c r="N1258" s="4">
        <v>1255</v>
      </c>
      <c r="O1258" s="8">
        <f>$B$7*COUNTIF(Sheet2!$B$1:$B$132,N1258)</f>
        <v>0</v>
      </c>
      <c r="P1258" s="8">
        <f t="shared" ca="1" si="73"/>
        <v>0</v>
      </c>
      <c r="Q1258" s="8">
        <f ca="1">CEILING(R1257*(IF(N1258&lt;=IF($B$2=0,0,OFFSET(Sheet2!$B$1,Sheet1!$B$2-1,0)),$B$1/(365*100),$B$3/(365*100)))*100,1)/100</f>
        <v>221.15</v>
      </c>
      <c r="R1258" s="9">
        <f t="shared" ca="1" si="74"/>
        <v>541960.6735338507</v>
      </c>
    </row>
    <row r="1259" spans="1:18" x14ac:dyDescent="0.25">
      <c r="A1259">
        <v>13</v>
      </c>
      <c r="B1259">
        <v>5.9</v>
      </c>
      <c r="C1259">
        <v>3</v>
      </c>
      <c r="D1259">
        <v>15.9</v>
      </c>
      <c r="E1259">
        <v>28</v>
      </c>
      <c r="F1259">
        <v>4.2029720033485006E-2</v>
      </c>
      <c r="G1259" t="str">
        <f t="shared" si="75"/>
        <v>Insert into BlueCreditTypeRainbow Values (13, 5.9, 3, 15.9, 28, 0.042029720033485)</v>
      </c>
      <c r="N1259" s="4">
        <v>1256</v>
      </c>
      <c r="O1259" s="8">
        <f>$B$7*COUNTIF(Sheet2!$B$1:$B$132,N1259)</f>
        <v>0</v>
      </c>
      <c r="P1259" s="8">
        <f t="shared" ca="1" si="73"/>
        <v>0</v>
      </c>
      <c r="Q1259" s="8">
        <f ca="1">CEILING(R1258*(IF(N1259&lt;=IF($B$2=0,0,OFFSET(Sheet2!$B$1,Sheet1!$B$2-1,0)),$B$1/(365*100),$B$3/(365*100)))*100,1)/100</f>
        <v>221.24</v>
      </c>
      <c r="R1259" s="9">
        <f t="shared" ca="1" si="74"/>
        <v>542181.91353385069</v>
      </c>
    </row>
    <row r="1260" spans="1:18" x14ac:dyDescent="0.25">
      <c r="A1260">
        <v>13</v>
      </c>
      <c r="B1260">
        <v>5.9</v>
      </c>
      <c r="C1260">
        <v>3</v>
      </c>
      <c r="D1260">
        <v>15.9</v>
      </c>
      <c r="E1260">
        <v>29</v>
      </c>
      <c r="F1260">
        <v>4.0832483127769444E-2</v>
      </c>
      <c r="G1260" t="str">
        <f t="shared" si="75"/>
        <v>Insert into BlueCreditTypeRainbow Values (13, 5.9, 3, 15.9, 29, 0.0408324831277694)</v>
      </c>
      <c r="N1260" s="4">
        <v>1257</v>
      </c>
      <c r="O1260" s="8">
        <f>$B$7*COUNTIF(Sheet2!$B$1:$B$132,N1260)</f>
        <v>0</v>
      </c>
      <c r="P1260" s="8">
        <f t="shared" ca="1" si="73"/>
        <v>0</v>
      </c>
      <c r="Q1260" s="8">
        <f ca="1">CEILING(R1259*(IF(N1260&lt;=IF($B$2=0,0,OFFSET(Sheet2!$B$1,Sheet1!$B$2-1,0)),$B$1/(365*100),$B$3/(365*100)))*100,1)/100</f>
        <v>221.33</v>
      </c>
      <c r="R1260" s="9">
        <f t="shared" ca="1" si="74"/>
        <v>542403.24353385065</v>
      </c>
    </row>
    <row r="1261" spans="1:18" x14ac:dyDescent="0.25">
      <c r="A1261">
        <v>13</v>
      </c>
      <c r="B1261">
        <v>5.9</v>
      </c>
      <c r="C1261">
        <v>3</v>
      </c>
      <c r="D1261">
        <v>15.9</v>
      </c>
      <c r="E1261">
        <v>30</v>
      </c>
      <c r="F1261">
        <v>3.9716325357796935E-2</v>
      </c>
      <c r="G1261" t="str">
        <f t="shared" si="75"/>
        <v>Insert into BlueCreditTypeRainbow Values (13, 5.9, 3, 15.9, 30, 0.0397163253577969)</v>
      </c>
      <c r="N1261" s="4">
        <v>1258</v>
      </c>
      <c r="O1261" s="8">
        <f>$B$7*COUNTIF(Sheet2!$B$1:$B$132,N1261)</f>
        <v>0</v>
      </c>
      <c r="P1261" s="8">
        <f t="shared" ca="1" si="73"/>
        <v>0</v>
      </c>
      <c r="Q1261" s="8">
        <f ca="1">CEILING(R1260*(IF(N1261&lt;=IF($B$2=0,0,OFFSET(Sheet2!$B$1,Sheet1!$B$2-1,0)),$B$1/(365*100),$B$3/(365*100)))*100,1)/100</f>
        <v>221.42</v>
      </c>
      <c r="R1261" s="9">
        <f t="shared" ca="1" si="74"/>
        <v>542624.66353385069</v>
      </c>
    </row>
    <row r="1262" spans="1:18" x14ac:dyDescent="0.25">
      <c r="A1262">
        <v>13</v>
      </c>
      <c r="B1262">
        <v>5.9</v>
      </c>
      <c r="C1262">
        <v>2</v>
      </c>
      <c r="D1262">
        <v>15.9</v>
      </c>
      <c r="E1262">
        <v>18</v>
      </c>
      <c r="F1262">
        <v>6.1861633188195382E-2</v>
      </c>
      <c r="G1262" t="str">
        <f t="shared" si="75"/>
        <v>Insert into BlueCreditTypeRainbow Values (13, 5.9, 2, 15.9, 18, 0.0618616331881954)</v>
      </c>
      <c r="N1262" s="4">
        <v>1259</v>
      </c>
      <c r="O1262" s="8">
        <f>$B$7*COUNTIF(Sheet2!$B$1:$B$132,N1262)</f>
        <v>0</v>
      </c>
      <c r="P1262" s="8">
        <f t="shared" ca="1" si="73"/>
        <v>0</v>
      </c>
      <c r="Q1262" s="8">
        <f ca="1">CEILING(R1261*(IF(N1262&lt;=IF($B$2=0,0,OFFSET(Sheet2!$B$1,Sheet1!$B$2-1,0)),$B$1/(365*100),$B$3/(365*100)))*100,1)/100</f>
        <v>221.51</v>
      </c>
      <c r="R1262" s="9">
        <f t="shared" ca="1" si="74"/>
        <v>542846.1735338507</v>
      </c>
    </row>
    <row r="1263" spans="1:18" x14ac:dyDescent="0.25">
      <c r="A1263">
        <v>13</v>
      </c>
      <c r="B1263">
        <v>5.9</v>
      </c>
      <c r="C1263">
        <v>2</v>
      </c>
      <c r="D1263">
        <v>15.9</v>
      </c>
      <c r="E1263">
        <v>19</v>
      </c>
      <c r="F1263">
        <v>5.8978566842105208E-2</v>
      </c>
      <c r="G1263" t="str">
        <f t="shared" si="75"/>
        <v>Insert into BlueCreditTypeRainbow Values (13, 5.9, 2, 15.9, 19, 0.0589785668421052)</v>
      </c>
      <c r="N1263" s="4">
        <v>1260</v>
      </c>
      <c r="O1263" s="8">
        <f>$B$7*COUNTIF(Sheet2!$B$1:$B$132,N1263)</f>
        <v>0</v>
      </c>
      <c r="P1263" s="8">
        <f t="shared" ca="1" si="73"/>
        <v>0</v>
      </c>
      <c r="Q1263" s="8">
        <f ca="1">CEILING(R1262*(IF(N1263&lt;=IF($B$2=0,0,OFFSET(Sheet2!$B$1,Sheet1!$B$2-1,0)),$B$1/(365*100),$B$3/(365*100)))*100,1)/100</f>
        <v>221.61</v>
      </c>
      <c r="R1263" s="9">
        <f t="shared" ca="1" si="74"/>
        <v>543067.78353385068</v>
      </c>
    </row>
    <row r="1264" spans="1:18" x14ac:dyDescent="0.25">
      <c r="A1264">
        <v>13</v>
      </c>
      <c r="B1264">
        <v>5.9</v>
      </c>
      <c r="C1264">
        <v>2</v>
      </c>
      <c r="D1264">
        <v>15.9</v>
      </c>
      <c r="E1264">
        <v>20</v>
      </c>
      <c r="F1264">
        <v>5.6384862506643277E-2</v>
      </c>
      <c r="G1264" t="str">
        <f t="shared" si="75"/>
        <v>Insert into BlueCreditTypeRainbow Values (13, 5.9, 2, 15.9, 20, 0.0563848625066433)</v>
      </c>
      <c r="N1264" s="4">
        <v>1261</v>
      </c>
      <c r="O1264" s="8">
        <f>$B$7*COUNTIF(Sheet2!$B$1:$B$132,N1264)</f>
        <v>0</v>
      </c>
      <c r="P1264" s="8">
        <f t="shared" ca="1" si="73"/>
        <v>0</v>
      </c>
      <c r="Q1264" s="8">
        <f ca="1">CEILING(R1263*(IF(N1264&lt;=IF($B$2=0,0,OFFSET(Sheet2!$B$1,Sheet1!$B$2-1,0)),$B$1/(365*100),$B$3/(365*100)))*100,1)/100</f>
        <v>221.7</v>
      </c>
      <c r="R1264" s="9">
        <f t="shared" ca="1" si="74"/>
        <v>543289.48353385064</v>
      </c>
    </row>
    <row r="1265" spans="1:18" x14ac:dyDescent="0.25">
      <c r="A1265">
        <v>13</v>
      </c>
      <c r="B1265">
        <v>5.9</v>
      </c>
      <c r="C1265">
        <v>2</v>
      </c>
      <c r="D1265">
        <v>15.9</v>
      </c>
      <c r="E1265">
        <v>21</v>
      </c>
      <c r="F1265">
        <v>5.4040191904761885E-2</v>
      </c>
      <c r="G1265" t="str">
        <f t="shared" si="75"/>
        <v>Insert into BlueCreditTypeRainbow Values (13, 5.9, 2, 15.9, 21, 0.0540401919047619)</v>
      </c>
      <c r="N1265" s="4">
        <v>1262</v>
      </c>
      <c r="O1265" s="8">
        <f>$B$7*COUNTIF(Sheet2!$B$1:$B$132,N1265)</f>
        <v>0</v>
      </c>
      <c r="P1265" s="8">
        <f t="shared" ca="1" si="73"/>
        <v>0</v>
      </c>
      <c r="Q1265" s="8">
        <f ca="1">CEILING(R1264*(IF(N1265&lt;=IF($B$2=0,0,OFFSET(Sheet2!$B$1,Sheet1!$B$2-1,0)),$B$1/(365*100),$B$3/(365*100)))*100,1)/100</f>
        <v>221.79</v>
      </c>
      <c r="R1265" s="9">
        <f t="shared" ca="1" si="74"/>
        <v>543511.27353385068</v>
      </c>
    </row>
    <row r="1266" spans="1:18" x14ac:dyDescent="0.25">
      <c r="A1266">
        <v>13</v>
      </c>
      <c r="B1266">
        <v>5.9</v>
      </c>
      <c r="C1266">
        <v>2</v>
      </c>
      <c r="D1266">
        <v>15.9</v>
      </c>
      <c r="E1266">
        <v>22</v>
      </c>
      <c r="F1266">
        <v>5.1909640909090976E-2</v>
      </c>
      <c r="G1266" t="str">
        <f t="shared" si="75"/>
        <v>Insert into BlueCreditTypeRainbow Values (13, 5.9, 2, 15.9, 22, 0.051909640909091)</v>
      </c>
      <c r="N1266" s="4">
        <v>1263</v>
      </c>
      <c r="O1266" s="8">
        <f>$B$7*COUNTIF(Sheet2!$B$1:$B$132,N1266)</f>
        <v>0</v>
      </c>
      <c r="P1266" s="8">
        <f t="shared" ca="1" si="73"/>
        <v>0</v>
      </c>
      <c r="Q1266" s="8">
        <f ca="1">CEILING(R1265*(IF(N1266&lt;=IF($B$2=0,0,OFFSET(Sheet2!$B$1,Sheet1!$B$2-1,0)),$B$1/(365*100),$B$3/(365*100)))*100,1)/100</f>
        <v>221.88</v>
      </c>
      <c r="R1266" s="9">
        <f t="shared" ca="1" si="74"/>
        <v>543733.15353385068</v>
      </c>
    </row>
    <row r="1267" spans="1:18" x14ac:dyDescent="0.25">
      <c r="A1267">
        <v>13</v>
      </c>
      <c r="B1267">
        <v>5.9</v>
      </c>
      <c r="C1267">
        <v>2</v>
      </c>
      <c r="D1267">
        <v>15.9</v>
      </c>
      <c r="E1267">
        <v>23</v>
      </c>
      <c r="F1267">
        <v>4.9966135256145128E-2</v>
      </c>
      <c r="G1267" t="str">
        <f t="shared" si="75"/>
        <v>Insert into BlueCreditTypeRainbow Values (13, 5.9, 2, 15.9, 23, 0.0499661352561451)</v>
      </c>
      <c r="N1267" s="4">
        <v>1264</v>
      </c>
      <c r="O1267" s="8">
        <f>$B$7*COUNTIF(Sheet2!$B$1:$B$132,N1267)</f>
        <v>0</v>
      </c>
      <c r="P1267" s="8">
        <f t="shared" ca="1" si="73"/>
        <v>0</v>
      </c>
      <c r="Q1267" s="8">
        <f ca="1">CEILING(R1266*(IF(N1267&lt;=IF($B$2=0,0,OFFSET(Sheet2!$B$1,Sheet1!$B$2-1,0)),$B$1/(365*100),$B$3/(365*100)))*100,1)/100</f>
        <v>221.97</v>
      </c>
      <c r="R1267" s="9">
        <f t="shared" ca="1" si="74"/>
        <v>543955.12353385065</v>
      </c>
    </row>
    <row r="1268" spans="1:18" x14ac:dyDescent="0.25">
      <c r="A1268">
        <v>13</v>
      </c>
      <c r="B1268">
        <v>5.9</v>
      </c>
      <c r="C1268">
        <v>2</v>
      </c>
      <c r="D1268">
        <v>15.9</v>
      </c>
      <c r="E1268">
        <v>24</v>
      </c>
      <c r="F1268">
        <v>4.8185482951588587E-2</v>
      </c>
      <c r="G1268" t="str">
        <f t="shared" si="75"/>
        <v>Insert into BlueCreditTypeRainbow Values (13, 5.9, 2, 15.9, 24, 0.0481854829515886)</v>
      </c>
      <c r="N1268" s="4">
        <v>1265</v>
      </c>
      <c r="O1268" s="8">
        <f>$B$7*COUNTIF(Sheet2!$B$1:$B$132,N1268)</f>
        <v>0</v>
      </c>
      <c r="P1268" s="8">
        <f t="shared" ca="1" si="73"/>
        <v>0</v>
      </c>
      <c r="Q1268" s="8">
        <f ca="1">CEILING(R1267*(IF(N1268&lt;=IF($B$2=0,0,OFFSET(Sheet2!$B$1,Sheet1!$B$2-1,0)),$B$1/(365*100),$B$3/(365*100)))*100,1)/100</f>
        <v>222.06</v>
      </c>
      <c r="R1268" s="9">
        <f t="shared" ca="1" si="74"/>
        <v>544177.18353385071</v>
      </c>
    </row>
    <row r="1269" spans="1:18" x14ac:dyDescent="0.25">
      <c r="A1269">
        <v>13</v>
      </c>
      <c r="B1269">
        <v>5.9</v>
      </c>
      <c r="C1269">
        <v>2</v>
      </c>
      <c r="D1269">
        <v>15.9</v>
      </c>
      <c r="E1269">
        <v>25</v>
      </c>
      <c r="F1269">
        <v>4.6548855238247484E-2</v>
      </c>
      <c r="G1269" t="str">
        <f t="shared" si="75"/>
        <v>Insert into BlueCreditTypeRainbow Values (13, 5.9, 2, 15.9, 25, 0.0465488552382475)</v>
      </c>
      <c r="N1269" s="4">
        <v>1266</v>
      </c>
      <c r="O1269" s="8">
        <f>$B$7*COUNTIF(Sheet2!$B$1:$B$132,N1269)</f>
        <v>0</v>
      </c>
      <c r="P1269" s="8">
        <f t="shared" ca="1" si="73"/>
        <v>0</v>
      </c>
      <c r="Q1269" s="8">
        <f ca="1">CEILING(R1268*(IF(N1269&lt;=IF($B$2=0,0,OFFSET(Sheet2!$B$1,Sheet1!$B$2-1,0)),$B$1/(365*100),$B$3/(365*100)))*100,1)/100</f>
        <v>222.15</v>
      </c>
      <c r="R1269" s="9">
        <f t="shared" ca="1" si="74"/>
        <v>544399.33353385073</v>
      </c>
    </row>
    <row r="1270" spans="1:18" x14ac:dyDescent="0.25">
      <c r="A1270">
        <v>13</v>
      </c>
      <c r="B1270">
        <v>5.9</v>
      </c>
      <c r="C1270">
        <v>2</v>
      </c>
      <c r="D1270">
        <v>15.9</v>
      </c>
      <c r="E1270">
        <v>26</v>
      </c>
      <c r="F1270">
        <v>4.5039593076923026E-2</v>
      </c>
      <c r="G1270" t="str">
        <f t="shared" si="75"/>
        <v>Insert into BlueCreditTypeRainbow Values (13, 5.9, 2, 15.9, 26, 0.045039593076923)</v>
      </c>
      <c r="N1270" s="4">
        <v>1267</v>
      </c>
      <c r="O1270" s="8">
        <f>$B$7*COUNTIF(Sheet2!$B$1:$B$132,N1270)</f>
        <v>0</v>
      </c>
      <c r="P1270" s="8">
        <f t="shared" ca="1" si="73"/>
        <v>0</v>
      </c>
      <c r="Q1270" s="8">
        <f ca="1">CEILING(R1269*(IF(N1270&lt;=IF($B$2=0,0,OFFSET(Sheet2!$B$1,Sheet1!$B$2-1,0)),$B$1/(365*100),$B$3/(365*100)))*100,1)/100</f>
        <v>222.24</v>
      </c>
      <c r="R1270" s="9">
        <f t="shared" ca="1" si="74"/>
        <v>544621.57353385072</v>
      </c>
    </row>
    <row r="1271" spans="1:18" x14ac:dyDescent="0.25">
      <c r="A1271">
        <v>13</v>
      </c>
      <c r="B1271">
        <v>5.9</v>
      </c>
      <c r="C1271">
        <v>2</v>
      </c>
      <c r="D1271">
        <v>15.9</v>
      </c>
      <c r="E1271">
        <v>27</v>
      </c>
      <c r="F1271">
        <v>4.3642912085953785E-2</v>
      </c>
      <c r="G1271" t="str">
        <f t="shared" si="75"/>
        <v>Insert into BlueCreditTypeRainbow Values (13, 5.9, 2, 15.9, 27, 0.0436429120859538)</v>
      </c>
      <c r="N1271" s="4">
        <v>1268</v>
      </c>
      <c r="O1271" s="8">
        <f>$B$7*COUNTIF(Sheet2!$B$1:$B$132,N1271)</f>
        <v>0</v>
      </c>
      <c r="P1271" s="8">
        <f t="shared" ca="1" si="73"/>
        <v>0</v>
      </c>
      <c r="Q1271" s="8">
        <f ca="1">CEILING(R1270*(IF(N1271&lt;=IF($B$2=0,0,OFFSET(Sheet2!$B$1,Sheet1!$B$2-1,0)),$B$1/(365*100),$B$3/(365*100)))*100,1)/100</f>
        <v>222.33</v>
      </c>
      <c r="R1271" s="9">
        <f t="shared" ca="1" si="74"/>
        <v>544843.90353385068</v>
      </c>
    </row>
    <row r="1272" spans="1:18" x14ac:dyDescent="0.25">
      <c r="A1272">
        <v>13</v>
      </c>
      <c r="B1272">
        <v>5.9</v>
      </c>
      <c r="C1272">
        <v>2</v>
      </c>
      <c r="D1272">
        <v>15.9</v>
      </c>
      <c r="E1272">
        <v>28</v>
      </c>
      <c r="F1272">
        <v>4.2347344285714281E-2</v>
      </c>
      <c r="G1272" t="str">
        <f t="shared" si="75"/>
        <v>Insert into BlueCreditTypeRainbow Values (13, 5.9, 2, 15.9, 28, 0.0423473442857143)</v>
      </c>
      <c r="N1272" s="4">
        <v>1269</v>
      </c>
      <c r="O1272" s="8">
        <f>$B$7*COUNTIF(Sheet2!$B$1:$B$132,N1272)</f>
        <v>0</v>
      </c>
      <c r="P1272" s="8">
        <f t="shared" ca="1" si="73"/>
        <v>0</v>
      </c>
      <c r="Q1272" s="8">
        <f ca="1">CEILING(R1271*(IF(N1272&lt;=IF($B$2=0,0,OFFSET(Sheet2!$B$1,Sheet1!$B$2-1,0)),$B$1/(365*100),$B$3/(365*100)))*100,1)/100</f>
        <v>222.42</v>
      </c>
      <c r="R1272" s="9">
        <f t="shared" ca="1" si="74"/>
        <v>545066.32353385072</v>
      </c>
    </row>
    <row r="1273" spans="1:18" x14ac:dyDescent="0.25">
      <c r="A1273">
        <v>13</v>
      </c>
      <c r="B1273">
        <v>5.9</v>
      </c>
      <c r="C1273">
        <v>2</v>
      </c>
      <c r="D1273">
        <v>15.9</v>
      </c>
      <c r="E1273">
        <v>29</v>
      </c>
      <c r="F1273">
        <v>4.1141856577654332E-2</v>
      </c>
      <c r="G1273" t="str">
        <f t="shared" si="75"/>
        <v>Insert into BlueCreditTypeRainbow Values (13, 5.9, 2, 15.9, 29, 0.0411418565776543)</v>
      </c>
      <c r="N1273" s="4">
        <v>1270</v>
      </c>
      <c r="O1273" s="8">
        <f>$B$7*COUNTIF(Sheet2!$B$1:$B$132,N1273)</f>
        <v>0</v>
      </c>
      <c r="P1273" s="8">
        <f t="shared" ca="1" si="73"/>
        <v>0</v>
      </c>
      <c r="Q1273" s="8">
        <f ca="1">CEILING(R1272*(IF(N1273&lt;=IF($B$2=0,0,OFFSET(Sheet2!$B$1,Sheet1!$B$2-1,0)),$B$1/(365*100),$B$3/(365*100)))*100,1)/100</f>
        <v>222.51</v>
      </c>
      <c r="R1273" s="9">
        <f t="shared" ca="1" si="74"/>
        <v>545288.83353385073</v>
      </c>
    </row>
    <row r="1274" spans="1:18" x14ac:dyDescent="0.25">
      <c r="A1274">
        <v>13</v>
      </c>
      <c r="B1274">
        <v>5.9</v>
      </c>
      <c r="C1274">
        <v>2</v>
      </c>
      <c r="D1274">
        <v>15.9</v>
      </c>
      <c r="E1274">
        <v>30</v>
      </c>
      <c r="F1274">
        <v>4.001797236386178E-2</v>
      </c>
      <c r="G1274" t="str">
        <f t="shared" si="75"/>
        <v>Insert into BlueCreditTypeRainbow Values (13, 5.9, 2, 15.9, 30, 0.0400179723638618)</v>
      </c>
      <c r="N1274" s="4">
        <v>1271</v>
      </c>
      <c r="O1274" s="8">
        <f>$B$7*COUNTIF(Sheet2!$B$1:$B$132,N1274)</f>
        <v>0</v>
      </c>
      <c r="P1274" s="8">
        <f t="shared" ca="1" si="73"/>
        <v>0</v>
      </c>
      <c r="Q1274" s="8">
        <f ca="1">CEILING(R1273*(IF(N1274&lt;=IF($B$2=0,0,OFFSET(Sheet2!$B$1,Sheet1!$B$2-1,0)),$B$1/(365*100),$B$3/(365*100)))*100,1)/100</f>
        <v>222.6</v>
      </c>
      <c r="R1274" s="9">
        <f t="shared" ca="1" si="74"/>
        <v>545511.43353385071</v>
      </c>
    </row>
    <row r="1275" spans="1:18" x14ac:dyDescent="0.25">
      <c r="A1275">
        <v>13</v>
      </c>
      <c r="B1275">
        <v>5.9</v>
      </c>
      <c r="C1275">
        <v>1</v>
      </c>
      <c r="D1275">
        <v>15.9</v>
      </c>
      <c r="E1275">
        <v>18</v>
      </c>
      <c r="F1275">
        <v>6.2340378888888846E-2</v>
      </c>
      <c r="G1275" t="str">
        <f t="shared" si="75"/>
        <v>Insert into BlueCreditTypeRainbow Values (13, 5.9, 1, 15.9, 18, 0.0623403788888888)</v>
      </c>
      <c r="N1275" s="4">
        <v>1272</v>
      </c>
      <c r="O1275" s="8">
        <f>$B$7*COUNTIF(Sheet2!$B$1:$B$132,N1275)</f>
        <v>0</v>
      </c>
      <c r="P1275" s="8">
        <f t="shared" ca="1" si="73"/>
        <v>0</v>
      </c>
      <c r="Q1275" s="8">
        <f ca="1">CEILING(R1274*(IF(N1275&lt;=IF($B$2=0,0,OFFSET(Sheet2!$B$1,Sheet1!$B$2-1,0)),$B$1/(365*100),$B$3/(365*100)))*100,1)/100</f>
        <v>222.69</v>
      </c>
      <c r="R1275" s="9">
        <f t="shared" ca="1" si="74"/>
        <v>545734.12353385065</v>
      </c>
    </row>
    <row r="1276" spans="1:18" x14ac:dyDescent="0.25">
      <c r="A1276">
        <v>13</v>
      </c>
      <c r="B1276">
        <v>5.9</v>
      </c>
      <c r="C1276">
        <v>1</v>
      </c>
      <c r="D1276">
        <v>15.9</v>
      </c>
      <c r="E1276">
        <v>19</v>
      </c>
      <c r="F1276">
        <v>5.9436401631031789E-2</v>
      </c>
      <c r="G1276" t="str">
        <f t="shared" si="75"/>
        <v>Insert into BlueCreditTypeRainbow Values (13, 5.9, 1, 15.9, 19, 0.0594364016310318)</v>
      </c>
      <c r="N1276" s="4">
        <v>1273</v>
      </c>
      <c r="O1276" s="8">
        <f>$B$7*COUNTIF(Sheet2!$B$1:$B$132,N1276)</f>
        <v>0</v>
      </c>
      <c r="P1276" s="8">
        <f t="shared" ca="1" si="73"/>
        <v>0</v>
      </c>
      <c r="Q1276" s="8">
        <f ca="1">CEILING(R1275*(IF(N1276&lt;=IF($B$2=0,0,OFFSET(Sheet2!$B$1,Sheet1!$B$2-1,0)),$B$1/(365*100),$B$3/(365*100)))*100,1)/100</f>
        <v>222.78</v>
      </c>
      <c r="R1276" s="9">
        <f t="shared" ca="1" si="74"/>
        <v>545956.90353385068</v>
      </c>
    </row>
    <row r="1277" spans="1:18" x14ac:dyDescent="0.25">
      <c r="A1277">
        <v>13</v>
      </c>
      <c r="B1277">
        <v>5.9</v>
      </c>
      <c r="C1277">
        <v>1</v>
      </c>
      <c r="D1277">
        <v>15.9</v>
      </c>
      <c r="E1277">
        <v>20</v>
      </c>
      <c r="F1277">
        <v>5.6823766000000053E-2</v>
      </c>
      <c r="G1277" t="str">
        <f t="shared" si="75"/>
        <v>Insert into BlueCreditTypeRainbow Values (13, 5.9, 1, 15.9, 20, 0.0568237660000001)</v>
      </c>
      <c r="N1277" s="4">
        <v>1274</v>
      </c>
      <c r="O1277" s="8">
        <f>$B$7*COUNTIF(Sheet2!$B$1:$B$132,N1277)</f>
        <v>0</v>
      </c>
      <c r="P1277" s="8">
        <f t="shared" ca="1" si="73"/>
        <v>0</v>
      </c>
      <c r="Q1277" s="8">
        <f ca="1">CEILING(R1276*(IF(N1277&lt;=IF($B$2=0,0,OFFSET(Sheet2!$B$1,Sheet1!$B$2-1,0)),$B$1/(365*100),$B$3/(365*100)))*100,1)/100</f>
        <v>222.88</v>
      </c>
      <c r="R1277" s="9">
        <f t="shared" ca="1" si="74"/>
        <v>546179.78353385068</v>
      </c>
    </row>
    <row r="1278" spans="1:18" x14ac:dyDescent="0.25">
      <c r="A1278">
        <v>13</v>
      </c>
      <c r="B1278">
        <v>5.9</v>
      </c>
      <c r="C1278">
        <v>1</v>
      </c>
      <c r="D1278">
        <v>15.9</v>
      </c>
      <c r="E1278">
        <v>21</v>
      </c>
      <c r="F1278">
        <v>5.4461903333333395E-2</v>
      </c>
      <c r="G1278" t="str">
        <f t="shared" si="75"/>
        <v>Insert into BlueCreditTypeRainbow Values (13, 5.9, 1, 15.9, 21, 0.0544619033333334)</v>
      </c>
      <c r="N1278" s="4">
        <v>1275</v>
      </c>
      <c r="O1278" s="8">
        <f>$B$7*COUNTIF(Sheet2!$B$1:$B$132,N1278)</f>
        <v>0</v>
      </c>
      <c r="P1278" s="8">
        <f t="shared" ca="1" si="73"/>
        <v>0</v>
      </c>
      <c r="Q1278" s="8">
        <f ca="1">CEILING(R1277*(IF(N1278&lt;=IF($B$2=0,0,OFFSET(Sheet2!$B$1,Sheet1!$B$2-1,0)),$B$1/(365*100),$B$3/(365*100)))*100,1)/100</f>
        <v>222.97</v>
      </c>
      <c r="R1278" s="9">
        <f t="shared" ca="1" si="74"/>
        <v>546402.75353385066</v>
      </c>
    </row>
    <row r="1279" spans="1:18" x14ac:dyDescent="0.25">
      <c r="A1279">
        <v>13</v>
      </c>
      <c r="B1279">
        <v>5.9</v>
      </c>
      <c r="C1279">
        <v>1</v>
      </c>
      <c r="D1279">
        <v>15.9</v>
      </c>
      <c r="E1279">
        <v>22</v>
      </c>
      <c r="F1279">
        <v>5.231563638637575E-2</v>
      </c>
      <c r="G1279" t="str">
        <f t="shared" si="75"/>
        <v>Insert into BlueCreditTypeRainbow Values (13, 5.9, 1, 15.9, 22, 0.0523156363863757)</v>
      </c>
      <c r="N1279" s="4">
        <v>1276</v>
      </c>
      <c r="O1279" s="8">
        <f>$B$7*COUNTIF(Sheet2!$B$1:$B$132,N1279)</f>
        <v>0</v>
      </c>
      <c r="P1279" s="8">
        <f t="shared" ca="1" si="73"/>
        <v>0</v>
      </c>
      <c r="Q1279" s="8">
        <f ca="1">CEILING(R1278*(IF(N1279&lt;=IF($B$2=0,0,OFFSET(Sheet2!$B$1,Sheet1!$B$2-1,0)),$B$1/(365*100),$B$3/(365*100)))*100,1)/100</f>
        <v>223.06</v>
      </c>
      <c r="R1279" s="9">
        <f t="shared" ca="1" si="74"/>
        <v>546625.81353385071</v>
      </c>
    </row>
    <row r="1280" spans="1:18" x14ac:dyDescent="0.25">
      <c r="A1280">
        <v>13</v>
      </c>
      <c r="B1280">
        <v>5.9</v>
      </c>
      <c r="C1280">
        <v>1</v>
      </c>
      <c r="D1280">
        <v>15.9</v>
      </c>
      <c r="E1280">
        <v>23</v>
      </c>
      <c r="F1280">
        <v>5.0357730456715627E-2</v>
      </c>
      <c r="G1280" t="str">
        <f t="shared" si="75"/>
        <v>Insert into BlueCreditTypeRainbow Values (13, 5.9, 1, 15.9, 23, 0.0503577304567156)</v>
      </c>
      <c r="N1280" s="4">
        <v>1277</v>
      </c>
      <c r="O1280" s="8">
        <f>$B$7*COUNTIF(Sheet2!$B$1:$B$132,N1280)</f>
        <v>0</v>
      </c>
      <c r="P1280" s="8">
        <f t="shared" ca="1" si="73"/>
        <v>0</v>
      </c>
      <c r="Q1280" s="8">
        <f ca="1">CEILING(R1279*(IF(N1280&lt;=IF($B$2=0,0,OFFSET(Sheet2!$B$1,Sheet1!$B$2-1,0)),$B$1/(365*100),$B$3/(365*100)))*100,1)/100</f>
        <v>223.15</v>
      </c>
      <c r="R1280" s="9">
        <f t="shared" ca="1" si="74"/>
        <v>546848.96353385074</v>
      </c>
    </row>
    <row r="1281" spans="1:18" x14ac:dyDescent="0.25">
      <c r="A1281">
        <v>13</v>
      </c>
      <c r="B1281">
        <v>5.9</v>
      </c>
      <c r="C1281">
        <v>1</v>
      </c>
      <c r="D1281">
        <v>15.9</v>
      </c>
      <c r="E1281">
        <v>24</v>
      </c>
      <c r="F1281">
        <v>4.8563821278688794E-2</v>
      </c>
      <c r="G1281" t="str">
        <f t="shared" si="75"/>
        <v>Insert into BlueCreditTypeRainbow Values (13, 5.9, 1, 15.9, 24, 0.0485638212786888)</v>
      </c>
      <c r="N1281" s="4">
        <v>1278</v>
      </c>
      <c r="O1281" s="8">
        <f>$B$7*COUNTIF(Sheet2!$B$1:$B$132,N1281)</f>
        <v>0</v>
      </c>
      <c r="P1281" s="8">
        <f t="shared" ca="1" si="73"/>
        <v>0</v>
      </c>
      <c r="Q1281" s="8">
        <f ca="1">CEILING(R1280*(IF(N1281&lt;=IF($B$2=0,0,OFFSET(Sheet2!$B$1,Sheet1!$B$2-1,0)),$B$1/(365*100),$B$3/(365*100)))*100,1)/100</f>
        <v>223.24</v>
      </c>
      <c r="R1281" s="9">
        <f t="shared" ca="1" si="74"/>
        <v>547072.20353385073</v>
      </c>
    </row>
    <row r="1282" spans="1:18" x14ac:dyDescent="0.25">
      <c r="A1282">
        <v>13</v>
      </c>
      <c r="B1282">
        <v>5.9</v>
      </c>
      <c r="C1282">
        <v>1</v>
      </c>
      <c r="D1282">
        <v>15.9</v>
      </c>
      <c r="E1282">
        <v>25</v>
      </c>
      <c r="F1282">
        <v>4.69149812348649E-2</v>
      </c>
      <c r="G1282" t="str">
        <f t="shared" si="75"/>
        <v>Insert into BlueCreditTypeRainbow Values (13, 5.9, 1, 15.9, 25, 0.0469149812348649)</v>
      </c>
      <c r="N1282" s="4">
        <v>1279</v>
      </c>
      <c r="O1282" s="8">
        <f>$B$7*COUNTIF(Sheet2!$B$1:$B$132,N1282)</f>
        <v>0</v>
      </c>
      <c r="P1282" s="8">
        <f t="shared" ca="1" si="73"/>
        <v>0</v>
      </c>
      <c r="Q1282" s="8">
        <f ca="1">CEILING(R1281*(IF(N1282&lt;=IF($B$2=0,0,OFFSET(Sheet2!$B$1,Sheet1!$B$2-1,0)),$B$1/(365*100),$B$3/(365*100)))*100,1)/100</f>
        <v>223.33</v>
      </c>
      <c r="R1282" s="9">
        <f t="shared" ca="1" si="74"/>
        <v>547295.53353385068</v>
      </c>
    </row>
    <row r="1283" spans="1:18" x14ac:dyDescent="0.25">
      <c r="A1283">
        <v>13</v>
      </c>
      <c r="B1283">
        <v>5.9</v>
      </c>
      <c r="C1283">
        <v>1</v>
      </c>
      <c r="D1283">
        <v>15.9</v>
      </c>
      <c r="E1283">
        <v>26</v>
      </c>
      <c r="F1283">
        <v>4.5394404230769222E-2</v>
      </c>
      <c r="G1283" t="str">
        <f t="shared" si="75"/>
        <v>Insert into BlueCreditTypeRainbow Values (13, 5.9, 1, 15.9, 26, 0.0453944042307692)</v>
      </c>
      <c r="N1283" s="4">
        <v>1280</v>
      </c>
      <c r="O1283" s="8">
        <f>$B$7*COUNTIF(Sheet2!$B$1:$B$132,N1283)</f>
        <v>0</v>
      </c>
      <c r="P1283" s="8">
        <f t="shared" ca="1" si="73"/>
        <v>0</v>
      </c>
      <c r="Q1283" s="8">
        <f ca="1">CEILING(R1282*(IF(N1283&lt;=IF($B$2=0,0,OFFSET(Sheet2!$B$1,Sheet1!$B$2-1,0)),$B$1/(365*100),$B$3/(365*100)))*100,1)/100</f>
        <v>223.42</v>
      </c>
      <c r="R1283" s="9">
        <f t="shared" ca="1" si="74"/>
        <v>547518.95353385073</v>
      </c>
    </row>
    <row r="1284" spans="1:18" x14ac:dyDescent="0.25">
      <c r="A1284">
        <v>13</v>
      </c>
      <c r="B1284">
        <v>5.9</v>
      </c>
      <c r="C1284">
        <v>1</v>
      </c>
      <c r="D1284">
        <v>15.9</v>
      </c>
      <c r="E1284">
        <v>27</v>
      </c>
      <c r="F1284">
        <v>4.3987237423519294E-2</v>
      </c>
      <c r="G1284" t="str">
        <f t="shared" si="75"/>
        <v>Insert into BlueCreditTypeRainbow Values (13, 5.9, 1, 15.9, 27, 0.0439872374235193)</v>
      </c>
      <c r="N1284" s="4">
        <v>1281</v>
      </c>
      <c r="O1284" s="8">
        <f>$B$7*COUNTIF(Sheet2!$B$1:$B$132,N1284)</f>
        <v>21157.10552356458</v>
      </c>
      <c r="P1284" s="8">
        <f t="shared" ca="1" si="73"/>
        <v>20933.595523564582</v>
      </c>
      <c r="Q1284" s="8">
        <f ca="1">CEILING(R1283*(IF(N1284&lt;=IF($B$2=0,0,OFFSET(Sheet2!$B$1,Sheet1!$B$2-1,0)),$B$1/(365*100),$B$3/(365*100)))*100,1)/100</f>
        <v>223.51</v>
      </c>
      <c r="R1284" s="9">
        <f t="shared" ca="1" si="74"/>
        <v>526585.35801028612</v>
      </c>
    </row>
    <row r="1285" spans="1:18" x14ac:dyDescent="0.25">
      <c r="A1285">
        <v>13</v>
      </c>
      <c r="B1285">
        <v>5.9</v>
      </c>
      <c r="C1285">
        <v>1</v>
      </c>
      <c r="D1285">
        <v>15.9</v>
      </c>
      <c r="E1285">
        <v>28</v>
      </c>
      <c r="F1285">
        <v>4.2681890714285763E-2</v>
      </c>
      <c r="G1285" t="str">
        <f t="shared" si="75"/>
        <v>Insert into BlueCreditTypeRainbow Values (13, 5.9, 1, 15.9, 28, 0.0426818907142858)</v>
      </c>
      <c r="N1285" s="4">
        <v>1282</v>
      </c>
      <c r="O1285" s="8">
        <f>$B$7*COUNTIF(Sheet2!$B$1:$B$132,N1285)</f>
        <v>0</v>
      </c>
      <c r="P1285" s="8">
        <f t="shared" ref="P1285:P1348" ca="1" si="76">IF(O1285-Q1285&gt; 0, O1285-Q1285, 0)</f>
        <v>0</v>
      </c>
      <c r="Q1285" s="8">
        <f ca="1">CEILING(R1284*(IF(N1285&lt;=IF($B$2=0,0,OFFSET(Sheet2!$B$1,Sheet1!$B$2-1,0)),$B$1/(365*100),$B$3/(365*100)))*100,1)/100</f>
        <v>214.97</v>
      </c>
      <c r="R1285" s="9">
        <f t="shared" ref="R1285:R1348" ca="1" si="77">R1284+Q1285-O1285</f>
        <v>526800.32801028609</v>
      </c>
    </row>
    <row r="1286" spans="1:18" x14ac:dyDescent="0.25">
      <c r="A1286">
        <v>13</v>
      </c>
      <c r="B1286">
        <v>5.9</v>
      </c>
      <c r="C1286">
        <v>1</v>
      </c>
      <c r="D1286">
        <v>15.9</v>
      </c>
      <c r="E1286">
        <v>29</v>
      </c>
      <c r="F1286">
        <v>4.1467300344827672E-2</v>
      </c>
      <c r="G1286" t="str">
        <f t="shared" si="75"/>
        <v>Insert into BlueCreditTypeRainbow Values (13, 5.9, 1, 15.9, 29, 0.0414673003448277)</v>
      </c>
      <c r="N1286" s="4">
        <v>1283</v>
      </c>
      <c r="O1286" s="8">
        <f>$B$7*COUNTIF(Sheet2!$B$1:$B$132,N1286)</f>
        <v>0</v>
      </c>
      <c r="P1286" s="8">
        <f t="shared" ca="1" si="76"/>
        <v>0</v>
      </c>
      <c r="Q1286" s="8">
        <f ca="1">CEILING(R1285*(IF(N1286&lt;=IF($B$2=0,0,OFFSET(Sheet2!$B$1,Sheet1!$B$2-1,0)),$B$1/(365*100),$B$3/(365*100)))*100,1)/100</f>
        <v>215.05</v>
      </c>
      <c r="R1286" s="9">
        <f t="shared" ca="1" si="77"/>
        <v>527015.37801028613</v>
      </c>
    </row>
    <row r="1287" spans="1:18" x14ac:dyDescent="0.25">
      <c r="A1287">
        <v>13</v>
      </c>
      <c r="B1287">
        <v>5.9</v>
      </c>
      <c r="C1287">
        <v>1</v>
      </c>
      <c r="D1287">
        <v>15.9</v>
      </c>
      <c r="E1287">
        <v>30</v>
      </c>
      <c r="F1287">
        <v>4.0334889025368539E-2</v>
      </c>
      <c r="G1287" t="str">
        <f t="shared" si="75"/>
        <v>Insert into BlueCreditTypeRainbow Values (13, 5.9, 1, 15.9, 30, 0.0403348890253685)</v>
      </c>
      <c r="N1287" s="4">
        <v>1284</v>
      </c>
      <c r="O1287" s="8">
        <f>$B$7*COUNTIF(Sheet2!$B$1:$B$132,N1287)</f>
        <v>0</v>
      </c>
      <c r="P1287" s="8">
        <f t="shared" ca="1" si="76"/>
        <v>0</v>
      </c>
      <c r="Q1287" s="8">
        <f ca="1">CEILING(R1286*(IF(N1287&lt;=IF($B$2=0,0,OFFSET(Sheet2!$B$1,Sheet1!$B$2-1,0)),$B$1/(365*100),$B$3/(365*100)))*100,1)/100</f>
        <v>215.14</v>
      </c>
      <c r="R1287" s="9">
        <f t="shared" ca="1" si="77"/>
        <v>527230.51801028615</v>
      </c>
    </row>
    <row r="1288" spans="1:18" x14ac:dyDescent="0.25">
      <c r="A1288">
        <v>13</v>
      </c>
      <c r="B1288">
        <v>5.9</v>
      </c>
      <c r="C1288">
        <v>0</v>
      </c>
      <c r="D1288">
        <v>15.9</v>
      </c>
      <c r="E1288">
        <v>18</v>
      </c>
      <c r="F1288">
        <v>6.2871930610112162E-2</v>
      </c>
      <c r="G1288" t="str">
        <f t="shared" si="75"/>
        <v>Insert into BlueCreditTypeRainbow Values (13, 5.9, 0, 15.9, 18, 0.0628719306101122)</v>
      </c>
      <c r="N1288" s="4">
        <v>1285</v>
      </c>
      <c r="O1288" s="8">
        <f>$B$7*COUNTIF(Sheet2!$B$1:$B$132,N1288)</f>
        <v>0</v>
      </c>
      <c r="P1288" s="8">
        <f t="shared" ca="1" si="76"/>
        <v>0</v>
      </c>
      <c r="Q1288" s="8">
        <f ca="1">CEILING(R1287*(IF(N1288&lt;=IF($B$2=0,0,OFFSET(Sheet2!$B$1,Sheet1!$B$2-1,0)),$B$1/(365*100),$B$3/(365*100)))*100,1)/100</f>
        <v>215.23</v>
      </c>
      <c r="R1288" s="9">
        <f t="shared" ca="1" si="77"/>
        <v>527445.74801028613</v>
      </c>
    </row>
    <row r="1289" spans="1:18" x14ac:dyDescent="0.25">
      <c r="A1289">
        <v>13</v>
      </c>
      <c r="B1289">
        <v>5.9</v>
      </c>
      <c r="C1289">
        <v>0</v>
      </c>
      <c r="D1289">
        <v>15.9</v>
      </c>
      <c r="E1289">
        <v>19</v>
      </c>
      <c r="F1289">
        <v>5.9943198426104204E-2</v>
      </c>
      <c r="G1289" t="str">
        <f t="shared" si="75"/>
        <v>Insert into BlueCreditTypeRainbow Values (13, 5.9, 0, 15.9, 19, 0.0599431984261042)</v>
      </c>
      <c r="N1289" s="4">
        <v>1286</v>
      </c>
      <c r="O1289" s="8">
        <f>$B$7*COUNTIF(Sheet2!$B$1:$B$132,N1289)</f>
        <v>0</v>
      </c>
      <c r="P1289" s="8">
        <f t="shared" ca="1" si="76"/>
        <v>0</v>
      </c>
      <c r="Q1289" s="8">
        <f ca="1">CEILING(R1288*(IF(N1289&lt;=IF($B$2=0,0,OFFSET(Sheet2!$B$1,Sheet1!$B$2-1,0)),$B$1/(365*100),$B$3/(365*100)))*100,1)/100</f>
        <v>215.32</v>
      </c>
      <c r="R1289" s="9">
        <f t="shared" ca="1" si="77"/>
        <v>527661.06801028608</v>
      </c>
    </row>
    <row r="1290" spans="1:18" x14ac:dyDescent="0.25">
      <c r="A1290">
        <v>13</v>
      </c>
      <c r="B1290">
        <v>5.9</v>
      </c>
      <c r="C1290">
        <v>0</v>
      </c>
      <c r="D1290">
        <v>15.9</v>
      </c>
      <c r="E1290">
        <v>20</v>
      </c>
      <c r="F1290">
        <v>5.7308291017768367E-2</v>
      </c>
      <c r="G1290" t="str">
        <f t="shared" si="75"/>
        <v>Insert into BlueCreditTypeRainbow Values (13, 5.9, 0, 15.9, 20, 0.0573082910177684)</v>
      </c>
      <c r="N1290" s="4">
        <v>1287</v>
      </c>
      <c r="O1290" s="8">
        <f>$B$7*COUNTIF(Sheet2!$B$1:$B$132,N1290)</f>
        <v>0</v>
      </c>
      <c r="P1290" s="8">
        <f t="shared" ca="1" si="76"/>
        <v>0</v>
      </c>
      <c r="Q1290" s="8">
        <f ca="1">CEILING(R1289*(IF(N1290&lt;=IF($B$2=0,0,OFFSET(Sheet2!$B$1,Sheet1!$B$2-1,0)),$B$1/(365*100),$B$3/(365*100)))*100,1)/100</f>
        <v>215.41</v>
      </c>
      <c r="R1290" s="9">
        <f t="shared" ca="1" si="77"/>
        <v>527876.47801028611</v>
      </c>
    </row>
    <row r="1291" spans="1:18" x14ac:dyDescent="0.25">
      <c r="A1291">
        <v>13</v>
      </c>
      <c r="B1291">
        <v>5.9</v>
      </c>
      <c r="C1291">
        <v>0</v>
      </c>
      <c r="D1291">
        <v>15.9</v>
      </c>
      <c r="E1291">
        <v>21</v>
      </c>
      <c r="F1291">
        <v>5.492627861611292E-2</v>
      </c>
      <c r="G1291" t="str">
        <f t="shared" si="75"/>
        <v>Insert into BlueCreditTypeRainbow Values (13, 5.9, 0, 15.9, 21, 0.0549262786161129)</v>
      </c>
      <c r="N1291" s="4">
        <v>1288</v>
      </c>
      <c r="O1291" s="8">
        <f>$B$7*COUNTIF(Sheet2!$B$1:$B$132,N1291)</f>
        <v>0</v>
      </c>
      <c r="P1291" s="8">
        <f t="shared" ca="1" si="76"/>
        <v>0</v>
      </c>
      <c r="Q1291" s="8">
        <f ca="1">CEILING(R1290*(IF(N1291&lt;=IF($B$2=0,0,OFFSET(Sheet2!$B$1,Sheet1!$B$2-1,0)),$B$1/(365*100),$B$3/(365*100)))*100,1)/100</f>
        <v>215.49</v>
      </c>
      <c r="R1291" s="9">
        <f t="shared" ca="1" si="77"/>
        <v>528091.9680102861</v>
      </c>
    </row>
    <row r="1292" spans="1:18" x14ac:dyDescent="0.25">
      <c r="A1292">
        <v>13</v>
      </c>
      <c r="B1292">
        <v>5.9</v>
      </c>
      <c r="C1292">
        <v>0</v>
      </c>
      <c r="D1292">
        <v>15.9</v>
      </c>
      <c r="E1292">
        <v>22</v>
      </c>
      <c r="F1292">
        <v>5.2761716844002708E-2</v>
      </c>
      <c r="G1292" t="str">
        <f t="shared" si="75"/>
        <v>Insert into BlueCreditTypeRainbow Values (13, 5.9, 0, 15.9, 22, 0.0527617168440027)</v>
      </c>
      <c r="N1292" s="4">
        <v>1289</v>
      </c>
      <c r="O1292" s="8">
        <f>$B$7*COUNTIF(Sheet2!$B$1:$B$132,N1292)</f>
        <v>0</v>
      </c>
      <c r="P1292" s="8">
        <f t="shared" ca="1" si="76"/>
        <v>0</v>
      </c>
      <c r="Q1292" s="8">
        <f ca="1">CEILING(R1291*(IF(N1292&lt;=IF($B$2=0,0,OFFSET(Sheet2!$B$1,Sheet1!$B$2-1,0)),$B$1/(365*100),$B$3/(365*100)))*100,1)/100</f>
        <v>215.58</v>
      </c>
      <c r="R1292" s="9">
        <f t="shared" ca="1" si="77"/>
        <v>528307.54801028606</v>
      </c>
    </row>
    <row r="1293" spans="1:18" x14ac:dyDescent="0.25">
      <c r="A1293">
        <v>13</v>
      </c>
      <c r="B1293">
        <v>5.9</v>
      </c>
      <c r="C1293">
        <v>0</v>
      </c>
      <c r="D1293">
        <v>15.9</v>
      </c>
      <c r="E1293">
        <v>23</v>
      </c>
      <c r="F1293">
        <v>5.0787116105153164E-2</v>
      </c>
      <c r="G1293" t="str">
        <f t="shared" si="75"/>
        <v>Insert into BlueCreditTypeRainbow Values (13, 5.9, 0, 15.9, 23, 0.0507871161051532)</v>
      </c>
      <c r="N1293" s="4">
        <v>1290</v>
      </c>
      <c r="O1293" s="8">
        <f>$B$7*COUNTIF(Sheet2!$B$1:$B$132,N1293)</f>
        <v>0</v>
      </c>
      <c r="P1293" s="8">
        <f t="shared" ca="1" si="76"/>
        <v>0</v>
      </c>
      <c r="Q1293" s="8">
        <f ca="1">CEILING(R1292*(IF(N1293&lt;=IF($B$2=0,0,OFFSET(Sheet2!$B$1,Sheet1!$B$2-1,0)),$B$1/(365*100),$B$3/(365*100)))*100,1)/100</f>
        <v>215.67</v>
      </c>
      <c r="R1293" s="9">
        <f t="shared" ca="1" si="77"/>
        <v>528523.2180102861</v>
      </c>
    </row>
    <row r="1294" spans="1:18" x14ac:dyDescent="0.25">
      <c r="A1294">
        <v>13</v>
      </c>
      <c r="B1294">
        <v>5.9</v>
      </c>
      <c r="C1294">
        <v>0</v>
      </c>
      <c r="D1294">
        <v>15.9</v>
      </c>
      <c r="E1294">
        <v>24</v>
      </c>
      <c r="F1294">
        <v>4.897792045686316E-2</v>
      </c>
      <c r="G1294" t="str">
        <f t="shared" si="75"/>
        <v>Insert into BlueCreditTypeRainbow Values (13, 5.9, 0, 15.9, 24, 0.0489779204568632)</v>
      </c>
      <c r="N1294" s="4">
        <v>1291</v>
      </c>
      <c r="O1294" s="8">
        <f>$B$7*COUNTIF(Sheet2!$B$1:$B$132,N1294)</f>
        <v>0</v>
      </c>
      <c r="P1294" s="8">
        <f t="shared" ca="1" si="76"/>
        <v>0</v>
      </c>
      <c r="Q1294" s="8">
        <f ca="1">CEILING(R1293*(IF(N1294&lt;=IF($B$2=0,0,OFFSET(Sheet2!$B$1,Sheet1!$B$2-1,0)),$B$1/(365*100),$B$3/(365*100)))*100,1)/100</f>
        <v>215.76</v>
      </c>
      <c r="R1294" s="9">
        <f t="shared" ca="1" si="77"/>
        <v>528738.97801028611</v>
      </c>
    </row>
    <row r="1295" spans="1:18" x14ac:dyDescent="0.25">
      <c r="A1295">
        <v>13</v>
      </c>
      <c r="B1295">
        <v>5.9</v>
      </c>
      <c r="C1295">
        <v>0</v>
      </c>
      <c r="D1295">
        <v>15.9</v>
      </c>
      <c r="E1295">
        <v>25</v>
      </c>
      <c r="F1295">
        <v>4.7315008799999989E-2</v>
      </c>
      <c r="G1295" t="str">
        <f t="shared" ref="G1295:G1358" si="78">CONCATENATE("Insert into BlueCreditTypeRainbow Values (",A1295,", ",B1295,", ",C1295,", ",D1295,", ",E1295,", ",F1295,")")</f>
        <v>Insert into BlueCreditTypeRainbow Values (13, 5.9, 0, 15.9, 25, 0.0473150088)</v>
      </c>
      <c r="N1295" s="4">
        <v>1292</v>
      </c>
      <c r="O1295" s="8">
        <f>$B$7*COUNTIF(Sheet2!$B$1:$B$132,N1295)</f>
        <v>0</v>
      </c>
      <c r="P1295" s="8">
        <f t="shared" ca="1" si="76"/>
        <v>0</v>
      </c>
      <c r="Q1295" s="8">
        <f ca="1">CEILING(R1294*(IF(N1295&lt;=IF($B$2=0,0,OFFSET(Sheet2!$B$1,Sheet1!$B$2-1,0)),$B$1/(365*100),$B$3/(365*100)))*100,1)/100</f>
        <v>215.85</v>
      </c>
      <c r="R1295" s="9">
        <f t="shared" ca="1" si="77"/>
        <v>528954.82801028609</v>
      </c>
    </row>
    <row r="1296" spans="1:18" x14ac:dyDescent="0.25">
      <c r="A1296">
        <v>13</v>
      </c>
      <c r="B1296">
        <v>5.9</v>
      </c>
      <c r="C1296">
        <v>0</v>
      </c>
      <c r="D1296">
        <v>15.9</v>
      </c>
      <c r="E1296">
        <v>26</v>
      </c>
      <c r="F1296">
        <v>4.5781476153846194E-2</v>
      </c>
      <c r="G1296" t="str">
        <f t="shared" si="78"/>
        <v>Insert into BlueCreditTypeRainbow Values (13, 5.9, 0, 15.9, 26, 0.0457814761538462)</v>
      </c>
      <c r="N1296" s="4">
        <v>1293</v>
      </c>
      <c r="O1296" s="8">
        <f>$B$7*COUNTIF(Sheet2!$B$1:$B$132,N1296)</f>
        <v>0</v>
      </c>
      <c r="P1296" s="8">
        <f t="shared" ca="1" si="76"/>
        <v>0</v>
      </c>
      <c r="Q1296" s="8">
        <f ca="1">CEILING(R1295*(IF(N1296&lt;=IF($B$2=0,0,OFFSET(Sheet2!$B$1,Sheet1!$B$2-1,0)),$B$1/(365*100),$B$3/(365*100)))*100,1)/100</f>
        <v>215.93</v>
      </c>
      <c r="R1296" s="9">
        <f t="shared" ca="1" si="77"/>
        <v>529170.75801028614</v>
      </c>
    </row>
    <row r="1297" spans="1:18" x14ac:dyDescent="0.25">
      <c r="A1297">
        <v>13</v>
      </c>
      <c r="B1297">
        <v>5.9</v>
      </c>
      <c r="C1297">
        <v>0</v>
      </c>
      <c r="D1297">
        <v>15.9</v>
      </c>
      <c r="E1297">
        <v>27</v>
      </c>
      <c r="F1297">
        <v>4.4362304075639923E-2</v>
      </c>
      <c r="G1297" t="str">
        <f t="shared" si="78"/>
        <v>Insert into BlueCreditTypeRainbow Values (13, 5.9, 0, 15.9, 27, 0.0443623040756399)</v>
      </c>
      <c r="N1297" s="4">
        <v>1294</v>
      </c>
      <c r="O1297" s="8">
        <f>$B$7*COUNTIF(Sheet2!$B$1:$B$132,N1297)</f>
        <v>0</v>
      </c>
      <c r="P1297" s="8">
        <f t="shared" ca="1" si="76"/>
        <v>0</v>
      </c>
      <c r="Q1297" s="8">
        <f ca="1">CEILING(R1296*(IF(N1297&lt;=IF($B$2=0,0,OFFSET(Sheet2!$B$1,Sheet1!$B$2-1,0)),$B$1/(365*100),$B$3/(365*100)))*100,1)/100</f>
        <v>216.02</v>
      </c>
      <c r="R1297" s="9">
        <f t="shared" ca="1" si="77"/>
        <v>529386.77801028616</v>
      </c>
    </row>
    <row r="1298" spans="1:18" x14ac:dyDescent="0.25">
      <c r="A1298">
        <v>13</v>
      </c>
      <c r="B1298">
        <v>5.9</v>
      </c>
      <c r="C1298">
        <v>0</v>
      </c>
      <c r="D1298">
        <v>15.9</v>
      </c>
      <c r="E1298">
        <v>28</v>
      </c>
      <c r="F1298">
        <v>4.3045826792726234E-2</v>
      </c>
      <c r="G1298" t="str">
        <f t="shared" si="78"/>
        <v>Insert into BlueCreditTypeRainbow Values (13, 5.9, 0, 15.9, 28, 0.0430458267927262)</v>
      </c>
      <c r="N1298" s="4">
        <v>1295</v>
      </c>
      <c r="O1298" s="8">
        <f>$B$7*COUNTIF(Sheet2!$B$1:$B$132,N1298)</f>
        <v>0</v>
      </c>
      <c r="P1298" s="8">
        <f t="shared" ca="1" si="76"/>
        <v>0</v>
      </c>
      <c r="Q1298" s="8">
        <f ca="1">CEILING(R1297*(IF(N1298&lt;=IF($B$2=0,0,OFFSET(Sheet2!$B$1,Sheet1!$B$2-1,0)),$B$1/(365*100),$B$3/(365*100)))*100,1)/100</f>
        <v>216.11</v>
      </c>
      <c r="R1298" s="9">
        <f t="shared" ca="1" si="77"/>
        <v>529602.88801028614</v>
      </c>
    </row>
    <row r="1299" spans="1:18" x14ac:dyDescent="0.25">
      <c r="A1299">
        <v>13</v>
      </c>
      <c r="B1299">
        <v>5.9</v>
      </c>
      <c r="C1299">
        <v>0</v>
      </c>
      <c r="D1299">
        <v>15.9</v>
      </c>
      <c r="E1299">
        <v>29</v>
      </c>
      <c r="F1299">
        <v>4.1820880034067753E-2</v>
      </c>
      <c r="G1299" t="str">
        <f t="shared" si="78"/>
        <v>Insert into BlueCreditTypeRainbow Values (13, 5.9, 0, 15.9, 29, 0.0418208800340678)</v>
      </c>
      <c r="N1299" s="4">
        <v>1296</v>
      </c>
      <c r="O1299" s="8">
        <f>$B$7*COUNTIF(Sheet2!$B$1:$B$132,N1299)</f>
        <v>0</v>
      </c>
      <c r="P1299" s="8">
        <f t="shared" ca="1" si="76"/>
        <v>0</v>
      </c>
      <c r="Q1299" s="8">
        <f ca="1">CEILING(R1298*(IF(N1299&lt;=IF($B$2=0,0,OFFSET(Sheet2!$B$1,Sheet1!$B$2-1,0)),$B$1/(365*100),$B$3/(365*100)))*100,1)/100</f>
        <v>216.2</v>
      </c>
      <c r="R1299" s="9">
        <f t="shared" ca="1" si="77"/>
        <v>529819.0880102861</v>
      </c>
    </row>
    <row r="1300" spans="1:18" x14ac:dyDescent="0.25">
      <c r="A1300">
        <v>13</v>
      </c>
      <c r="B1300">
        <v>5.9</v>
      </c>
      <c r="C1300">
        <v>0</v>
      </c>
      <c r="D1300">
        <v>15.9</v>
      </c>
      <c r="E1300">
        <v>30</v>
      </c>
      <c r="F1300">
        <v>4.0678815333333278E-2</v>
      </c>
      <c r="G1300" t="str">
        <f t="shared" si="78"/>
        <v>Insert into BlueCreditTypeRainbow Values (13, 5.9, 0, 15.9, 30, 0.0406788153333333)</v>
      </c>
      <c r="N1300" s="4">
        <v>1297</v>
      </c>
      <c r="O1300" s="8">
        <f>$B$7*COUNTIF(Sheet2!$B$1:$B$132,N1300)</f>
        <v>0</v>
      </c>
      <c r="P1300" s="8">
        <f t="shared" ca="1" si="76"/>
        <v>0</v>
      </c>
      <c r="Q1300" s="8">
        <f ca="1">CEILING(R1299*(IF(N1300&lt;=IF($B$2=0,0,OFFSET(Sheet2!$B$1,Sheet1!$B$2-1,0)),$B$1/(365*100),$B$3/(365*100)))*100,1)/100</f>
        <v>216.29</v>
      </c>
      <c r="R1300" s="9">
        <f t="shared" ca="1" si="77"/>
        <v>530035.37801028613</v>
      </c>
    </row>
    <row r="1301" spans="1:18" x14ac:dyDescent="0.25">
      <c r="A1301">
        <v>14</v>
      </c>
      <c r="B1301">
        <v>6.9</v>
      </c>
      <c r="C1301">
        <v>12</v>
      </c>
      <c r="D1301">
        <v>16.899999999999999</v>
      </c>
      <c r="E1301">
        <v>24</v>
      </c>
      <c r="F1301">
        <v>4.5894684176977618E-2</v>
      </c>
      <c r="G1301" t="str">
        <f t="shared" si="78"/>
        <v>Insert into BlueCreditTypeRainbow Values (14, 6.9, 12, 16.9, 24, 0.0458946841769776)</v>
      </c>
      <c r="N1301" s="4">
        <v>1298</v>
      </c>
      <c r="O1301" s="8">
        <f>$B$7*COUNTIF(Sheet2!$B$1:$B$132,N1301)</f>
        <v>0</v>
      </c>
      <c r="P1301" s="8">
        <f t="shared" ca="1" si="76"/>
        <v>0</v>
      </c>
      <c r="Q1301" s="8">
        <f ca="1">CEILING(R1300*(IF(N1301&lt;=IF($B$2=0,0,OFFSET(Sheet2!$B$1,Sheet1!$B$2-1,0)),$B$1/(365*100),$B$3/(365*100)))*100,1)/100</f>
        <v>216.38</v>
      </c>
      <c r="R1301" s="9">
        <f t="shared" ca="1" si="77"/>
        <v>530251.75801028614</v>
      </c>
    </row>
    <row r="1302" spans="1:18" x14ac:dyDescent="0.25">
      <c r="A1302">
        <v>14</v>
      </c>
      <c r="B1302">
        <v>6.9</v>
      </c>
      <c r="C1302">
        <v>12</v>
      </c>
      <c r="D1302">
        <v>16.899999999999999</v>
      </c>
      <c r="E1302">
        <v>25</v>
      </c>
      <c r="F1302">
        <v>4.4315129232294456E-2</v>
      </c>
      <c r="G1302" t="str">
        <f t="shared" si="78"/>
        <v>Insert into BlueCreditTypeRainbow Values (14, 6.9, 12, 16.9, 25, 0.0443151292322945)</v>
      </c>
      <c r="N1302" s="4">
        <v>1299</v>
      </c>
      <c r="O1302" s="8">
        <f>$B$7*COUNTIF(Sheet2!$B$1:$B$132,N1302)</f>
        <v>0</v>
      </c>
      <c r="P1302" s="8">
        <f t="shared" ca="1" si="76"/>
        <v>0</v>
      </c>
      <c r="Q1302" s="8">
        <f ca="1">CEILING(R1301*(IF(N1302&lt;=IF($B$2=0,0,OFFSET(Sheet2!$B$1,Sheet1!$B$2-1,0)),$B$1/(365*100),$B$3/(365*100)))*100,1)/100</f>
        <v>216.46</v>
      </c>
      <c r="R1302" s="9">
        <f t="shared" ca="1" si="77"/>
        <v>530468.2180102861</v>
      </c>
    </row>
    <row r="1303" spans="1:18" x14ac:dyDescent="0.25">
      <c r="A1303">
        <v>14</v>
      </c>
      <c r="B1303">
        <v>6.9</v>
      </c>
      <c r="C1303">
        <v>12</v>
      </c>
      <c r="D1303">
        <v>16.899999999999999</v>
      </c>
      <c r="E1303">
        <v>26</v>
      </c>
      <c r="F1303">
        <v>4.2860993816567987E-2</v>
      </c>
      <c r="G1303" t="str">
        <f t="shared" si="78"/>
        <v>Insert into BlueCreditTypeRainbow Values (14, 6.9, 12, 16.9, 26, 0.042860993816568)</v>
      </c>
      <c r="N1303" s="4">
        <v>1300</v>
      </c>
      <c r="O1303" s="8">
        <f>$B$7*COUNTIF(Sheet2!$B$1:$B$132,N1303)</f>
        <v>0</v>
      </c>
      <c r="P1303" s="8">
        <f t="shared" ca="1" si="76"/>
        <v>0</v>
      </c>
      <c r="Q1303" s="8">
        <f ca="1">CEILING(R1302*(IF(N1303&lt;=IF($B$2=0,0,OFFSET(Sheet2!$B$1,Sheet1!$B$2-1,0)),$B$1/(365*100),$B$3/(365*100)))*100,1)/100</f>
        <v>216.55</v>
      </c>
      <c r="R1303" s="9">
        <f t="shared" ca="1" si="77"/>
        <v>530684.76801028615</v>
      </c>
    </row>
    <row r="1304" spans="1:18" x14ac:dyDescent="0.25">
      <c r="A1304">
        <v>14</v>
      </c>
      <c r="B1304">
        <v>6.9</v>
      </c>
      <c r="C1304">
        <v>12</v>
      </c>
      <c r="D1304">
        <v>16.899999999999999</v>
      </c>
      <c r="E1304">
        <v>27</v>
      </c>
      <c r="F1304">
        <v>4.1517450740740751E-2</v>
      </c>
      <c r="G1304" t="str">
        <f t="shared" si="78"/>
        <v>Insert into BlueCreditTypeRainbow Values (14, 6.9, 12, 16.9, 27, 0.0415174507407408)</v>
      </c>
      <c r="N1304" s="4">
        <v>1301</v>
      </c>
      <c r="O1304" s="8">
        <f>$B$7*COUNTIF(Sheet2!$B$1:$B$132,N1304)</f>
        <v>0</v>
      </c>
      <c r="P1304" s="8">
        <f t="shared" ca="1" si="76"/>
        <v>0</v>
      </c>
      <c r="Q1304" s="8">
        <f ca="1">CEILING(R1303*(IF(N1304&lt;=IF($B$2=0,0,OFFSET(Sheet2!$B$1,Sheet1!$B$2-1,0)),$B$1/(365*100),$B$3/(365*100)))*100,1)/100</f>
        <v>216.64</v>
      </c>
      <c r="R1304" s="9">
        <f t="shared" ca="1" si="77"/>
        <v>530901.40801028616</v>
      </c>
    </row>
    <row r="1305" spans="1:18" x14ac:dyDescent="0.25">
      <c r="A1305">
        <v>14</v>
      </c>
      <c r="B1305">
        <v>6.9</v>
      </c>
      <c r="C1305">
        <v>12</v>
      </c>
      <c r="D1305">
        <v>16.899999999999999</v>
      </c>
      <c r="E1305">
        <v>28</v>
      </c>
      <c r="F1305">
        <v>4.0273020390853016E-2</v>
      </c>
      <c r="G1305" t="str">
        <f t="shared" si="78"/>
        <v>Insert into BlueCreditTypeRainbow Values (14, 6.9, 12, 16.9, 28, 0.040273020390853)</v>
      </c>
      <c r="N1305" s="4">
        <v>1302</v>
      </c>
      <c r="O1305" s="8">
        <f>$B$7*COUNTIF(Sheet2!$B$1:$B$132,N1305)</f>
        <v>0</v>
      </c>
      <c r="P1305" s="8">
        <f t="shared" ca="1" si="76"/>
        <v>0</v>
      </c>
      <c r="Q1305" s="8">
        <f ca="1">CEILING(R1304*(IF(N1305&lt;=IF($B$2=0,0,OFFSET(Sheet2!$B$1,Sheet1!$B$2-1,0)),$B$1/(365*100),$B$3/(365*100)))*100,1)/100</f>
        <v>216.73</v>
      </c>
      <c r="R1305" s="9">
        <f t="shared" ca="1" si="77"/>
        <v>531118.13801028614</v>
      </c>
    </row>
    <row r="1306" spans="1:18" x14ac:dyDescent="0.25">
      <c r="A1306">
        <v>14</v>
      </c>
      <c r="B1306">
        <v>6.9</v>
      </c>
      <c r="C1306">
        <v>12</v>
      </c>
      <c r="D1306">
        <v>16.899999999999999</v>
      </c>
      <c r="E1306">
        <v>29</v>
      </c>
      <c r="F1306">
        <v>3.9116715526640165E-2</v>
      </c>
      <c r="G1306" t="str">
        <f t="shared" si="78"/>
        <v>Insert into BlueCreditTypeRainbow Values (14, 6.9, 12, 16.9, 29, 0.0391167155266402)</v>
      </c>
      <c r="N1306" s="4">
        <v>1303</v>
      </c>
      <c r="O1306" s="8">
        <f>$B$7*COUNTIF(Sheet2!$B$1:$B$132,N1306)</f>
        <v>0</v>
      </c>
      <c r="P1306" s="8">
        <f t="shared" ca="1" si="76"/>
        <v>0</v>
      </c>
      <c r="Q1306" s="8">
        <f ca="1">CEILING(R1305*(IF(N1306&lt;=IF($B$2=0,0,OFFSET(Sheet2!$B$1,Sheet1!$B$2-1,0)),$B$1/(365*100),$B$3/(365*100)))*100,1)/100</f>
        <v>216.82</v>
      </c>
      <c r="R1306" s="9">
        <f t="shared" ca="1" si="77"/>
        <v>531334.95801028609</v>
      </c>
    </row>
    <row r="1307" spans="1:18" x14ac:dyDescent="0.25">
      <c r="A1307">
        <v>14</v>
      </c>
      <c r="B1307">
        <v>6.9</v>
      </c>
      <c r="C1307">
        <v>12</v>
      </c>
      <c r="D1307">
        <v>16.899999999999999</v>
      </c>
      <c r="E1307">
        <v>30</v>
      </c>
      <c r="F1307">
        <v>3.8040084685444703E-2</v>
      </c>
      <c r="G1307" t="str">
        <f t="shared" si="78"/>
        <v>Insert into BlueCreditTypeRainbow Values (14, 6.9, 12, 16.9, 30, 0.0380400846854447)</v>
      </c>
      <c r="N1307" s="4">
        <v>1304</v>
      </c>
      <c r="O1307" s="8">
        <f>$B$7*COUNTIF(Sheet2!$B$1:$B$132,N1307)</f>
        <v>0</v>
      </c>
      <c r="P1307" s="8">
        <f t="shared" ca="1" si="76"/>
        <v>0</v>
      </c>
      <c r="Q1307" s="8">
        <f ca="1">CEILING(R1306*(IF(N1307&lt;=IF($B$2=0,0,OFFSET(Sheet2!$B$1,Sheet1!$B$2-1,0)),$B$1/(365*100),$B$3/(365*100)))*100,1)/100</f>
        <v>216.91</v>
      </c>
      <c r="R1307" s="9">
        <f t="shared" ca="1" si="77"/>
        <v>531551.86801028613</v>
      </c>
    </row>
    <row r="1308" spans="1:18" x14ac:dyDescent="0.25">
      <c r="A1308">
        <v>14</v>
      </c>
      <c r="B1308">
        <v>6.9</v>
      </c>
      <c r="C1308">
        <v>12</v>
      </c>
      <c r="D1308">
        <v>16.899999999999999</v>
      </c>
      <c r="E1308">
        <v>31</v>
      </c>
      <c r="F1308">
        <v>3.7034818397969398E-2</v>
      </c>
      <c r="G1308" t="str">
        <f t="shared" si="78"/>
        <v>Insert into BlueCreditTypeRainbow Values (14, 6.9, 12, 16.9, 31, 0.0370348183979694)</v>
      </c>
      <c r="N1308" s="4">
        <v>1305</v>
      </c>
      <c r="O1308" s="8">
        <f>$B$7*COUNTIF(Sheet2!$B$1:$B$132,N1308)</f>
        <v>0</v>
      </c>
      <c r="P1308" s="8">
        <f t="shared" ca="1" si="76"/>
        <v>0</v>
      </c>
      <c r="Q1308" s="8">
        <f ca="1">CEILING(R1307*(IF(N1308&lt;=IF($B$2=0,0,OFFSET(Sheet2!$B$1,Sheet1!$B$2-1,0)),$B$1/(365*100),$B$3/(365*100)))*100,1)/100</f>
        <v>216.99</v>
      </c>
      <c r="R1308" s="9">
        <f t="shared" ca="1" si="77"/>
        <v>531768.85801028612</v>
      </c>
    </row>
    <row r="1309" spans="1:18" x14ac:dyDescent="0.25">
      <c r="A1309">
        <v>14</v>
      </c>
      <c r="B1309">
        <v>6.9</v>
      </c>
      <c r="C1309">
        <v>12</v>
      </c>
      <c r="D1309">
        <v>16.899999999999999</v>
      </c>
      <c r="E1309">
        <v>32</v>
      </c>
      <c r="F1309">
        <v>3.6094129375000013E-2</v>
      </c>
      <c r="G1309" t="str">
        <f t="shared" si="78"/>
        <v>Insert into BlueCreditTypeRainbow Values (14, 6.9, 12, 16.9, 32, 0.036094129375)</v>
      </c>
      <c r="N1309" s="4">
        <v>1306</v>
      </c>
      <c r="O1309" s="8">
        <f>$B$7*COUNTIF(Sheet2!$B$1:$B$132,N1309)</f>
        <v>0</v>
      </c>
      <c r="P1309" s="8">
        <f t="shared" ca="1" si="76"/>
        <v>0</v>
      </c>
      <c r="Q1309" s="8">
        <f ca="1">CEILING(R1308*(IF(N1309&lt;=IF($B$2=0,0,OFFSET(Sheet2!$B$1,Sheet1!$B$2-1,0)),$B$1/(365*100),$B$3/(365*100)))*100,1)/100</f>
        <v>217.08</v>
      </c>
      <c r="R1309" s="9">
        <f t="shared" ca="1" si="77"/>
        <v>531985.93801028607</v>
      </c>
    </row>
    <row r="1310" spans="1:18" x14ac:dyDescent="0.25">
      <c r="A1310">
        <v>14</v>
      </c>
      <c r="B1310">
        <v>6.9</v>
      </c>
      <c r="C1310">
        <v>12</v>
      </c>
      <c r="D1310">
        <v>16.899999999999999</v>
      </c>
      <c r="E1310">
        <v>33</v>
      </c>
      <c r="F1310">
        <v>3.521246801916026E-2</v>
      </c>
      <c r="G1310" t="str">
        <f t="shared" si="78"/>
        <v>Insert into BlueCreditTypeRainbow Values (14, 6.9, 12, 16.9, 33, 0.0352124680191603)</v>
      </c>
      <c r="N1310" s="4">
        <v>1307</v>
      </c>
      <c r="O1310" s="8">
        <f>$B$7*COUNTIF(Sheet2!$B$1:$B$132,N1310)</f>
        <v>0</v>
      </c>
      <c r="P1310" s="8">
        <f t="shared" ca="1" si="76"/>
        <v>0</v>
      </c>
      <c r="Q1310" s="8">
        <f ca="1">CEILING(R1309*(IF(N1310&lt;=IF($B$2=0,0,OFFSET(Sheet2!$B$1,Sheet1!$B$2-1,0)),$B$1/(365*100),$B$3/(365*100)))*100,1)/100</f>
        <v>217.17</v>
      </c>
      <c r="R1310" s="9">
        <f t="shared" ca="1" si="77"/>
        <v>532203.10801028612</v>
      </c>
    </row>
    <row r="1311" spans="1:18" x14ac:dyDescent="0.25">
      <c r="A1311">
        <v>14</v>
      </c>
      <c r="B1311">
        <v>6.9</v>
      </c>
      <c r="C1311">
        <v>12</v>
      </c>
      <c r="D1311">
        <v>16.899999999999999</v>
      </c>
      <c r="E1311">
        <v>34</v>
      </c>
      <c r="F1311">
        <v>3.438416443294947E-2</v>
      </c>
      <c r="G1311" t="str">
        <f t="shared" si="78"/>
        <v>Insert into BlueCreditTypeRainbow Values (14, 6.9, 12, 16.9, 34, 0.0343841644329495)</v>
      </c>
      <c r="N1311" s="4">
        <v>1308</v>
      </c>
      <c r="O1311" s="8">
        <f>$B$7*COUNTIF(Sheet2!$B$1:$B$132,N1311)</f>
        <v>0</v>
      </c>
      <c r="P1311" s="8">
        <f t="shared" ca="1" si="76"/>
        <v>0</v>
      </c>
      <c r="Q1311" s="8">
        <f ca="1">CEILING(R1310*(IF(N1311&lt;=IF($B$2=0,0,OFFSET(Sheet2!$B$1,Sheet1!$B$2-1,0)),$B$1/(365*100),$B$3/(365*100)))*100,1)/100</f>
        <v>217.26</v>
      </c>
      <c r="R1311" s="9">
        <f t="shared" ca="1" si="77"/>
        <v>532420.36801028613</v>
      </c>
    </row>
    <row r="1312" spans="1:18" x14ac:dyDescent="0.25">
      <c r="A1312">
        <v>14</v>
      </c>
      <c r="B1312">
        <v>6.9</v>
      </c>
      <c r="C1312">
        <v>12</v>
      </c>
      <c r="D1312">
        <v>16.899999999999999</v>
      </c>
      <c r="E1312">
        <v>35</v>
      </c>
      <c r="F1312">
        <v>3.3604928581510957E-2</v>
      </c>
      <c r="G1312" t="str">
        <f t="shared" si="78"/>
        <v>Insert into BlueCreditTypeRainbow Values (14, 6.9, 12, 16.9, 35, 0.033604928581511)</v>
      </c>
      <c r="N1312" s="4">
        <v>1309</v>
      </c>
      <c r="O1312" s="8">
        <f>$B$7*COUNTIF(Sheet2!$B$1:$B$132,N1312)</f>
        <v>0</v>
      </c>
      <c r="P1312" s="8">
        <f t="shared" ca="1" si="76"/>
        <v>0</v>
      </c>
      <c r="Q1312" s="8">
        <f ca="1">CEILING(R1311*(IF(N1312&lt;=IF($B$2=0,0,OFFSET(Sheet2!$B$1,Sheet1!$B$2-1,0)),$B$1/(365*100),$B$3/(365*100)))*100,1)/100</f>
        <v>217.35</v>
      </c>
      <c r="R1312" s="9">
        <f t="shared" ca="1" si="77"/>
        <v>532637.7180102861</v>
      </c>
    </row>
    <row r="1313" spans="1:18" x14ac:dyDescent="0.25">
      <c r="A1313">
        <v>14</v>
      </c>
      <c r="B1313">
        <v>6.9</v>
      </c>
      <c r="C1313">
        <v>12</v>
      </c>
      <c r="D1313">
        <v>16.899999999999999</v>
      </c>
      <c r="E1313">
        <v>36</v>
      </c>
      <c r="F1313">
        <v>3.2870284192748261E-2</v>
      </c>
      <c r="G1313" t="str">
        <f t="shared" si="78"/>
        <v>Insert into BlueCreditTypeRainbow Values (14, 6.9, 12, 16.9, 36, 0.0328702841927483)</v>
      </c>
      <c r="N1313" s="4">
        <v>1310</v>
      </c>
      <c r="O1313" s="8">
        <f>$B$7*COUNTIF(Sheet2!$B$1:$B$132,N1313)</f>
        <v>0</v>
      </c>
      <c r="P1313" s="8">
        <f t="shared" ca="1" si="76"/>
        <v>0</v>
      </c>
      <c r="Q1313" s="8">
        <f ca="1">CEILING(R1312*(IF(N1313&lt;=IF($B$2=0,0,OFFSET(Sheet2!$B$1,Sheet1!$B$2-1,0)),$B$1/(365*100),$B$3/(365*100)))*100,1)/100</f>
        <v>217.44</v>
      </c>
      <c r="R1313" s="9">
        <f t="shared" ca="1" si="77"/>
        <v>532855.15801028605</v>
      </c>
    </row>
    <row r="1314" spans="1:18" x14ac:dyDescent="0.25">
      <c r="A1314">
        <v>14</v>
      </c>
      <c r="B1314">
        <v>6.9</v>
      </c>
      <c r="C1314">
        <v>11</v>
      </c>
      <c r="D1314">
        <v>16.899999999999999</v>
      </c>
      <c r="E1314">
        <v>24</v>
      </c>
      <c r="F1314">
        <v>4.6087854199349257E-2</v>
      </c>
      <c r="G1314" t="str">
        <f t="shared" si="78"/>
        <v>Insert into BlueCreditTypeRainbow Values (14, 6.9, 11, 16.9, 24, 0.0460878541993493)</v>
      </c>
      <c r="N1314" s="4">
        <v>1311</v>
      </c>
      <c r="O1314" s="8">
        <f>$B$7*COUNTIF(Sheet2!$B$1:$B$132,N1314)</f>
        <v>21157.10552356458</v>
      </c>
      <c r="P1314" s="8">
        <f t="shared" ca="1" si="76"/>
        <v>20939.575523564581</v>
      </c>
      <c r="Q1314" s="8">
        <f ca="1">CEILING(R1313*(IF(N1314&lt;=IF($B$2=0,0,OFFSET(Sheet2!$B$1,Sheet1!$B$2-1,0)),$B$1/(365*100),$B$3/(365*100)))*100,1)/100</f>
        <v>217.53</v>
      </c>
      <c r="R1314" s="9">
        <f t="shared" ca="1" si="77"/>
        <v>511915.58248672151</v>
      </c>
    </row>
    <row r="1315" spans="1:18" x14ac:dyDescent="0.25">
      <c r="A1315">
        <v>14</v>
      </c>
      <c r="B1315">
        <v>6.9</v>
      </c>
      <c r="C1315">
        <v>11</v>
      </c>
      <c r="D1315">
        <v>16.899999999999999</v>
      </c>
      <c r="E1315">
        <v>25</v>
      </c>
      <c r="F1315">
        <v>4.4507788835777135E-2</v>
      </c>
      <c r="G1315" t="str">
        <f t="shared" si="78"/>
        <v>Insert into BlueCreditTypeRainbow Values (14, 6.9, 11, 16.9, 25, 0.0445077888357771)</v>
      </c>
      <c r="N1315" s="4">
        <v>1312</v>
      </c>
      <c r="O1315" s="8">
        <f>$B$7*COUNTIF(Sheet2!$B$1:$B$132,N1315)</f>
        <v>0</v>
      </c>
      <c r="P1315" s="8">
        <f t="shared" ca="1" si="76"/>
        <v>0</v>
      </c>
      <c r="Q1315" s="8">
        <f ca="1">CEILING(R1314*(IF(N1315&lt;=IF($B$2=0,0,OFFSET(Sheet2!$B$1,Sheet1!$B$2-1,0)),$B$1/(365*100),$B$3/(365*100)))*100,1)/100</f>
        <v>208.98</v>
      </c>
      <c r="R1315" s="9">
        <f t="shared" ca="1" si="77"/>
        <v>512124.56248672149</v>
      </c>
    </row>
    <row r="1316" spans="1:18" x14ac:dyDescent="0.25">
      <c r="A1316">
        <v>14</v>
      </c>
      <c r="B1316">
        <v>6.9</v>
      </c>
      <c r="C1316">
        <v>11</v>
      </c>
      <c r="D1316">
        <v>16.899999999999999</v>
      </c>
      <c r="E1316">
        <v>26</v>
      </c>
      <c r="F1316">
        <v>4.3052808113018509E-2</v>
      </c>
      <c r="G1316" t="str">
        <f t="shared" si="78"/>
        <v>Insert into BlueCreditTypeRainbow Values (14, 6.9, 11, 16.9, 26, 0.0430528081130185)</v>
      </c>
      <c r="N1316" s="4">
        <v>1313</v>
      </c>
      <c r="O1316" s="8">
        <f>$B$7*COUNTIF(Sheet2!$B$1:$B$132,N1316)</f>
        <v>0</v>
      </c>
      <c r="P1316" s="8">
        <f t="shared" ca="1" si="76"/>
        <v>0</v>
      </c>
      <c r="Q1316" s="8">
        <f ca="1">CEILING(R1315*(IF(N1316&lt;=IF($B$2=0,0,OFFSET(Sheet2!$B$1,Sheet1!$B$2-1,0)),$B$1/(365*100),$B$3/(365*100)))*100,1)/100</f>
        <v>209.06</v>
      </c>
      <c r="R1316" s="9">
        <f t="shared" ca="1" si="77"/>
        <v>512333.62248672149</v>
      </c>
    </row>
    <row r="1317" spans="1:18" x14ac:dyDescent="0.25">
      <c r="A1317">
        <v>14</v>
      </c>
      <c r="B1317">
        <v>6.9</v>
      </c>
      <c r="C1317">
        <v>11</v>
      </c>
      <c r="D1317">
        <v>16.899999999999999</v>
      </c>
      <c r="E1317">
        <v>27</v>
      </c>
      <c r="F1317">
        <v>4.1708148925729521E-2</v>
      </c>
      <c r="G1317" t="str">
        <f t="shared" si="78"/>
        <v>Insert into BlueCreditTypeRainbow Values (14, 6.9, 11, 16.9, 27, 0.0417081489257295)</v>
      </c>
      <c r="N1317" s="4">
        <v>1314</v>
      </c>
      <c r="O1317" s="8">
        <f>$B$7*COUNTIF(Sheet2!$B$1:$B$132,N1317)</f>
        <v>0</v>
      </c>
      <c r="P1317" s="8">
        <f t="shared" ca="1" si="76"/>
        <v>0</v>
      </c>
      <c r="Q1317" s="8">
        <f ca="1">CEILING(R1316*(IF(N1317&lt;=IF($B$2=0,0,OFFSET(Sheet2!$B$1,Sheet1!$B$2-1,0)),$B$1/(365*100),$B$3/(365*100)))*100,1)/100</f>
        <v>209.15</v>
      </c>
      <c r="R1317" s="9">
        <f t="shared" ca="1" si="77"/>
        <v>512542.77248672151</v>
      </c>
    </row>
    <row r="1318" spans="1:18" x14ac:dyDescent="0.25">
      <c r="A1318">
        <v>14</v>
      </c>
      <c r="B1318">
        <v>6.9</v>
      </c>
      <c r="C1318">
        <v>11</v>
      </c>
      <c r="D1318">
        <v>16.899999999999999</v>
      </c>
      <c r="E1318">
        <v>28</v>
      </c>
      <c r="F1318">
        <v>4.0462400357142846E-2</v>
      </c>
      <c r="G1318" t="str">
        <f t="shared" si="78"/>
        <v>Insert into BlueCreditTypeRainbow Values (14, 6.9, 11, 16.9, 28, 0.0404624003571428)</v>
      </c>
      <c r="N1318" s="4">
        <v>1315</v>
      </c>
      <c r="O1318" s="8">
        <f>$B$7*COUNTIF(Sheet2!$B$1:$B$132,N1318)</f>
        <v>0</v>
      </c>
      <c r="P1318" s="8">
        <f t="shared" ca="1" si="76"/>
        <v>0</v>
      </c>
      <c r="Q1318" s="8">
        <f ca="1">CEILING(R1317*(IF(N1318&lt;=IF($B$2=0,0,OFFSET(Sheet2!$B$1,Sheet1!$B$2-1,0)),$B$1/(365*100),$B$3/(365*100)))*100,1)/100</f>
        <v>209.23</v>
      </c>
      <c r="R1318" s="9">
        <f t="shared" ca="1" si="77"/>
        <v>512752.0024867215</v>
      </c>
    </row>
    <row r="1319" spans="1:18" x14ac:dyDescent="0.25">
      <c r="A1319">
        <v>14</v>
      </c>
      <c r="B1319">
        <v>6.9</v>
      </c>
      <c r="C1319">
        <v>11</v>
      </c>
      <c r="D1319">
        <v>16.899999999999999</v>
      </c>
      <c r="E1319">
        <v>29</v>
      </c>
      <c r="F1319">
        <v>3.9304631384055565E-2</v>
      </c>
      <c r="G1319" t="str">
        <f t="shared" si="78"/>
        <v>Insert into BlueCreditTypeRainbow Values (14, 6.9, 11, 16.9, 29, 0.0393046313840556)</v>
      </c>
      <c r="N1319" s="4">
        <v>1316</v>
      </c>
      <c r="O1319" s="8">
        <f>$B$7*COUNTIF(Sheet2!$B$1:$B$132,N1319)</f>
        <v>0</v>
      </c>
      <c r="P1319" s="8">
        <f t="shared" ca="1" si="76"/>
        <v>0</v>
      </c>
      <c r="Q1319" s="8">
        <f ca="1">CEILING(R1318*(IF(N1319&lt;=IF($B$2=0,0,OFFSET(Sheet2!$B$1,Sheet1!$B$2-1,0)),$B$1/(365*100),$B$3/(365*100)))*100,1)/100</f>
        <v>209.32</v>
      </c>
      <c r="R1319" s="9">
        <f t="shared" ca="1" si="77"/>
        <v>512961.3224867215</v>
      </c>
    </row>
    <row r="1320" spans="1:18" x14ac:dyDescent="0.25">
      <c r="A1320">
        <v>14</v>
      </c>
      <c r="B1320">
        <v>6.9</v>
      </c>
      <c r="C1320">
        <v>11</v>
      </c>
      <c r="D1320">
        <v>16.899999999999999</v>
      </c>
      <c r="E1320">
        <v>30</v>
      </c>
      <c r="F1320">
        <v>3.8226429354122717E-2</v>
      </c>
      <c r="G1320" t="str">
        <f t="shared" si="78"/>
        <v>Insert into BlueCreditTypeRainbow Values (14, 6.9, 11, 16.9, 30, 0.0382264293541227)</v>
      </c>
      <c r="N1320" s="4">
        <v>1317</v>
      </c>
      <c r="O1320" s="8">
        <f>$B$7*COUNTIF(Sheet2!$B$1:$B$132,N1320)</f>
        <v>0</v>
      </c>
      <c r="P1320" s="8">
        <f t="shared" ca="1" si="76"/>
        <v>0</v>
      </c>
      <c r="Q1320" s="8">
        <f ca="1">CEILING(R1319*(IF(N1320&lt;=IF($B$2=0,0,OFFSET(Sheet2!$B$1,Sheet1!$B$2-1,0)),$B$1/(365*100),$B$3/(365*100)))*100,1)/100</f>
        <v>209.41</v>
      </c>
      <c r="R1320" s="9">
        <f t="shared" ca="1" si="77"/>
        <v>513170.73248672148</v>
      </c>
    </row>
    <row r="1321" spans="1:18" x14ac:dyDescent="0.25">
      <c r="A1321">
        <v>14</v>
      </c>
      <c r="B1321">
        <v>6.9</v>
      </c>
      <c r="C1321">
        <v>11</v>
      </c>
      <c r="D1321">
        <v>16.899999999999999</v>
      </c>
      <c r="E1321">
        <v>31</v>
      </c>
      <c r="F1321">
        <v>3.7219498082888429E-2</v>
      </c>
      <c r="G1321" t="str">
        <f t="shared" si="78"/>
        <v>Insert into BlueCreditTypeRainbow Values (14, 6.9, 11, 16.9, 31, 0.0372194980828884)</v>
      </c>
      <c r="N1321" s="4">
        <v>1318</v>
      </c>
      <c r="O1321" s="8">
        <f>$B$7*COUNTIF(Sheet2!$B$1:$B$132,N1321)</f>
        <v>0</v>
      </c>
      <c r="P1321" s="8">
        <f t="shared" ca="1" si="76"/>
        <v>0</v>
      </c>
      <c r="Q1321" s="8">
        <f ca="1">CEILING(R1320*(IF(N1321&lt;=IF($B$2=0,0,OFFSET(Sheet2!$B$1,Sheet1!$B$2-1,0)),$B$1/(365*100),$B$3/(365*100)))*100,1)/100</f>
        <v>209.49</v>
      </c>
      <c r="R1321" s="9">
        <f t="shared" ca="1" si="77"/>
        <v>513380.22248672147</v>
      </c>
    </row>
    <row r="1322" spans="1:18" x14ac:dyDescent="0.25">
      <c r="A1322">
        <v>14</v>
      </c>
      <c r="B1322">
        <v>6.9</v>
      </c>
      <c r="C1322">
        <v>11</v>
      </c>
      <c r="D1322">
        <v>16.899999999999999</v>
      </c>
      <c r="E1322">
        <v>32</v>
      </c>
      <c r="F1322">
        <v>3.6277102820384412E-2</v>
      </c>
      <c r="G1322" t="str">
        <f t="shared" si="78"/>
        <v>Insert into BlueCreditTypeRainbow Values (14, 6.9, 11, 16.9, 32, 0.0362771028203844)</v>
      </c>
      <c r="N1322" s="4">
        <v>1319</v>
      </c>
      <c r="O1322" s="8">
        <f>$B$7*COUNTIF(Sheet2!$B$1:$B$132,N1322)</f>
        <v>0</v>
      </c>
      <c r="P1322" s="8">
        <f t="shared" ca="1" si="76"/>
        <v>0</v>
      </c>
      <c r="Q1322" s="8">
        <f ca="1">CEILING(R1321*(IF(N1322&lt;=IF($B$2=0,0,OFFSET(Sheet2!$B$1,Sheet1!$B$2-1,0)),$B$1/(365*100),$B$3/(365*100)))*100,1)/100</f>
        <v>209.58</v>
      </c>
      <c r="R1322" s="9">
        <f t="shared" ca="1" si="77"/>
        <v>513589.80248672148</v>
      </c>
    </row>
    <row r="1323" spans="1:18" x14ac:dyDescent="0.25">
      <c r="A1323">
        <v>14</v>
      </c>
      <c r="B1323">
        <v>6.9</v>
      </c>
      <c r="C1323">
        <v>11</v>
      </c>
      <c r="D1323">
        <v>16.899999999999999</v>
      </c>
      <c r="E1323">
        <v>33</v>
      </c>
      <c r="F1323">
        <v>3.5393708017751428E-2</v>
      </c>
      <c r="G1323" t="str">
        <f t="shared" si="78"/>
        <v>Insert into BlueCreditTypeRainbow Values (14, 6.9, 11, 16.9, 33, 0.0353937080177514)</v>
      </c>
      <c r="N1323" s="4">
        <v>1320</v>
      </c>
      <c r="O1323" s="8">
        <f>$B$7*COUNTIF(Sheet2!$B$1:$B$132,N1323)</f>
        <v>0</v>
      </c>
      <c r="P1323" s="8">
        <f t="shared" ca="1" si="76"/>
        <v>0</v>
      </c>
      <c r="Q1323" s="8">
        <f ca="1">CEILING(R1322*(IF(N1323&lt;=IF($B$2=0,0,OFFSET(Sheet2!$B$1,Sheet1!$B$2-1,0)),$B$1/(365*100),$B$3/(365*100)))*100,1)/100</f>
        <v>209.66</v>
      </c>
      <c r="R1323" s="9">
        <f t="shared" ca="1" si="77"/>
        <v>513799.46248672146</v>
      </c>
    </row>
    <row r="1324" spans="1:18" x14ac:dyDescent="0.25">
      <c r="A1324">
        <v>14</v>
      </c>
      <c r="B1324">
        <v>6.9</v>
      </c>
      <c r="C1324">
        <v>11</v>
      </c>
      <c r="D1324">
        <v>16.899999999999999</v>
      </c>
      <c r="E1324">
        <v>34</v>
      </c>
      <c r="F1324">
        <v>3.4563633852241787E-2</v>
      </c>
      <c r="G1324" t="str">
        <f t="shared" si="78"/>
        <v>Insert into BlueCreditTypeRainbow Values (14, 6.9, 11, 16.9, 34, 0.0345636338522418)</v>
      </c>
      <c r="N1324" s="4">
        <v>1321</v>
      </c>
      <c r="O1324" s="8">
        <f>$B$7*COUNTIF(Sheet2!$B$1:$B$132,N1324)</f>
        <v>0</v>
      </c>
      <c r="P1324" s="8">
        <f t="shared" ca="1" si="76"/>
        <v>0</v>
      </c>
      <c r="Q1324" s="8">
        <f ca="1">CEILING(R1323*(IF(N1324&lt;=IF($B$2=0,0,OFFSET(Sheet2!$B$1,Sheet1!$B$2-1,0)),$B$1/(365*100),$B$3/(365*100)))*100,1)/100</f>
        <v>209.75</v>
      </c>
      <c r="R1324" s="9">
        <f t="shared" ca="1" si="77"/>
        <v>514009.21248672146</v>
      </c>
    </row>
    <row r="1325" spans="1:18" x14ac:dyDescent="0.25">
      <c r="A1325">
        <v>14</v>
      </c>
      <c r="B1325">
        <v>6.9</v>
      </c>
      <c r="C1325">
        <v>11</v>
      </c>
      <c r="D1325">
        <v>16.899999999999999</v>
      </c>
      <c r="E1325">
        <v>35</v>
      </c>
      <c r="F1325">
        <v>3.378264342857145E-2</v>
      </c>
      <c r="G1325" t="str">
        <f t="shared" si="78"/>
        <v>Insert into BlueCreditTypeRainbow Values (14, 6.9, 11, 16.9, 35, 0.0337826434285715)</v>
      </c>
      <c r="N1325" s="4">
        <v>1322</v>
      </c>
      <c r="O1325" s="8">
        <f>$B$7*COUNTIF(Sheet2!$B$1:$B$132,N1325)</f>
        <v>0</v>
      </c>
      <c r="P1325" s="8">
        <f t="shared" ca="1" si="76"/>
        <v>0</v>
      </c>
      <c r="Q1325" s="8">
        <f ca="1">CEILING(R1324*(IF(N1325&lt;=IF($B$2=0,0,OFFSET(Sheet2!$B$1,Sheet1!$B$2-1,0)),$B$1/(365*100),$B$3/(365*100)))*100,1)/100</f>
        <v>209.83</v>
      </c>
      <c r="R1325" s="9">
        <f t="shared" ca="1" si="77"/>
        <v>514219.04248672148</v>
      </c>
    </row>
    <row r="1326" spans="1:18" x14ac:dyDescent="0.25">
      <c r="A1326">
        <v>14</v>
      </c>
      <c r="B1326">
        <v>6.9</v>
      </c>
      <c r="C1326">
        <v>11</v>
      </c>
      <c r="D1326">
        <v>16.899999999999999</v>
      </c>
      <c r="E1326">
        <v>36</v>
      </c>
      <c r="F1326">
        <v>3.3046230024025541E-2</v>
      </c>
      <c r="G1326" t="str">
        <f t="shared" si="78"/>
        <v>Insert into BlueCreditTypeRainbow Values (14, 6.9, 11, 16.9, 36, 0.0330462300240255)</v>
      </c>
      <c r="N1326" s="4">
        <v>1323</v>
      </c>
      <c r="O1326" s="8">
        <f>$B$7*COUNTIF(Sheet2!$B$1:$B$132,N1326)</f>
        <v>0</v>
      </c>
      <c r="P1326" s="8">
        <f t="shared" ca="1" si="76"/>
        <v>0</v>
      </c>
      <c r="Q1326" s="8">
        <f ca="1">CEILING(R1325*(IF(N1326&lt;=IF($B$2=0,0,OFFSET(Sheet2!$B$1,Sheet1!$B$2-1,0)),$B$1/(365*100),$B$3/(365*100)))*100,1)/100</f>
        <v>209.92</v>
      </c>
      <c r="R1326" s="9">
        <f t="shared" ca="1" si="77"/>
        <v>514428.96248672146</v>
      </c>
    </row>
    <row r="1327" spans="1:18" x14ac:dyDescent="0.25">
      <c r="A1327">
        <v>14</v>
      </c>
      <c r="B1327">
        <v>6.9</v>
      </c>
      <c r="C1327">
        <v>10</v>
      </c>
      <c r="D1327">
        <v>16.899999999999999</v>
      </c>
      <c r="E1327">
        <v>24</v>
      </c>
      <c r="F1327">
        <v>4.6304522500000028E-2</v>
      </c>
      <c r="G1327" t="str">
        <f t="shared" si="78"/>
        <v>Insert into BlueCreditTypeRainbow Values (14, 6.9, 10, 16.9, 24, 0.0463045225)</v>
      </c>
      <c r="N1327" s="4">
        <v>1324</v>
      </c>
      <c r="O1327" s="8">
        <f>$B$7*COUNTIF(Sheet2!$B$1:$B$132,N1327)</f>
        <v>0</v>
      </c>
      <c r="P1327" s="8">
        <f t="shared" ca="1" si="76"/>
        <v>0</v>
      </c>
      <c r="Q1327" s="8">
        <f ca="1">CEILING(R1326*(IF(N1327&lt;=IF($B$2=0,0,OFFSET(Sheet2!$B$1,Sheet1!$B$2-1,0)),$B$1/(365*100),$B$3/(365*100)))*100,1)/100</f>
        <v>210</v>
      </c>
      <c r="R1327" s="9">
        <f t="shared" ca="1" si="77"/>
        <v>514638.96248672146</v>
      </c>
    </row>
    <row r="1328" spans="1:18" x14ac:dyDescent="0.25">
      <c r="A1328">
        <v>14</v>
      </c>
      <c r="B1328">
        <v>6.9</v>
      </c>
      <c r="C1328">
        <v>10</v>
      </c>
      <c r="D1328">
        <v>16.899999999999999</v>
      </c>
      <c r="E1328">
        <v>25</v>
      </c>
      <c r="F1328">
        <v>4.4722837635760314E-2</v>
      </c>
      <c r="G1328" t="str">
        <f t="shared" si="78"/>
        <v>Insert into BlueCreditTypeRainbow Values (14, 6.9, 10, 16.9, 25, 0.0447228376357603)</v>
      </c>
      <c r="N1328" s="4">
        <v>1325</v>
      </c>
      <c r="O1328" s="8">
        <f>$B$7*COUNTIF(Sheet2!$B$1:$B$132,N1328)</f>
        <v>0</v>
      </c>
      <c r="P1328" s="8">
        <f t="shared" ca="1" si="76"/>
        <v>0</v>
      </c>
      <c r="Q1328" s="8">
        <f ca="1">CEILING(R1327*(IF(N1328&lt;=IF($B$2=0,0,OFFSET(Sheet2!$B$1,Sheet1!$B$2-1,0)),$B$1/(365*100),$B$3/(365*100)))*100,1)/100</f>
        <v>210.09</v>
      </c>
      <c r="R1328" s="9">
        <f t="shared" ca="1" si="77"/>
        <v>514849.05248672148</v>
      </c>
    </row>
    <row r="1329" spans="1:18" x14ac:dyDescent="0.25">
      <c r="A1329">
        <v>14</v>
      </c>
      <c r="B1329">
        <v>6.9</v>
      </c>
      <c r="C1329">
        <v>10</v>
      </c>
      <c r="D1329">
        <v>16.899999999999999</v>
      </c>
      <c r="E1329">
        <v>26</v>
      </c>
      <c r="F1329">
        <v>4.3265999664532921E-2</v>
      </c>
      <c r="G1329" t="str">
        <f t="shared" si="78"/>
        <v>Insert into BlueCreditTypeRainbow Values (14, 6.9, 10, 16.9, 26, 0.0432659996645329)</v>
      </c>
      <c r="N1329" s="4">
        <v>1326</v>
      </c>
      <c r="O1329" s="8">
        <f>$B$7*COUNTIF(Sheet2!$B$1:$B$132,N1329)</f>
        <v>0</v>
      </c>
      <c r="P1329" s="8">
        <f t="shared" ca="1" si="76"/>
        <v>0</v>
      </c>
      <c r="Q1329" s="8">
        <f ca="1">CEILING(R1328*(IF(N1329&lt;=IF($B$2=0,0,OFFSET(Sheet2!$B$1,Sheet1!$B$2-1,0)),$B$1/(365*100),$B$3/(365*100)))*100,1)/100</f>
        <v>210.18</v>
      </c>
      <c r="R1329" s="9">
        <f t="shared" ca="1" si="77"/>
        <v>515059.23248672148</v>
      </c>
    </row>
    <row r="1330" spans="1:18" x14ac:dyDescent="0.25">
      <c r="A1330">
        <v>14</v>
      </c>
      <c r="B1330">
        <v>6.9</v>
      </c>
      <c r="C1330">
        <v>10</v>
      </c>
      <c r="D1330">
        <v>16.899999999999999</v>
      </c>
      <c r="E1330">
        <v>27</v>
      </c>
      <c r="F1330">
        <v>4.1919326701820393E-2</v>
      </c>
      <c r="G1330" t="str">
        <f t="shared" si="78"/>
        <v>Insert into BlueCreditTypeRainbow Values (14, 6.9, 10, 16.9, 27, 0.0419193267018204)</v>
      </c>
      <c r="N1330" s="4">
        <v>1327</v>
      </c>
      <c r="O1330" s="8">
        <f>$B$7*COUNTIF(Sheet2!$B$1:$B$132,N1330)</f>
        <v>0</v>
      </c>
      <c r="P1330" s="8">
        <f t="shared" ca="1" si="76"/>
        <v>0</v>
      </c>
      <c r="Q1330" s="8">
        <f ca="1">CEILING(R1329*(IF(N1330&lt;=IF($B$2=0,0,OFFSET(Sheet2!$B$1,Sheet1!$B$2-1,0)),$B$1/(365*100),$B$3/(365*100)))*100,1)/100</f>
        <v>210.26</v>
      </c>
      <c r="R1330" s="9">
        <f t="shared" ca="1" si="77"/>
        <v>515269.49248672149</v>
      </c>
    </row>
    <row r="1331" spans="1:18" x14ac:dyDescent="0.25">
      <c r="A1331">
        <v>14</v>
      </c>
      <c r="B1331">
        <v>6.9</v>
      </c>
      <c r="C1331">
        <v>10</v>
      </c>
      <c r="D1331">
        <v>16.899999999999999</v>
      </c>
      <c r="E1331">
        <v>28</v>
      </c>
      <c r="F1331">
        <v>4.0671442142857152E-2</v>
      </c>
      <c r="G1331" t="str">
        <f t="shared" si="78"/>
        <v>Insert into BlueCreditTypeRainbow Values (14, 6.9, 10, 16.9, 28, 0.0406714421428572)</v>
      </c>
      <c r="N1331" s="4">
        <v>1328</v>
      </c>
      <c r="O1331" s="8">
        <f>$B$7*COUNTIF(Sheet2!$B$1:$B$132,N1331)</f>
        <v>0</v>
      </c>
      <c r="P1331" s="8">
        <f t="shared" ca="1" si="76"/>
        <v>0</v>
      </c>
      <c r="Q1331" s="8">
        <f ca="1">CEILING(R1330*(IF(N1331&lt;=IF($B$2=0,0,OFFSET(Sheet2!$B$1,Sheet1!$B$2-1,0)),$B$1/(365*100),$B$3/(365*100)))*100,1)/100</f>
        <v>210.35</v>
      </c>
      <c r="R1331" s="9">
        <f t="shared" ca="1" si="77"/>
        <v>515479.84248672146</v>
      </c>
    </row>
    <row r="1332" spans="1:18" x14ac:dyDescent="0.25">
      <c r="A1332">
        <v>14</v>
      </c>
      <c r="B1332">
        <v>6.9</v>
      </c>
      <c r="C1332">
        <v>10</v>
      </c>
      <c r="D1332">
        <v>16.899999999999999</v>
      </c>
      <c r="E1332">
        <v>29</v>
      </c>
      <c r="F1332">
        <v>3.9511455204977848E-2</v>
      </c>
      <c r="G1332" t="str">
        <f t="shared" si="78"/>
        <v>Insert into BlueCreditTypeRainbow Values (14, 6.9, 10, 16.9, 29, 0.0395114552049778)</v>
      </c>
      <c r="N1332" s="4">
        <v>1329</v>
      </c>
      <c r="O1332" s="8">
        <f>$B$7*COUNTIF(Sheet2!$B$1:$B$132,N1332)</f>
        <v>0</v>
      </c>
      <c r="P1332" s="8">
        <f t="shared" ca="1" si="76"/>
        <v>0</v>
      </c>
      <c r="Q1332" s="8">
        <f ca="1">CEILING(R1331*(IF(N1332&lt;=IF($B$2=0,0,OFFSET(Sheet2!$B$1,Sheet1!$B$2-1,0)),$B$1/(365*100),$B$3/(365*100)))*100,1)/100</f>
        <v>210.43</v>
      </c>
      <c r="R1332" s="9">
        <f t="shared" ca="1" si="77"/>
        <v>515690.27248672146</v>
      </c>
    </row>
    <row r="1333" spans="1:18" x14ac:dyDescent="0.25">
      <c r="A1333">
        <v>14</v>
      </c>
      <c r="B1333">
        <v>6.9</v>
      </c>
      <c r="C1333">
        <v>10</v>
      </c>
      <c r="D1333">
        <v>16.899999999999999</v>
      </c>
      <c r="E1333">
        <v>30</v>
      </c>
      <c r="F1333">
        <v>3.8430991697080252E-2</v>
      </c>
      <c r="G1333" t="str">
        <f t="shared" si="78"/>
        <v>Insert into BlueCreditTypeRainbow Values (14, 6.9, 10, 16.9, 30, 0.0384309916970803)</v>
      </c>
      <c r="N1333" s="4">
        <v>1330</v>
      </c>
      <c r="O1333" s="8">
        <f>$B$7*COUNTIF(Sheet2!$B$1:$B$132,N1333)</f>
        <v>0</v>
      </c>
      <c r="P1333" s="8">
        <f t="shared" ca="1" si="76"/>
        <v>0</v>
      </c>
      <c r="Q1333" s="8">
        <f ca="1">CEILING(R1332*(IF(N1333&lt;=IF($B$2=0,0,OFFSET(Sheet2!$B$1,Sheet1!$B$2-1,0)),$B$1/(365*100),$B$3/(365*100)))*100,1)/100</f>
        <v>210.52</v>
      </c>
      <c r="R1333" s="9">
        <f t="shared" ca="1" si="77"/>
        <v>515900.79248672148</v>
      </c>
    </row>
    <row r="1334" spans="1:18" x14ac:dyDescent="0.25">
      <c r="A1334">
        <v>14</v>
      </c>
      <c r="B1334">
        <v>6.9</v>
      </c>
      <c r="C1334">
        <v>10</v>
      </c>
      <c r="D1334">
        <v>16.899999999999999</v>
      </c>
      <c r="E1334">
        <v>31</v>
      </c>
      <c r="F1334">
        <v>3.7421787128122094E-2</v>
      </c>
      <c r="G1334" t="str">
        <f t="shared" si="78"/>
        <v>Insert into BlueCreditTypeRainbow Values (14, 6.9, 10, 16.9, 31, 0.0374217871281221)</v>
      </c>
      <c r="N1334" s="4">
        <v>1331</v>
      </c>
      <c r="O1334" s="8">
        <f>$B$7*COUNTIF(Sheet2!$B$1:$B$132,N1334)</f>
        <v>0</v>
      </c>
      <c r="P1334" s="8">
        <f t="shared" ca="1" si="76"/>
        <v>0</v>
      </c>
      <c r="Q1334" s="8">
        <f ca="1">CEILING(R1333*(IF(N1334&lt;=IF($B$2=0,0,OFFSET(Sheet2!$B$1,Sheet1!$B$2-1,0)),$B$1/(365*100),$B$3/(365*100)))*100,1)/100</f>
        <v>210.61</v>
      </c>
      <c r="R1334" s="9">
        <f t="shared" ca="1" si="77"/>
        <v>516111.40248672146</v>
      </c>
    </row>
    <row r="1335" spans="1:18" x14ac:dyDescent="0.25">
      <c r="A1335">
        <v>14</v>
      </c>
      <c r="B1335">
        <v>6.9</v>
      </c>
      <c r="C1335">
        <v>10</v>
      </c>
      <c r="D1335">
        <v>16.899999999999999</v>
      </c>
      <c r="E1335">
        <v>32</v>
      </c>
      <c r="F1335">
        <v>3.6477093749999981E-2</v>
      </c>
      <c r="G1335" t="str">
        <f t="shared" si="78"/>
        <v>Insert into BlueCreditTypeRainbow Values (14, 6.9, 10, 16.9, 32, 0.03647709375)</v>
      </c>
      <c r="N1335" s="4">
        <v>1332</v>
      </c>
      <c r="O1335" s="8">
        <f>$B$7*COUNTIF(Sheet2!$B$1:$B$132,N1335)</f>
        <v>0</v>
      </c>
      <c r="P1335" s="8">
        <f t="shared" ca="1" si="76"/>
        <v>0</v>
      </c>
      <c r="Q1335" s="8">
        <f ca="1">CEILING(R1334*(IF(N1335&lt;=IF($B$2=0,0,OFFSET(Sheet2!$B$1,Sheet1!$B$2-1,0)),$B$1/(365*100),$B$3/(365*100)))*100,1)/100</f>
        <v>210.69</v>
      </c>
      <c r="R1335" s="9">
        <f t="shared" ca="1" si="77"/>
        <v>516322.09248672146</v>
      </c>
    </row>
    <row r="1336" spans="1:18" x14ac:dyDescent="0.25">
      <c r="A1336">
        <v>14</v>
      </c>
      <c r="B1336">
        <v>6.9</v>
      </c>
      <c r="C1336">
        <v>10</v>
      </c>
      <c r="D1336">
        <v>16.899999999999999</v>
      </c>
      <c r="E1336">
        <v>33</v>
      </c>
      <c r="F1336">
        <v>3.5591410013955375E-2</v>
      </c>
      <c r="G1336" t="str">
        <f t="shared" si="78"/>
        <v>Insert into BlueCreditTypeRainbow Values (14, 6.9, 10, 16.9, 33, 0.0355914100139554)</v>
      </c>
      <c r="N1336" s="4">
        <v>1333</v>
      </c>
      <c r="O1336" s="8">
        <f>$B$7*COUNTIF(Sheet2!$B$1:$B$132,N1336)</f>
        <v>0</v>
      </c>
      <c r="P1336" s="8">
        <f t="shared" ca="1" si="76"/>
        <v>0</v>
      </c>
      <c r="Q1336" s="8">
        <f ca="1">CEILING(R1335*(IF(N1336&lt;=IF($B$2=0,0,OFFSET(Sheet2!$B$1,Sheet1!$B$2-1,0)),$B$1/(365*100),$B$3/(365*100)))*100,1)/100</f>
        <v>210.78</v>
      </c>
      <c r="R1336" s="9">
        <f t="shared" ca="1" si="77"/>
        <v>516532.87248672149</v>
      </c>
    </row>
    <row r="1337" spans="1:18" x14ac:dyDescent="0.25">
      <c r="A1337">
        <v>14</v>
      </c>
      <c r="B1337">
        <v>6.9</v>
      </c>
      <c r="C1337">
        <v>10</v>
      </c>
      <c r="D1337">
        <v>16.899999999999999</v>
      </c>
      <c r="E1337">
        <v>34</v>
      </c>
      <c r="F1337">
        <v>3.4759087378398341E-2</v>
      </c>
      <c r="G1337" t="str">
        <f t="shared" si="78"/>
        <v>Insert into BlueCreditTypeRainbow Values (14, 6.9, 10, 16.9, 34, 0.0347590873783983)</v>
      </c>
      <c r="N1337" s="4">
        <v>1334</v>
      </c>
      <c r="O1337" s="8">
        <f>$B$7*COUNTIF(Sheet2!$B$1:$B$132,N1337)</f>
        <v>0</v>
      </c>
      <c r="P1337" s="8">
        <f t="shared" ca="1" si="76"/>
        <v>0</v>
      </c>
      <c r="Q1337" s="8">
        <f ca="1">CEILING(R1336*(IF(N1337&lt;=IF($B$2=0,0,OFFSET(Sheet2!$B$1,Sheet1!$B$2-1,0)),$B$1/(365*100),$B$3/(365*100)))*100,1)/100</f>
        <v>210.86</v>
      </c>
      <c r="R1337" s="9">
        <f t="shared" ca="1" si="77"/>
        <v>516743.73248672148</v>
      </c>
    </row>
    <row r="1338" spans="1:18" x14ac:dyDescent="0.25">
      <c r="A1338">
        <v>14</v>
      </c>
      <c r="B1338">
        <v>6.9</v>
      </c>
      <c r="C1338">
        <v>10</v>
      </c>
      <c r="D1338">
        <v>16.899999999999999</v>
      </c>
      <c r="E1338">
        <v>35</v>
      </c>
      <c r="F1338">
        <v>3.3975858035020429E-2</v>
      </c>
      <c r="G1338" t="str">
        <f t="shared" si="78"/>
        <v>Insert into BlueCreditTypeRainbow Values (14, 6.9, 10, 16.9, 35, 0.0339758580350204)</v>
      </c>
      <c r="N1338" s="4">
        <v>1335</v>
      </c>
      <c r="O1338" s="8">
        <f>$B$7*COUNTIF(Sheet2!$B$1:$B$132,N1338)</f>
        <v>0</v>
      </c>
      <c r="P1338" s="8">
        <f t="shared" ca="1" si="76"/>
        <v>0</v>
      </c>
      <c r="Q1338" s="8">
        <f ca="1">CEILING(R1337*(IF(N1338&lt;=IF($B$2=0,0,OFFSET(Sheet2!$B$1,Sheet1!$B$2-1,0)),$B$1/(365*100),$B$3/(365*100)))*100,1)/100</f>
        <v>210.95</v>
      </c>
      <c r="R1338" s="9">
        <f t="shared" ca="1" si="77"/>
        <v>516954.68248672149</v>
      </c>
    </row>
    <row r="1339" spans="1:18" x14ac:dyDescent="0.25">
      <c r="A1339">
        <v>14</v>
      </c>
      <c r="B1339">
        <v>6.9</v>
      </c>
      <c r="C1339">
        <v>10</v>
      </c>
      <c r="D1339">
        <v>16.899999999999999</v>
      </c>
      <c r="E1339">
        <v>36</v>
      </c>
      <c r="F1339">
        <v>3.3237257801459932E-2</v>
      </c>
      <c r="G1339" t="str">
        <f t="shared" si="78"/>
        <v>Insert into BlueCreditTypeRainbow Values (14, 6.9, 10, 16.9, 36, 0.0332372578014599)</v>
      </c>
      <c r="N1339" s="4">
        <v>1336</v>
      </c>
      <c r="O1339" s="8">
        <f>$B$7*COUNTIF(Sheet2!$B$1:$B$132,N1339)</f>
        <v>0</v>
      </c>
      <c r="P1339" s="8">
        <f t="shared" ca="1" si="76"/>
        <v>0</v>
      </c>
      <c r="Q1339" s="8">
        <f ca="1">CEILING(R1338*(IF(N1339&lt;=IF($B$2=0,0,OFFSET(Sheet2!$B$1,Sheet1!$B$2-1,0)),$B$1/(365*100),$B$3/(365*100)))*100,1)/100</f>
        <v>211.04</v>
      </c>
      <c r="R1339" s="9">
        <f t="shared" ca="1" si="77"/>
        <v>517165.72248672147</v>
      </c>
    </row>
    <row r="1340" spans="1:18" x14ac:dyDescent="0.25">
      <c r="A1340">
        <v>14</v>
      </c>
      <c r="B1340">
        <v>6.9</v>
      </c>
      <c r="C1340">
        <v>9</v>
      </c>
      <c r="D1340">
        <v>16.899999999999999</v>
      </c>
      <c r="E1340">
        <v>24</v>
      </c>
      <c r="F1340">
        <v>4.6531076249999977E-2</v>
      </c>
      <c r="G1340" t="str">
        <f t="shared" si="78"/>
        <v>Insert into BlueCreditTypeRainbow Values (14, 6.9, 9, 16.9, 24, 0.04653107625)</v>
      </c>
      <c r="N1340" s="4">
        <v>1337</v>
      </c>
      <c r="O1340" s="8">
        <f>$B$7*COUNTIF(Sheet2!$B$1:$B$132,N1340)</f>
        <v>0</v>
      </c>
      <c r="P1340" s="8">
        <f t="shared" ca="1" si="76"/>
        <v>0</v>
      </c>
      <c r="Q1340" s="8">
        <f ca="1">CEILING(R1339*(IF(N1340&lt;=IF($B$2=0,0,OFFSET(Sheet2!$B$1,Sheet1!$B$2-1,0)),$B$1/(365*100),$B$3/(365*100)))*100,1)/100</f>
        <v>211.12</v>
      </c>
      <c r="R1340" s="9">
        <f t="shared" ca="1" si="77"/>
        <v>517376.84248672146</v>
      </c>
    </row>
    <row r="1341" spans="1:18" x14ac:dyDescent="0.25">
      <c r="A1341">
        <v>14</v>
      </c>
      <c r="B1341">
        <v>6.9</v>
      </c>
      <c r="C1341">
        <v>9</v>
      </c>
      <c r="D1341">
        <v>16.899999999999999</v>
      </c>
      <c r="E1341">
        <v>25</v>
      </c>
      <c r="F1341">
        <v>4.4946774022104702E-2</v>
      </c>
      <c r="G1341" t="str">
        <f t="shared" si="78"/>
        <v>Insert into BlueCreditTypeRainbow Values (14, 6.9, 9, 16.9, 25, 0.0449467740221047)</v>
      </c>
      <c r="N1341" s="4">
        <v>1338</v>
      </c>
      <c r="O1341" s="8">
        <f>$B$7*COUNTIF(Sheet2!$B$1:$B$132,N1341)</f>
        <v>0</v>
      </c>
      <c r="P1341" s="8">
        <f t="shared" ca="1" si="76"/>
        <v>0</v>
      </c>
      <c r="Q1341" s="8">
        <f ca="1">CEILING(R1340*(IF(N1341&lt;=IF($B$2=0,0,OFFSET(Sheet2!$B$1,Sheet1!$B$2-1,0)),$B$1/(365*100),$B$3/(365*100)))*100,1)/100</f>
        <v>211.21</v>
      </c>
      <c r="R1341" s="9">
        <f t="shared" ca="1" si="77"/>
        <v>517588.05248672148</v>
      </c>
    </row>
    <row r="1342" spans="1:18" x14ac:dyDescent="0.25">
      <c r="A1342">
        <v>14</v>
      </c>
      <c r="B1342">
        <v>6.9</v>
      </c>
      <c r="C1342">
        <v>9</v>
      </c>
      <c r="D1342">
        <v>16.899999999999999</v>
      </c>
      <c r="E1342">
        <v>26</v>
      </c>
      <c r="F1342">
        <v>4.3487207282051278E-2</v>
      </c>
      <c r="G1342" t="str">
        <f t="shared" si="78"/>
        <v>Insert into BlueCreditTypeRainbow Values (14, 6.9, 9, 16.9, 26, 0.0434872072820513)</v>
      </c>
      <c r="N1342" s="4">
        <v>1339</v>
      </c>
      <c r="O1342" s="8">
        <f>$B$7*COUNTIF(Sheet2!$B$1:$B$132,N1342)</f>
        <v>0</v>
      </c>
      <c r="P1342" s="8">
        <f t="shared" ca="1" si="76"/>
        <v>0</v>
      </c>
      <c r="Q1342" s="8">
        <f ca="1">CEILING(R1341*(IF(N1342&lt;=IF($B$2=0,0,OFFSET(Sheet2!$B$1,Sheet1!$B$2-1,0)),$B$1/(365*100),$B$3/(365*100)))*100,1)/100</f>
        <v>211.29</v>
      </c>
      <c r="R1342" s="9">
        <f t="shared" ca="1" si="77"/>
        <v>517799.34248672146</v>
      </c>
    </row>
    <row r="1343" spans="1:18" x14ac:dyDescent="0.25">
      <c r="A1343">
        <v>14</v>
      </c>
      <c r="B1343">
        <v>6.9</v>
      </c>
      <c r="C1343">
        <v>9</v>
      </c>
      <c r="D1343">
        <v>16.899999999999999</v>
      </c>
      <c r="E1343">
        <v>27</v>
      </c>
      <c r="F1343">
        <v>4.2137721496055214E-2</v>
      </c>
      <c r="G1343" t="str">
        <f t="shared" si="78"/>
        <v>Insert into BlueCreditTypeRainbow Values (14, 6.9, 9, 16.9, 27, 0.0421377214960552)</v>
      </c>
      <c r="N1343" s="4">
        <v>1340</v>
      </c>
      <c r="O1343" s="8">
        <f>$B$7*COUNTIF(Sheet2!$B$1:$B$132,N1343)</f>
        <v>0</v>
      </c>
      <c r="P1343" s="8">
        <f t="shared" ca="1" si="76"/>
        <v>0</v>
      </c>
      <c r="Q1343" s="8">
        <f ca="1">CEILING(R1342*(IF(N1343&lt;=IF($B$2=0,0,OFFSET(Sheet2!$B$1,Sheet1!$B$2-1,0)),$B$1/(365*100),$B$3/(365*100)))*100,1)/100</f>
        <v>211.38</v>
      </c>
      <c r="R1343" s="9">
        <f t="shared" ca="1" si="77"/>
        <v>518010.72248672147</v>
      </c>
    </row>
    <row r="1344" spans="1:18" x14ac:dyDescent="0.25">
      <c r="A1344">
        <v>14</v>
      </c>
      <c r="B1344">
        <v>6.9</v>
      </c>
      <c r="C1344">
        <v>9</v>
      </c>
      <c r="D1344">
        <v>16.899999999999999</v>
      </c>
      <c r="E1344">
        <v>28</v>
      </c>
      <c r="F1344">
        <v>4.0887010357142921E-2</v>
      </c>
      <c r="G1344" t="str">
        <f t="shared" si="78"/>
        <v>Insert into BlueCreditTypeRainbow Values (14, 6.9, 9, 16.9, 28, 0.0408870103571429)</v>
      </c>
      <c r="N1344" s="4">
        <v>1341</v>
      </c>
      <c r="O1344" s="8">
        <f>$B$7*COUNTIF(Sheet2!$B$1:$B$132,N1344)</f>
        <v>21157.10552356458</v>
      </c>
      <c r="P1344" s="8">
        <f t="shared" ca="1" si="76"/>
        <v>20945.635523564579</v>
      </c>
      <c r="Q1344" s="8">
        <f ca="1">CEILING(R1343*(IF(N1344&lt;=IF($B$2=0,0,OFFSET(Sheet2!$B$1,Sheet1!$B$2-1,0)),$B$1/(365*100),$B$3/(365*100)))*100,1)/100</f>
        <v>211.47</v>
      </c>
      <c r="R1344" s="9">
        <f t="shared" ca="1" si="77"/>
        <v>497065.08696315688</v>
      </c>
    </row>
    <row r="1345" spans="1:18" x14ac:dyDescent="0.25">
      <c r="A1345">
        <v>14</v>
      </c>
      <c r="B1345">
        <v>6.9</v>
      </c>
      <c r="C1345">
        <v>9</v>
      </c>
      <c r="D1345">
        <v>16.899999999999999</v>
      </c>
      <c r="E1345">
        <v>29</v>
      </c>
      <c r="F1345">
        <v>3.972419482758624E-2</v>
      </c>
      <c r="G1345" t="str">
        <f t="shared" si="78"/>
        <v>Insert into BlueCreditTypeRainbow Values (14, 6.9, 9, 16.9, 29, 0.0397241948275862)</v>
      </c>
      <c r="N1345" s="4">
        <v>1342</v>
      </c>
      <c r="O1345" s="8">
        <f>$B$7*COUNTIF(Sheet2!$B$1:$B$132,N1345)</f>
        <v>0</v>
      </c>
      <c r="P1345" s="8">
        <f t="shared" ca="1" si="76"/>
        <v>0</v>
      </c>
      <c r="Q1345" s="8">
        <f ca="1">CEILING(R1344*(IF(N1345&lt;=IF($B$2=0,0,OFFSET(Sheet2!$B$1,Sheet1!$B$2-1,0)),$B$1/(365*100),$B$3/(365*100)))*100,1)/100</f>
        <v>202.92</v>
      </c>
      <c r="R1345" s="9">
        <f t="shared" ca="1" si="77"/>
        <v>497268.00696315686</v>
      </c>
    </row>
    <row r="1346" spans="1:18" x14ac:dyDescent="0.25">
      <c r="A1346">
        <v>14</v>
      </c>
      <c r="B1346">
        <v>6.9</v>
      </c>
      <c r="C1346">
        <v>9</v>
      </c>
      <c r="D1346">
        <v>16.899999999999999</v>
      </c>
      <c r="E1346">
        <v>30</v>
      </c>
      <c r="F1346">
        <v>3.8640916205886652E-2</v>
      </c>
      <c r="G1346" t="str">
        <f t="shared" si="78"/>
        <v>Insert into BlueCreditTypeRainbow Values (14, 6.9, 9, 16.9, 30, 0.0386409162058867)</v>
      </c>
      <c r="N1346" s="4">
        <v>1343</v>
      </c>
      <c r="O1346" s="8">
        <f>$B$7*COUNTIF(Sheet2!$B$1:$B$132,N1346)</f>
        <v>0</v>
      </c>
      <c r="P1346" s="8">
        <f t="shared" ca="1" si="76"/>
        <v>0</v>
      </c>
      <c r="Q1346" s="8">
        <f ca="1">CEILING(R1345*(IF(N1346&lt;=IF($B$2=0,0,OFFSET(Sheet2!$B$1,Sheet1!$B$2-1,0)),$B$1/(365*100),$B$3/(365*100)))*100,1)/100</f>
        <v>203</v>
      </c>
      <c r="R1346" s="9">
        <f t="shared" ca="1" si="77"/>
        <v>497471.00696315686</v>
      </c>
    </row>
    <row r="1347" spans="1:18" x14ac:dyDescent="0.25">
      <c r="A1347">
        <v>14</v>
      </c>
      <c r="B1347">
        <v>6.9</v>
      </c>
      <c r="C1347">
        <v>9</v>
      </c>
      <c r="D1347">
        <v>16.899999999999999</v>
      </c>
      <c r="E1347">
        <v>31</v>
      </c>
      <c r="F1347">
        <v>3.7628930000000067E-2</v>
      </c>
      <c r="G1347" t="str">
        <f t="shared" si="78"/>
        <v>Insert into BlueCreditTypeRainbow Values (14, 6.9, 9, 16.9, 31, 0.0376289300000001)</v>
      </c>
      <c r="N1347" s="4">
        <v>1344</v>
      </c>
      <c r="O1347" s="8">
        <f>$B$7*COUNTIF(Sheet2!$B$1:$B$132,N1347)</f>
        <v>0</v>
      </c>
      <c r="P1347" s="8">
        <f t="shared" ca="1" si="76"/>
        <v>0</v>
      </c>
      <c r="Q1347" s="8">
        <f ca="1">CEILING(R1346*(IF(N1347&lt;=IF($B$2=0,0,OFFSET(Sheet2!$B$1,Sheet1!$B$2-1,0)),$B$1/(365*100),$B$3/(365*100)))*100,1)/100</f>
        <v>203.08</v>
      </c>
      <c r="R1347" s="9">
        <f t="shared" ca="1" si="77"/>
        <v>497674.08696315688</v>
      </c>
    </row>
    <row r="1348" spans="1:18" x14ac:dyDescent="0.25">
      <c r="A1348">
        <v>14</v>
      </c>
      <c r="B1348">
        <v>6.9</v>
      </c>
      <c r="C1348">
        <v>9</v>
      </c>
      <c r="D1348">
        <v>16.899999999999999</v>
      </c>
      <c r="E1348">
        <v>32</v>
      </c>
      <c r="F1348">
        <v>3.668149846736693E-2</v>
      </c>
      <c r="G1348" t="str">
        <f t="shared" si="78"/>
        <v>Insert into BlueCreditTypeRainbow Values (14, 6.9, 9, 16.9, 32, 0.0366814984673669)</v>
      </c>
      <c r="N1348" s="4">
        <v>1345</v>
      </c>
      <c r="O1348" s="8">
        <f>$B$7*COUNTIF(Sheet2!$B$1:$B$132,N1348)</f>
        <v>0</v>
      </c>
      <c r="P1348" s="8">
        <f t="shared" ca="1" si="76"/>
        <v>0</v>
      </c>
      <c r="Q1348" s="8">
        <f ca="1">CEILING(R1347*(IF(N1348&lt;=IF($B$2=0,0,OFFSET(Sheet2!$B$1,Sheet1!$B$2-1,0)),$B$1/(365*100),$B$3/(365*100)))*100,1)/100</f>
        <v>203.17</v>
      </c>
      <c r="R1348" s="9">
        <f t="shared" ca="1" si="77"/>
        <v>497877.25696315686</v>
      </c>
    </row>
    <row r="1349" spans="1:18" x14ac:dyDescent="0.25">
      <c r="A1349">
        <v>14</v>
      </c>
      <c r="B1349">
        <v>6.9</v>
      </c>
      <c r="C1349">
        <v>9</v>
      </c>
      <c r="D1349">
        <v>16.899999999999999</v>
      </c>
      <c r="E1349">
        <v>33</v>
      </c>
      <c r="F1349">
        <v>3.5793134242424252E-2</v>
      </c>
      <c r="G1349" t="str">
        <f t="shared" si="78"/>
        <v>Insert into BlueCreditTypeRainbow Values (14, 6.9, 9, 16.9, 33, 0.0357931342424243)</v>
      </c>
      <c r="N1349" s="4">
        <v>1346</v>
      </c>
      <c r="O1349" s="8">
        <f>$B$7*COUNTIF(Sheet2!$B$1:$B$132,N1349)</f>
        <v>0</v>
      </c>
      <c r="P1349" s="8">
        <f t="shared" ref="P1349:P1412" ca="1" si="79">IF(O1349-Q1349&gt; 0, O1349-Q1349, 0)</f>
        <v>0</v>
      </c>
      <c r="Q1349" s="8">
        <f ca="1">CEILING(R1348*(IF(N1349&lt;=IF($B$2=0,0,OFFSET(Sheet2!$B$1,Sheet1!$B$2-1,0)),$B$1/(365*100),$B$3/(365*100)))*100,1)/100</f>
        <v>203.25</v>
      </c>
      <c r="R1349" s="9">
        <f t="shared" ref="R1349:R1412" ca="1" si="80">R1348+Q1349-O1349</f>
        <v>498080.50696315686</v>
      </c>
    </row>
    <row r="1350" spans="1:18" x14ac:dyDescent="0.25">
      <c r="A1350">
        <v>14</v>
      </c>
      <c r="B1350">
        <v>6.9</v>
      </c>
      <c r="C1350">
        <v>9</v>
      </c>
      <c r="D1350">
        <v>16.899999999999999</v>
      </c>
      <c r="E1350">
        <v>34</v>
      </c>
      <c r="F1350">
        <v>3.4958186038646449E-2</v>
      </c>
      <c r="G1350" t="str">
        <f t="shared" si="78"/>
        <v>Insert into BlueCreditTypeRainbow Values (14, 6.9, 9, 16.9, 34, 0.0349581860386464)</v>
      </c>
      <c r="N1350" s="4">
        <v>1347</v>
      </c>
      <c r="O1350" s="8">
        <f>$B$7*COUNTIF(Sheet2!$B$1:$B$132,N1350)</f>
        <v>0</v>
      </c>
      <c r="P1350" s="8">
        <f t="shared" ca="1" si="79"/>
        <v>0</v>
      </c>
      <c r="Q1350" s="8">
        <f ca="1">CEILING(R1349*(IF(N1350&lt;=IF($B$2=0,0,OFFSET(Sheet2!$B$1,Sheet1!$B$2-1,0)),$B$1/(365*100),$B$3/(365*100)))*100,1)/100</f>
        <v>203.33</v>
      </c>
      <c r="R1350" s="9">
        <f t="shared" ca="1" si="80"/>
        <v>498283.83696315688</v>
      </c>
    </row>
    <row r="1351" spans="1:18" x14ac:dyDescent="0.25">
      <c r="A1351">
        <v>14</v>
      </c>
      <c r="B1351">
        <v>6.9</v>
      </c>
      <c r="C1351">
        <v>9</v>
      </c>
      <c r="D1351">
        <v>16.899999999999999</v>
      </c>
      <c r="E1351">
        <v>35</v>
      </c>
      <c r="F1351">
        <v>3.4172402579996694E-2</v>
      </c>
      <c r="G1351" t="str">
        <f t="shared" si="78"/>
        <v>Insert into BlueCreditTypeRainbow Values (14, 6.9, 9, 16.9, 35, 0.0341724025799967)</v>
      </c>
      <c r="N1351" s="4">
        <v>1348</v>
      </c>
      <c r="O1351" s="8">
        <f>$B$7*COUNTIF(Sheet2!$B$1:$B$132,N1351)</f>
        <v>0</v>
      </c>
      <c r="P1351" s="8">
        <f t="shared" ca="1" si="79"/>
        <v>0</v>
      </c>
      <c r="Q1351" s="8">
        <f ca="1">CEILING(R1350*(IF(N1351&lt;=IF($B$2=0,0,OFFSET(Sheet2!$B$1,Sheet1!$B$2-1,0)),$B$1/(365*100),$B$3/(365*100)))*100,1)/100</f>
        <v>203.41</v>
      </c>
      <c r="R1351" s="9">
        <f t="shared" ca="1" si="80"/>
        <v>498487.24696315685</v>
      </c>
    </row>
    <row r="1352" spans="1:18" x14ac:dyDescent="0.25">
      <c r="A1352">
        <v>14</v>
      </c>
      <c r="B1352">
        <v>6.9</v>
      </c>
      <c r="C1352">
        <v>9</v>
      </c>
      <c r="D1352">
        <v>16.899999999999999</v>
      </c>
      <c r="E1352">
        <v>36</v>
      </c>
      <c r="F1352">
        <v>3.343129835623071E-2</v>
      </c>
      <c r="G1352" t="str">
        <f t="shared" si="78"/>
        <v>Insert into BlueCreditTypeRainbow Values (14, 6.9, 9, 16.9, 36, 0.0334312983562307)</v>
      </c>
      <c r="N1352" s="4">
        <v>1349</v>
      </c>
      <c r="O1352" s="8">
        <f>$B$7*COUNTIF(Sheet2!$B$1:$B$132,N1352)</f>
        <v>0</v>
      </c>
      <c r="P1352" s="8">
        <f t="shared" ca="1" si="79"/>
        <v>0</v>
      </c>
      <c r="Q1352" s="8">
        <f ca="1">CEILING(R1351*(IF(N1352&lt;=IF($B$2=0,0,OFFSET(Sheet2!$B$1,Sheet1!$B$2-1,0)),$B$1/(365*100),$B$3/(365*100)))*100,1)/100</f>
        <v>203.5</v>
      </c>
      <c r="R1352" s="9">
        <f t="shared" ca="1" si="80"/>
        <v>498690.74696315685</v>
      </c>
    </row>
    <row r="1353" spans="1:18" x14ac:dyDescent="0.25">
      <c r="A1353">
        <v>14</v>
      </c>
      <c r="B1353">
        <v>6.9</v>
      </c>
      <c r="C1353">
        <v>8</v>
      </c>
      <c r="D1353">
        <v>16.899999999999999</v>
      </c>
      <c r="E1353">
        <v>24</v>
      </c>
      <c r="F1353">
        <v>4.6774992500000029E-2</v>
      </c>
      <c r="G1353" t="str">
        <f t="shared" si="78"/>
        <v>Insert into BlueCreditTypeRainbow Values (14, 6.9, 8, 16.9, 24, 0.0467749925)</v>
      </c>
      <c r="N1353" s="4">
        <v>1350</v>
      </c>
      <c r="O1353" s="8">
        <f>$B$7*COUNTIF(Sheet2!$B$1:$B$132,N1353)</f>
        <v>0</v>
      </c>
      <c r="P1353" s="8">
        <f t="shared" ca="1" si="79"/>
        <v>0</v>
      </c>
      <c r="Q1353" s="8">
        <f ca="1">CEILING(R1352*(IF(N1353&lt;=IF($B$2=0,0,OFFSET(Sheet2!$B$1,Sheet1!$B$2-1,0)),$B$1/(365*100),$B$3/(365*100)))*100,1)/100</f>
        <v>203.58</v>
      </c>
      <c r="R1353" s="9">
        <f t="shared" ca="1" si="80"/>
        <v>498894.32696315687</v>
      </c>
    </row>
    <row r="1354" spans="1:18" x14ac:dyDescent="0.25">
      <c r="A1354">
        <v>14</v>
      </c>
      <c r="B1354">
        <v>6.9</v>
      </c>
      <c r="C1354">
        <v>8</v>
      </c>
      <c r="D1354">
        <v>16.899999999999999</v>
      </c>
      <c r="E1354">
        <v>25</v>
      </c>
      <c r="F1354">
        <v>4.5186974800000057E-2</v>
      </c>
      <c r="G1354" t="str">
        <f t="shared" si="78"/>
        <v>Insert into BlueCreditTypeRainbow Values (14, 6.9, 8, 16.9, 25, 0.0451869748000001)</v>
      </c>
      <c r="N1354" s="4">
        <v>1351</v>
      </c>
      <c r="O1354" s="8">
        <f>$B$7*COUNTIF(Sheet2!$B$1:$B$132,N1354)</f>
        <v>0</v>
      </c>
      <c r="P1354" s="8">
        <f t="shared" ca="1" si="79"/>
        <v>0</v>
      </c>
      <c r="Q1354" s="8">
        <f ca="1">CEILING(R1353*(IF(N1354&lt;=IF($B$2=0,0,OFFSET(Sheet2!$B$1,Sheet1!$B$2-1,0)),$B$1/(365*100),$B$3/(365*100)))*100,1)/100</f>
        <v>203.66</v>
      </c>
      <c r="R1354" s="9">
        <f t="shared" ca="1" si="80"/>
        <v>499097.98696315684</v>
      </c>
    </row>
    <row r="1355" spans="1:18" x14ac:dyDescent="0.25">
      <c r="A1355">
        <v>14</v>
      </c>
      <c r="B1355">
        <v>6.9</v>
      </c>
      <c r="C1355">
        <v>8</v>
      </c>
      <c r="D1355">
        <v>16.899999999999999</v>
      </c>
      <c r="E1355">
        <v>26</v>
      </c>
      <c r="F1355">
        <v>4.3723693461538489E-2</v>
      </c>
      <c r="G1355" t="str">
        <f t="shared" si="78"/>
        <v>Insert into BlueCreditTypeRainbow Values (14, 6.9, 8, 16.9, 26, 0.0437236934615385)</v>
      </c>
      <c r="N1355" s="4">
        <v>1352</v>
      </c>
      <c r="O1355" s="8">
        <f>$B$7*COUNTIF(Sheet2!$B$1:$B$132,N1355)</f>
        <v>0</v>
      </c>
      <c r="P1355" s="8">
        <f t="shared" ca="1" si="79"/>
        <v>0</v>
      </c>
      <c r="Q1355" s="8">
        <f ca="1">CEILING(R1354*(IF(N1355&lt;=IF($B$2=0,0,OFFSET(Sheet2!$B$1,Sheet1!$B$2-1,0)),$B$1/(365*100),$B$3/(365*100)))*100,1)/100</f>
        <v>203.75</v>
      </c>
      <c r="R1355" s="9">
        <f t="shared" ca="1" si="80"/>
        <v>499301.73696315684</v>
      </c>
    </row>
    <row r="1356" spans="1:18" x14ac:dyDescent="0.25">
      <c r="A1356">
        <v>14</v>
      </c>
      <c r="B1356">
        <v>6.9</v>
      </c>
      <c r="C1356">
        <v>8</v>
      </c>
      <c r="D1356">
        <v>16.899999999999999</v>
      </c>
      <c r="E1356">
        <v>27</v>
      </c>
      <c r="F1356">
        <v>4.2370540018682602E-2</v>
      </c>
      <c r="G1356" t="str">
        <f t="shared" si="78"/>
        <v>Insert into BlueCreditTypeRainbow Values (14, 6.9, 8, 16.9, 27, 0.0423705400186826)</v>
      </c>
      <c r="N1356" s="4">
        <v>1353</v>
      </c>
      <c r="O1356" s="8">
        <f>$B$7*COUNTIF(Sheet2!$B$1:$B$132,N1356)</f>
        <v>0</v>
      </c>
      <c r="P1356" s="8">
        <f t="shared" ca="1" si="79"/>
        <v>0</v>
      </c>
      <c r="Q1356" s="8">
        <f ca="1">CEILING(R1355*(IF(N1356&lt;=IF($B$2=0,0,OFFSET(Sheet2!$B$1,Sheet1!$B$2-1,0)),$B$1/(365*100),$B$3/(365*100)))*100,1)/100</f>
        <v>203.83</v>
      </c>
      <c r="R1356" s="9">
        <f t="shared" ca="1" si="80"/>
        <v>499505.56696315686</v>
      </c>
    </row>
    <row r="1357" spans="1:18" x14ac:dyDescent="0.25">
      <c r="A1357">
        <v>14</v>
      </c>
      <c r="B1357">
        <v>6.9</v>
      </c>
      <c r="C1357">
        <v>8</v>
      </c>
      <c r="D1357">
        <v>16.899999999999999</v>
      </c>
      <c r="E1357">
        <v>28</v>
      </c>
      <c r="F1357">
        <v>4.1116213214285741E-2</v>
      </c>
      <c r="G1357" t="str">
        <f t="shared" si="78"/>
        <v>Insert into BlueCreditTypeRainbow Values (14, 6.9, 8, 16.9, 28, 0.0411162132142857)</v>
      </c>
      <c r="N1357" s="4">
        <v>1354</v>
      </c>
      <c r="O1357" s="8">
        <f>$B$7*COUNTIF(Sheet2!$B$1:$B$132,N1357)</f>
        <v>0</v>
      </c>
      <c r="P1357" s="8">
        <f t="shared" ca="1" si="79"/>
        <v>0</v>
      </c>
      <c r="Q1357" s="8">
        <f ca="1">CEILING(R1356*(IF(N1357&lt;=IF($B$2=0,0,OFFSET(Sheet2!$B$1,Sheet1!$B$2-1,0)),$B$1/(365*100),$B$3/(365*100)))*100,1)/100</f>
        <v>203.91</v>
      </c>
      <c r="R1357" s="9">
        <f t="shared" ca="1" si="80"/>
        <v>499709.47696315683</v>
      </c>
    </row>
    <row r="1358" spans="1:18" x14ac:dyDescent="0.25">
      <c r="A1358">
        <v>14</v>
      </c>
      <c r="B1358">
        <v>6.9</v>
      </c>
      <c r="C1358">
        <v>8</v>
      </c>
      <c r="D1358">
        <v>16.899999999999999</v>
      </c>
      <c r="E1358">
        <v>29</v>
      </c>
      <c r="F1358">
        <v>3.9949861753430821E-2</v>
      </c>
      <c r="G1358" t="str">
        <f t="shared" si="78"/>
        <v>Insert into BlueCreditTypeRainbow Values (14, 6.9, 8, 16.9, 29, 0.0399498617534308)</v>
      </c>
      <c r="N1358" s="4">
        <v>1355</v>
      </c>
      <c r="O1358" s="8">
        <f>$B$7*COUNTIF(Sheet2!$B$1:$B$132,N1358)</f>
        <v>0</v>
      </c>
      <c r="P1358" s="8">
        <f t="shared" ca="1" si="79"/>
        <v>0</v>
      </c>
      <c r="Q1358" s="8">
        <f ca="1">CEILING(R1357*(IF(N1358&lt;=IF($B$2=0,0,OFFSET(Sheet2!$B$1,Sheet1!$B$2-1,0)),$B$1/(365*100),$B$3/(365*100)))*100,1)/100</f>
        <v>204</v>
      </c>
      <c r="R1358" s="9">
        <f t="shared" ca="1" si="80"/>
        <v>499913.47696315683</v>
      </c>
    </row>
    <row r="1359" spans="1:18" x14ac:dyDescent="0.25">
      <c r="A1359">
        <v>14</v>
      </c>
      <c r="B1359">
        <v>6.9</v>
      </c>
      <c r="C1359">
        <v>8</v>
      </c>
      <c r="D1359">
        <v>16.899999999999999</v>
      </c>
      <c r="E1359">
        <v>30</v>
      </c>
      <c r="F1359">
        <v>3.8863126696106629E-2</v>
      </c>
      <c r="G1359" t="str">
        <f t="shared" ref="G1359:G1422" si="81">CONCATENATE("Insert into BlueCreditTypeRainbow Values (",A1359,", ",B1359,", ",C1359,", ",D1359,", ",E1359,", ",F1359,")")</f>
        <v>Insert into BlueCreditTypeRainbow Values (14, 6.9, 8, 16.9, 30, 0.0388631266961066)</v>
      </c>
      <c r="N1359" s="4">
        <v>1356</v>
      </c>
      <c r="O1359" s="8">
        <f>$B$7*COUNTIF(Sheet2!$B$1:$B$132,N1359)</f>
        <v>0</v>
      </c>
      <c r="P1359" s="8">
        <f t="shared" ca="1" si="79"/>
        <v>0</v>
      </c>
      <c r="Q1359" s="8">
        <f ca="1">CEILING(R1358*(IF(N1359&lt;=IF($B$2=0,0,OFFSET(Sheet2!$B$1,Sheet1!$B$2-1,0)),$B$1/(365*100),$B$3/(365*100)))*100,1)/100</f>
        <v>204.08</v>
      </c>
      <c r="R1359" s="9">
        <f t="shared" ca="1" si="80"/>
        <v>500117.55696315685</v>
      </c>
    </row>
    <row r="1360" spans="1:18" x14ac:dyDescent="0.25">
      <c r="A1360">
        <v>14</v>
      </c>
      <c r="B1360">
        <v>6.9</v>
      </c>
      <c r="C1360">
        <v>8</v>
      </c>
      <c r="D1360">
        <v>16.899999999999999</v>
      </c>
      <c r="E1360">
        <v>31</v>
      </c>
      <c r="F1360">
        <v>3.7847776129032243E-2</v>
      </c>
      <c r="G1360" t="str">
        <f t="shared" si="81"/>
        <v>Insert into BlueCreditTypeRainbow Values (14, 6.9, 8, 16.9, 31, 0.0378477761290322)</v>
      </c>
      <c r="N1360" s="4">
        <v>1357</v>
      </c>
      <c r="O1360" s="8">
        <f>$B$7*COUNTIF(Sheet2!$B$1:$B$132,N1360)</f>
        <v>0</v>
      </c>
      <c r="P1360" s="8">
        <f t="shared" ca="1" si="79"/>
        <v>0</v>
      </c>
      <c r="Q1360" s="8">
        <f ca="1">CEILING(R1359*(IF(N1360&lt;=IF($B$2=0,0,OFFSET(Sheet2!$B$1,Sheet1!$B$2-1,0)),$B$1/(365*100),$B$3/(365*100)))*100,1)/100</f>
        <v>204.16</v>
      </c>
      <c r="R1360" s="9">
        <f t="shared" ca="1" si="80"/>
        <v>500321.71696315682</v>
      </c>
    </row>
    <row r="1361" spans="1:18" x14ac:dyDescent="0.25">
      <c r="A1361">
        <v>14</v>
      </c>
      <c r="B1361">
        <v>6.9</v>
      </c>
      <c r="C1361">
        <v>8</v>
      </c>
      <c r="D1361">
        <v>16.899999999999999</v>
      </c>
      <c r="E1361">
        <v>32</v>
      </c>
      <c r="F1361">
        <v>3.6897086592177206E-2</v>
      </c>
      <c r="G1361" t="str">
        <f t="shared" si="81"/>
        <v>Insert into BlueCreditTypeRainbow Values (14, 6.9, 8, 16.9, 32, 0.0368970865921772)</v>
      </c>
      <c r="N1361" s="4">
        <v>1358</v>
      </c>
      <c r="O1361" s="8">
        <f>$B$7*COUNTIF(Sheet2!$B$1:$B$132,N1361)</f>
        <v>0</v>
      </c>
      <c r="P1361" s="8">
        <f t="shared" ca="1" si="79"/>
        <v>0</v>
      </c>
      <c r="Q1361" s="8">
        <f ca="1">CEILING(R1360*(IF(N1361&lt;=IF($B$2=0,0,OFFSET(Sheet2!$B$1,Sheet1!$B$2-1,0)),$B$1/(365*100),$B$3/(365*100)))*100,1)/100</f>
        <v>204.25</v>
      </c>
      <c r="R1361" s="9">
        <f t="shared" ca="1" si="80"/>
        <v>500525.96696315682</v>
      </c>
    </row>
    <row r="1362" spans="1:18" x14ac:dyDescent="0.25">
      <c r="A1362">
        <v>14</v>
      </c>
      <c r="B1362">
        <v>6.9</v>
      </c>
      <c r="C1362">
        <v>8</v>
      </c>
      <c r="D1362">
        <v>16.899999999999999</v>
      </c>
      <c r="E1362">
        <v>33</v>
      </c>
      <c r="F1362">
        <v>3.6005549118490708E-2</v>
      </c>
      <c r="G1362" t="str">
        <f t="shared" si="81"/>
        <v>Insert into BlueCreditTypeRainbow Values (14, 6.9, 8, 16.9, 33, 0.0360055491184907)</v>
      </c>
      <c r="N1362" s="4">
        <v>1359</v>
      </c>
      <c r="O1362" s="8">
        <f>$B$7*COUNTIF(Sheet2!$B$1:$B$132,N1362)</f>
        <v>0</v>
      </c>
      <c r="P1362" s="8">
        <f t="shared" ca="1" si="79"/>
        <v>0</v>
      </c>
      <c r="Q1362" s="8">
        <f ca="1">CEILING(R1361*(IF(N1362&lt;=IF($B$2=0,0,OFFSET(Sheet2!$B$1,Sheet1!$B$2-1,0)),$B$1/(365*100),$B$3/(365*100)))*100,1)/100</f>
        <v>204.33</v>
      </c>
      <c r="R1362" s="9">
        <f t="shared" ca="1" si="80"/>
        <v>500730.29696315684</v>
      </c>
    </row>
    <row r="1363" spans="1:18" x14ac:dyDescent="0.25">
      <c r="A1363">
        <v>14</v>
      </c>
      <c r="B1363">
        <v>6.9</v>
      </c>
      <c r="C1363">
        <v>8</v>
      </c>
      <c r="D1363">
        <v>16.899999999999999</v>
      </c>
      <c r="E1363">
        <v>34</v>
      </c>
      <c r="F1363">
        <v>3.5167526764705852E-2</v>
      </c>
      <c r="G1363" t="str">
        <f t="shared" si="81"/>
        <v>Insert into BlueCreditTypeRainbow Values (14, 6.9, 8, 16.9, 34, 0.0351675267647059)</v>
      </c>
      <c r="N1363" s="4">
        <v>1360</v>
      </c>
      <c r="O1363" s="8">
        <f>$B$7*COUNTIF(Sheet2!$B$1:$B$132,N1363)</f>
        <v>0</v>
      </c>
      <c r="P1363" s="8">
        <f t="shared" ca="1" si="79"/>
        <v>0</v>
      </c>
      <c r="Q1363" s="8">
        <f ca="1">CEILING(R1362*(IF(N1363&lt;=IF($B$2=0,0,OFFSET(Sheet2!$B$1,Sheet1!$B$2-1,0)),$B$1/(365*100),$B$3/(365*100)))*100,1)/100</f>
        <v>204.41</v>
      </c>
      <c r="R1363" s="9">
        <f t="shared" ca="1" si="80"/>
        <v>500934.70696315682</v>
      </c>
    </row>
    <row r="1364" spans="1:18" x14ac:dyDescent="0.25">
      <c r="A1364">
        <v>14</v>
      </c>
      <c r="B1364">
        <v>6.9</v>
      </c>
      <c r="C1364">
        <v>8</v>
      </c>
      <c r="D1364">
        <v>16.899999999999999</v>
      </c>
      <c r="E1364">
        <v>35</v>
      </c>
      <c r="F1364">
        <v>3.4378774491122595E-2</v>
      </c>
      <c r="G1364" t="str">
        <f t="shared" si="81"/>
        <v>Insert into BlueCreditTypeRainbow Values (14, 6.9, 8, 16.9, 35, 0.0343787744911226)</v>
      </c>
      <c r="N1364" s="4">
        <v>1361</v>
      </c>
      <c r="O1364" s="8">
        <f>$B$7*COUNTIF(Sheet2!$B$1:$B$132,N1364)</f>
        <v>0</v>
      </c>
      <c r="P1364" s="8">
        <f t="shared" ca="1" si="79"/>
        <v>0</v>
      </c>
      <c r="Q1364" s="8">
        <f ca="1">CEILING(R1363*(IF(N1364&lt;=IF($B$2=0,0,OFFSET(Sheet2!$B$1,Sheet1!$B$2-1,0)),$B$1/(365*100),$B$3/(365*100)))*100,1)/100</f>
        <v>204.5</v>
      </c>
      <c r="R1364" s="9">
        <f t="shared" ca="1" si="80"/>
        <v>501139.20696315682</v>
      </c>
    </row>
    <row r="1365" spans="1:18" x14ac:dyDescent="0.25">
      <c r="A1365">
        <v>14</v>
      </c>
      <c r="B1365">
        <v>6.9</v>
      </c>
      <c r="C1365">
        <v>8</v>
      </c>
      <c r="D1365">
        <v>16.899999999999999</v>
      </c>
      <c r="E1365">
        <v>36</v>
      </c>
      <c r="F1365">
        <v>3.3634800301919031E-2</v>
      </c>
      <c r="G1365" t="str">
        <f t="shared" si="81"/>
        <v>Insert into BlueCreditTypeRainbow Values (14, 6.9, 8, 16.9, 36, 0.033634800301919)</v>
      </c>
      <c r="N1365" s="4">
        <v>1362</v>
      </c>
      <c r="O1365" s="8">
        <f>$B$7*COUNTIF(Sheet2!$B$1:$B$132,N1365)</f>
        <v>0</v>
      </c>
      <c r="P1365" s="8">
        <f t="shared" ca="1" si="79"/>
        <v>0</v>
      </c>
      <c r="Q1365" s="8">
        <f ca="1">CEILING(R1364*(IF(N1365&lt;=IF($B$2=0,0,OFFSET(Sheet2!$B$1,Sheet1!$B$2-1,0)),$B$1/(365*100),$B$3/(365*100)))*100,1)/100</f>
        <v>204.58</v>
      </c>
      <c r="R1365" s="9">
        <f t="shared" ca="1" si="80"/>
        <v>501343.78696315683</v>
      </c>
    </row>
    <row r="1366" spans="1:18" x14ac:dyDescent="0.25">
      <c r="A1366">
        <v>14</v>
      </c>
      <c r="B1366">
        <v>6.9</v>
      </c>
      <c r="C1366">
        <v>7</v>
      </c>
      <c r="D1366">
        <v>16.899999999999999</v>
      </c>
      <c r="E1366">
        <v>24</v>
      </c>
      <c r="F1366">
        <v>4.7036728099934123E-2</v>
      </c>
      <c r="G1366" t="str">
        <f t="shared" si="81"/>
        <v>Insert into BlueCreditTypeRainbow Values (14, 6.9, 7, 16.9, 24, 0.0470367280999341)</v>
      </c>
      <c r="N1366" s="4">
        <v>1363</v>
      </c>
      <c r="O1366" s="8">
        <f>$B$7*COUNTIF(Sheet2!$B$1:$B$132,N1366)</f>
        <v>0</v>
      </c>
      <c r="P1366" s="8">
        <f t="shared" ca="1" si="79"/>
        <v>0</v>
      </c>
      <c r="Q1366" s="8">
        <f ca="1">CEILING(R1365*(IF(N1366&lt;=IF($B$2=0,0,OFFSET(Sheet2!$B$1,Sheet1!$B$2-1,0)),$B$1/(365*100),$B$3/(365*100)))*100,1)/100</f>
        <v>204.66</v>
      </c>
      <c r="R1366" s="9">
        <f t="shared" ca="1" si="80"/>
        <v>501548.44696315681</v>
      </c>
    </row>
    <row r="1367" spans="1:18" x14ac:dyDescent="0.25">
      <c r="A1367">
        <v>14</v>
      </c>
      <c r="B1367">
        <v>6.9</v>
      </c>
      <c r="C1367">
        <v>7</v>
      </c>
      <c r="D1367">
        <v>16.899999999999999</v>
      </c>
      <c r="E1367">
        <v>25</v>
      </c>
      <c r="F1367">
        <v>4.5443882419643596E-2</v>
      </c>
      <c r="G1367" t="str">
        <f t="shared" si="81"/>
        <v>Insert into BlueCreditTypeRainbow Values (14, 6.9, 7, 16.9, 25, 0.0454438824196436)</v>
      </c>
      <c r="N1367" s="4">
        <v>1364</v>
      </c>
      <c r="O1367" s="8">
        <f>$B$7*COUNTIF(Sheet2!$B$1:$B$132,N1367)</f>
        <v>0</v>
      </c>
      <c r="P1367" s="8">
        <f t="shared" ca="1" si="79"/>
        <v>0</v>
      </c>
      <c r="Q1367" s="8">
        <f ca="1">CEILING(R1366*(IF(N1367&lt;=IF($B$2=0,0,OFFSET(Sheet2!$B$1,Sheet1!$B$2-1,0)),$B$1/(365*100),$B$3/(365*100)))*100,1)/100</f>
        <v>204.75</v>
      </c>
      <c r="R1367" s="9">
        <f t="shared" ca="1" si="80"/>
        <v>501753.19696315681</v>
      </c>
    </row>
    <row r="1368" spans="1:18" x14ac:dyDescent="0.25">
      <c r="A1368">
        <v>14</v>
      </c>
      <c r="B1368">
        <v>6.9</v>
      </c>
      <c r="C1368">
        <v>7</v>
      </c>
      <c r="D1368">
        <v>16.899999999999999</v>
      </c>
      <c r="E1368">
        <v>26</v>
      </c>
      <c r="F1368">
        <v>4.3975904635072484E-2</v>
      </c>
      <c r="G1368" t="str">
        <f t="shared" si="81"/>
        <v>Insert into BlueCreditTypeRainbow Values (14, 6.9, 7, 16.9, 26, 0.0439759046350725)</v>
      </c>
      <c r="N1368" s="4">
        <v>1365</v>
      </c>
      <c r="O1368" s="8">
        <f>$B$7*COUNTIF(Sheet2!$B$1:$B$132,N1368)</f>
        <v>0</v>
      </c>
      <c r="P1368" s="8">
        <f t="shared" ca="1" si="79"/>
        <v>0</v>
      </c>
      <c r="Q1368" s="8">
        <f ca="1">CEILING(R1367*(IF(N1368&lt;=IF($B$2=0,0,OFFSET(Sheet2!$B$1,Sheet1!$B$2-1,0)),$B$1/(365*100),$B$3/(365*100)))*100,1)/100</f>
        <v>204.83</v>
      </c>
      <c r="R1368" s="9">
        <f t="shared" ca="1" si="80"/>
        <v>501958.02696315682</v>
      </c>
    </row>
    <row r="1369" spans="1:18" x14ac:dyDescent="0.25">
      <c r="A1369">
        <v>14</v>
      </c>
      <c r="B1369">
        <v>6.9</v>
      </c>
      <c r="C1369">
        <v>7</v>
      </c>
      <c r="D1369">
        <v>16.899999999999999</v>
      </c>
      <c r="E1369">
        <v>27</v>
      </c>
      <c r="F1369">
        <v>4.261819629629636E-2</v>
      </c>
      <c r="G1369" t="str">
        <f t="shared" si="81"/>
        <v>Insert into BlueCreditTypeRainbow Values (14, 6.9, 7, 16.9, 27, 0.0426181962962964)</v>
      </c>
      <c r="N1369" s="4">
        <v>1366</v>
      </c>
      <c r="O1369" s="8">
        <f>$B$7*COUNTIF(Sheet2!$B$1:$B$132,N1369)</f>
        <v>0</v>
      </c>
      <c r="P1369" s="8">
        <f t="shared" ca="1" si="79"/>
        <v>0</v>
      </c>
      <c r="Q1369" s="8">
        <f ca="1">CEILING(R1368*(IF(N1369&lt;=IF($B$2=0,0,OFFSET(Sheet2!$B$1,Sheet1!$B$2-1,0)),$B$1/(365*100),$B$3/(365*100)))*100,1)/100</f>
        <v>204.91</v>
      </c>
      <c r="R1369" s="9">
        <f t="shared" ca="1" si="80"/>
        <v>502162.9369631568</v>
      </c>
    </row>
    <row r="1370" spans="1:18" x14ac:dyDescent="0.25">
      <c r="A1370">
        <v>14</v>
      </c>
      <c r="B1370">
        <v>6.9</v>
      </c>
      <c r="C1370">
        <v>7</v>
      </c>
      <c r="D1370">
        <v>16.899999999999999</v>
      </c>
      <c r="E1370">
        <v>28</v>
      </c>
      <c r="F1370">
        <v>4.1359462175551774E-2</v>
      </c>
      <c r="G1370" t="str">
        <f t="shared" si="81"/>
        <v>Insert into BlueCreditTypeRainbow Values (14, 6.9, 7, 16.9, 28, 0.0413594621755518)</v>
      </c>
      <c r="N1370" s="4">
        <v>1367</v>
      </c>
      <c r="O1370" s="8">
        <f>$B$7*COUNTIF(Sheet2!$B$1:$B$132,N1370)</f>
        <v>0</v>
      </c>
      <c r="P1370" s="8">
        <f t="shared" ca="1" si="79"/>
        <v>0</v>
      </c>
      <c r="Q1370" s="8">
        <f ca="1">CEILING(R1369*(IF(N1370&lt;=IF($B$2=0,0,OFFSET(Sheet2!$B$1,Sheet1!$B$2-1,0)),$B$1/(365*100),$B$3/(365*100)))*100,1)/100</f>
        <v>205</v>
      </c>
      <c r="R1370" s="9">
        <f t="shared" ca="1" si="80"/>
        <v>502367.9369631568</v>
      </c>
    </row>
    <row r="1371" spans="1:18" x14ac:dyDescent="0.25">
      <c r="A1371">
        <v>14</v>
      </c>
      <c r="B1371">
        <v>6.9</v>
      </c>
      <c r="C1371">
        <v>7</v>
      </c>
      <c r="D1371">
        <v>16.899999999999999</v>
      </c>
      <c r="E1371">
        <v>29</v>
      </c>
      <c r="F1371">
        <v>4.018884512662714E-2</v>
      </c>
      <c r="G1371" t="str">
        <f t="shared" si="81"/>
        <v>Insert into BlueCreditTypeRainbow Values (14, 6.9, 7, 16.9, 29, 0.0401888451266271)</v>
      </c>
      <c r="N1371" s="4">
        <v>1368</v>
      </c>
      <c r="O1371" s="8">
        <f>$B$7*COUNTIF(Sheet2!$B$1:$B$132,N1371)</f>
        <v>0</v>
      </c>
      <c r="P1371" s="8">
        <f t="shared" ca="1" si="79"/>
        <v>0</v>
      </c>
      <c r="Q1371" s="8">
        <f ca="1">CEILING(R1370*(IF(N1371&lt;=IF($B$2=0,0,OFFSET(Sheet2!$B$1,Sheet1!$B$2-1,0)),$B$1/(365*100),$B$3/(365*100)))*100,1)/100</f>
        <v>205.08</v>
      </c>
      <c r="R1371" s="9">
        <f t="shared" ca="1" si="80"/>
        <v>502573.01696315681</v>
      </c>
    </row>
    <row r="1372" spans="1:18" x14ac:dyDescent="0.25">
      <c r="A1372">
        <v>14</v>
      </c>
      <c r="B1372">
        <v>6.9</v>
      </c>
      <c r="C1372">
        <v>7</v>
      </c>
      <c r="D1372">
        <v>16.899999999999999</v>
      </c>
      <c r="E1372">
        <v>30</v>
      </c>
      <c r="F1372">
        <v>3.9098005346095616E-2</v>
      </c>
      <c r="G1372" t="str">
        <f t="shared" si="81"/>
        <v>Insert into BlueCreditTypeRainbow Values (14, 6.9, 7, 16.9, 30, 0.0390980053460956)</v>
      </c>
      <c r="N1372" s="4">
        <v>1369</v>
      </c>
      <c r="O1372" s="8">
        <f>$B$7*COUNTIF(Sheet2!$B$1:$B$132,N1372)</f>
        <v>0</v>
      </c>
      <c r="P1372" s="8">
        <f t="shared" ca="1" si="79"/>
        <v>0</v>
      </c>
      <c r="Q1372" s="8">
        <f ca="1">CEILING(R1371*(IF(N1372&lt;=IF($B$2=0,0,OFFSET(Sheet2!$B$1,Sheet1!$B$2-1,0)),$B$1/(365*100),$B$3/(365*100)))*100,1)/100</f>
        <v>205.16</v>
      </c>
      <c r="R1372" s="9">
        <f t="shared" ca="1" si="80"/>
        <v>502778.17696315679</v>
      </c>
    </row>
    <row r="1373" spans="1:18" x14ac:dyDescent="0.25">
      <c r="A1373">
        <v>14</v>
      </c>
      <c r="B1373">
        <v>6.9</v>
      </c>
      <c r="C1373">
        <v>7</v>
      </c>
      <c r="D1373">
        <v>16.899999999999999</v>
      </c>
      <c r="E1373">
        <v>31</v>
      </c>
      <c r="F1373">
        <v>3.8078690995779922E-2</v>
      </c>
      <c r="G1373" t="str">
        <f t="shared" si="81"/>
        <v>Insert into BlueCreditTypeRainbow Values (14, 6.9, 7, 16.9, 31, 0.0380786909957799)</v>
      </c>
      <c r="N1373" s="4">
        <v>1370</v>
      </c>
      <c r="O1373" s="8">
        <f>$B$7*COUNTIF(Sheet2!$B$1:$B$132,N1373)</f>
        <v>0</v>
      </c>
      <c r="P1373" s="8">
        <f t="shared" ca="1" si="79"/>
        <v>0</v>
      </c>
      <c r="Q1373" s="8">
        <f ca="1">CEILING(R1372*(IF(N1373&lt;=IF($B$2=0,0,OFFSET(Sheet2!$B$1,Sheet1!$B$2-1,0)),$B$1/(365*100),$B$3/(365*100)))*100,1)/100</f>
        <v>205.25</v>
      </c>
      <c r="R1373" s="9">
        <f t="shared" ca="1" si="80"/>
        <v>502983.42696315679</v>
      </c>
    </row>
    <row r="1374" spans="1:18" x14ac:dyDescent="0.25">
      <c r="A1374">
        <v>14</v>
      </c>
      <c r="B1374">
        <v>6.9</v>
      </c>
      <c r="C1374">
        <v>7</v>
      </c>
      <c r="D1374">
        <v>16.899999999999999</v>
      </c>
      <c r="E1374">
        <v>32</v>
      </c>
      <c r="F1374">
        <v>3.7124185685024888E-2</v>
      </c>
      <c r="G1374" t="str">
        <f t="shared" si="81"/>
        <v>Insert into BlueCreditTypeRainbow Values (14, 6.9, 7, 16.9, 32, 0.0371241856850249)</v>
      </c>
      <c r="N1374" s="4">
        <v>1371</v>
      </c>
      <c r="O1374" s="8">
        <f>$B$7*COUNTIF(Sheet2!$B$1:$B$132,N1374)</f>
        <v>0</v>
      </c>
      <c r="P1374" s="8">
        <f t="shared" ca="1" si="79"/>
        <v>0</v>
      </c>
      <c r="Q1374" s="8">
        <f ca="1">CEILING(R1373*(IF(N1374&lt;=IF($B$2=0,0,OFFSET(Sheet2!$B$1,Sheet1!$B$2-1,0)),$B$1/(365*100),$B$3/(365*100)))*100,1)/100</f>
        <v>205.33</v>
      </c>
      <c r="R1374" s="9">
        <f t="shared" ca="1" si="80"/>
        <v>503188.7569631568</v>
      </c>
    </row>
    <row r="1375" spans="1:18" x14ac:dyDescent="0.25">
      <c r="A1375">
        <v>14</v>
      </c>
      <c r="B1375">
        <v>6.9</v>
      </c>
      <c r="C1375">
        <v>7</v>
      </c>
      <c r="D1375">
        <v>16.899999999999999</v>
      </c>
      <c r="E1375">
        <v>33</v>
      </c>
      <c r="F1375">
        <v>3.6228986666666671E-2</v>
      </c>
      <c r="G1375" t="str">
        <f t="shared" si="81"/>
        <v>Insert into BlueCreditTypeRainbow Values (14, 6.9, 7, 16.9, 33, 0.0362289866666667)</v>
      </c>
      <c r="N1375" s="4">
        <v>1372</v>
      </c>
      <c r="O1375" s="8">
        <f>$B$7*COUNTIF(Sheet2!$B$1:$B$132,N1375)</f>
        <v>21157.10552356458</v>
      </c>
      <c r="P1375" s="8">
        <f t="shared" ca="1" si="79"/>
        <v>20951.685523564582</v>
      </c>
      <c r="Q1375" s="8">
        <f ca="1">CEILING(R1374*(IF(N1375&lt;=IF($B$2=0,0,OFFSET(Sheet2!$B$1,Sheet1!$B$2-1,0)),$B$1/(365*100),$B$3/(365*100)))*100,1)/100</f>
        <v>205.42</v>
      </c>
      <c r="R1375" s="9">
        <f t="shared" ca="1" si="80"/>
        <v>482237.07143959223</v>
      </c>
    </row>
    <row r="1376" spans="1:18" x14ac:dyDescent="0.25">
      <c r="A1376">
        <v>14</v>
      </c>
      <c r="B1376">
        <v>6.9</v>
      </c>
      <c r="C1376">
        <v>7</v>
      </c>
      <c r="D1376">
        <v>16.899999999999999</v>
      </c>
      <c r="E1376">
        <v>34</v>
      </c>
      <c r="F1376">
        <v>3.5387434729215517E-2</v>
      </c>
      <c r="G1376" t="str">
        <f t="shared" si="81"/>
        <v>Insert into BlueCreditTypeRainbow Values (14, 6.9, 7, 16.9, 34, 0.0353874347292155)</v>
      </c>
      <c r="N1376" s="4">
        <v>1373</v>
      </c>
      <c r="O1376" s="8">
        <f>$B$7*COUNTIF(Sheet2!$B$1:$B$132,N1376)</f>
        <v>0</v>
      </c>
      <c r="P1376" s="8">
        <f t="shared" ca="1" si="79"/>
        <v>0</v>
      </c>
      <c r="Q1376" s="8">
        <f ca="1">CEILING(R1375*(IF(N1376&lt;=IF($B$2=0,0,OFFSET(Sheet2!$B$1,Sheet1!$B$2-1,0)),$B$1/(365*100),$B$3/(365*100)))*100,1)/100</f>
        <v>196.86</v>
      </c>
      <c r="R1376" s="9">
        <f t="shared" ca="1" si="80"/>
        <v>482433.93143959221</v>
      </c>
    </row>
    <row r="1377" spans="1:18" x14ac:dyDescent="0.25">
      <c r="A1377">
        <v>14</v>
      </c>
      <c r="B1377">
        <v>6.9</v>
      </c>
      <c r="C1377">
        <v>7</v>
      </c>
      <c r="D1377">
        <v>16.899999999999999</v>
      </c>
      <c r="E1377">
        <v>35</v>
      </c>
      <c r="F1377">
        <v>3.4595283157358193E-2</v>
      </c>
      <c r="G1377" t="str">
        <f t="shared" si="81"/>
        <v>Insert into BlueCreditTypeRainbow Values (14, 6.9, 7, 16.9, 35, 0.0345952831573582)</v>
      </c>
      <c r="N1377" s="4">
        <v>1374</v>
      </c>
      <c r="O1377" s="8">
        <f>$B$7*COUNTIF(Sheet2!$B$1:$B$132,N1377)</f>
        <v>0</v>
      </c>
      <c r="P1377" s="8">
        <f t="shared" ca="1" si="79"/>
        <v>0</v>
      </c>
      <c r="Q1377" s="8">
        <f ca="1">CEILING(R1376*(IF(N1377&lt;=IF($B$2=0,0,OFFSET(Sheet2!$B$1,Sheet1!$B$2-1,0)),$B$1/(365*100),$B$3/(365*100)))*100,1)/100</f>
        <v>196.94</v>
      </c>
      <c r="R1377" s="9">
        <f t="shared" ca="1" si="80"/>
        <v>482630.87143959221</v>
      </c>
    </row>
    <row r="1378" spans="1:18" x14ac:dyDescent="0.25">
      <c r="A1378">
        <v>14</v>
      </c>
      <c r="B1378">
        <v>6.9</v>
      </c>
      <c r="C1378">
        <v>7</v>
      </c>
      <c r="D1378">
        <v>16.899999999999999</v>
      </c>
      <c r="E1378">
        <v>36</v>
      </c>
      <c r="F1378">
        <v>3.3848038055555592E-2</v>
      </c>
      <c r="G1378" t="str">
        <f t="shared" si="81"/>
        <v>Insert into BlueCreditTypeRainbow Values (14, 6.9, 7, 16.9, 36, 0.0338480380555556)</v>
      </c>
      <c r="N1378" s="4">
        <v>1375</v>
      </c>
      <c r="O1378" s="8">
        <f>$B$7*COUNTIF(Sheet2!$B$1:$B$132,N1378)</f>
        <v>0</v>
      </c>
      <c r="P1378" s="8">
        <f t="shared" ca="1" si="79"/>
        <v>0</v>
      </c>
      <c r="Q1378" s="8">
        <f ca="1">CEILING(R1377*(IF(N1378&lt;=IF($B$2=0,0,OFFSET(Sheet2!$B$1,Sheet1!$B$2-1,0)),$B$1/(365*100),$B$3/(365*100)))*100,1)/100</f>
        <v>197.02</v>
      </c>
      <c r="R1378" s="9">
        <f t="shared" ca="1" si="80"/>
        <v>482827.89143959223</v>
      </c>
    </row>
    <row r="1379" spans="1:18" x14ac:dyDescent="0.25">
      <c r="A1379">
        <v>14</v>
      </c>
      <c r="B1379">
        <v>6.9</v>
      </c>
      <c r="C1379">
        <v>6</v>
      </c>
      <c r="D1379">
        <v>16.899999999999999</v>
      </c>
      <c r="E1379">
        <v>24</v>
      </c>
      <c r="F1379">
        <v>4.7326178755941306E-2</v>
      </c>
      <c r="G1379" t="str">
        <f t="shared" si="81"/>
        <v>Insert into BlueCreditTypeRainbow Values (14, 6.9, 6, 16.9, 24, 0.0473261787559413)</v>
      </c>
      <c r="N1379" s="4">
        <v>1376</v>
      </c>
      <c r="O1379" s="8">
        <f>$B$7*COUNTIF(Sheet2!$B$1:$B$132,N1379)</f>
        <v>0</v>
      </c>
      <c r="P1379" s="8">
        <f t="shared" ca="1" si="79"/>
        <v>0</v>
      </c>
      <c r="Q1379" s="8">
        <f ca="1">CEILING(R1378*(IF(N1379&lt;=IF($B$2=0,0,OFFSET(Sheet2!$B$1,Sheet1!$B$2-1,0)),$B$1/(365*100),$B$3/(365*100)))*100,1)/100</f>
        <v>197.1</v>
      </c>
      <c r="R1379" s="9">
        <f t="shared" ca="1" si="80"/>
        <v>483024.99143959221</v>
      </c>
    </row>
    <row r="1380" spans="1:18" x14ac:dyDescent="0.25">
      <c r="A1380">
        <v>14</v>
      </c>
      <c r="B1380">
        <v>6.9</v>
      </c>
      <c r="C1380">
        <v>6</v>
      </c>
      <c r="D1380">
        <v>16.899999999999999</v>
      </c>
      <c r="E1380">
        <v>25</v>
      </c>
      <c r="F1380">
        <v>4.5727167189349133E-2</v>
      </c>
      <c r="G1380" t="str">
        <f t="shared" si="81"/>
        <v>Insert into BlueCreditTypeRainbow Values (14, 6.9, 6, 16.9, 25, 0.0457271671893491)</v>
      </c>
      <c r="N1380" s="4">
        <v>1377</v>
      </c>
      <c r="O1380" s="8">
        <f>$B$7*COUNTIF(Sheet2!$B$1:$B$132,N1380)</f>
        <v>0</v>
      </c>
      <c r="P1380" s="8">
        <f t="shared" ca="1" si="79"/>
        <v>0</v>
      </c>
      <c r="Q1380" s="8">
        <f ca="1">CEILING(R1379*(IF(N1380&lt;=IF($B$2=0,0,OFFSET(Sheet2!$B$1,Sheet1!$B$2-1,0)),$B$1/(365*100),$B$3/(365*100)))*100,1)/100</f>
        <v>197.19</v>
      </c>
      <c r="R1380" s="9">
        <f t="shared" ca="1" si="80"/>
        <v>483222.18143959221</v>
      </c>
    </row>
    <row r="1381" spans="1:18" x14ac:dyDescent="0.25">
      <c r="A1381">
        <v>14</v>
      </c>
      <c r="B1381">
        <v>6.9</v>
      </c>
      <c r="C1381">
        <v>6</v>
      </c>
      <c r="D1381">
        <v>16.899999999999999</v>
      </c>
      <c r="E1381">
        <v>26</v>
      </c>
      <c r="F1381">
        <v>4.425328925304569E-2</v>
      </c>
      <c r="G1381" t="str">
        <f t="shared" si="81"/>
        <v>Insert into BlueCreditTypeRainbow Values (14, 6.9, 6, 16.9, 26, 0.0442532892530457)</v>
      </c>
      <c r="N1381" s="4">
        <v>1378</v>
      </c>
      <c r="O1381" s="8">
        <f>$B$7*COUNTIF(Sheet2!$B$1:$B$132,N1381)</f>
        <v>0</v>
      </c>
      <c r="P1381" s="8">
        <f t="shared" ca="1" si="79"/>
        <v>0</v>
      </c>
      <c r="Q1381" s="8">
        <f ca="1">CEILING(R1380*(IF(N1381&lt;=IF($B$2=0,0,OFFSET(Sheet2!$B$1,Sheet1!$B$2-1,0)),$B$1/(365*100),$B$3/(365*100)))*100,1)/100</f>
        <v>197.27</v>
      </c>
      <c r="R1381" s="9">
        <f t="shared" ca="1" si="80"/>
        <v>483419.45143959223</v>
      </c>
    </row>
    <row r="1382" spans="1:18" x14ac:dyDescent="0.25">
      <c r="A1382">
        <v>14</v>
      </c>
      <c r="B1382">
        <v>6.9</v>
      </c>
      <c r="C1382">
        <v>6</v>
      </c>
      <c r="D1382">
        <v>16.899999999999999</v>
      </c>
      <c r="E1382">
        <v>27</v>
      </c>
      <c r="F1382">
        <v>4.2889929648321432E-2</v>
      </c>
      <c r="G1382" t="str">
        <f t="shared" si="81"/>
        <v>Insert into BlueCreditTypeRainbow Values (14, 6.9, 6, 16.9, 27, 0.0428899296483214)</v>
      </c>
      <c r="N1382" s="4">
        <v>1379</v>
      </c>
      <c r="O1382" s="8">
        <f>$B$7*COUNTIF(Sheet2!$B$1:$B$132,N1382)</f>
        <v>0</v>
      </c>
      <c r="P1382" s="8">
        <f t="shared" ca="1" si="79"/>
        <v>0</v>
      </c>
      <c r="Q1382" s="8">
        <f ca="1">CEILING(R1381*(IF(N1382&lt;=IF($B$2=0,0,OFFSET(Sheet2!$B$1,Sheet1!$B$2-1,0)),$B$1/(365*100),$B$3/(365*100)))*100,1)/100</f>
        <v>197.35</v>
      </c>
      <c r="R1382" s="9">
        <f t="shared" ca="1" si="80"/>
        <v>483616.80143959221</v>
      </c>
    </row>
    <row r="1383" spans="1:18" x14ac:dyDescent="0.25">
      <c r="A1383">
        <v>14</v>
      </c>
      <c r="B1383">
        <v>6.9</v>
      </c>
      <c r="C1383">
        <v>6</v>
      </c>
      <c r="D1383">
        <v>16.899999999999999</v>
      </c>
      <c r="E1383">
        <v>28</v>
      </c>
      <c r="F1383">
        <v>4.1625788589393663E-2</v>
      </c>
      <c r="G1383" t="str">
        <f t="shared" si="81"/>
        <v>Insert into BlueCreditTypeRainbow Values (14, 6.9, 6, 16.9, 28, 0.0416257885893937)</v>
      </c>
      <c r="N1383" s="4">
        <v>1380</v>
      </c>
      <c r="O1383" s="8">
        <f>$B$7*COUNTIF(Sheet2!$B$1:$B$132,N1383)</f>
        <v>0</v>
      </c>
      <c r="P1383" s="8">
        <f t="shared" ca="1" si="79"/>
        <v>0</v>
      </c>
      <c r="Q1383" s="8">
        <f ca="1">CEILING(R1382*(IF(N1383&lt;=IF($B$2=0,0,OFFSET(Sheet2!$B$1,Sheet1!$B$2-1,0)),$B$1/(365*100),$B$3/(365*100)))*100,1)/100</f>
        <v>197.43</v>
      </c>
      <c r="R1383" s="9">
        <f t="shared" ca="1" si="80"/>
        <v>483814.2314395922</v>
      </c>
    </row>
    <row r="1384" spans="1:18" x14ac:dyDescent="0.25">
      <c r="A1384">
        <v>14</v>
      </c>
      <c r="B1384">
        <v>6.9</v>
      </c>
      <c r="C1384">
        <v>6</v>
      </c>
      <c r="D1384">
        <v>16.899999999999999</v>
      </c>
      <c r="E1384">
        <v>29</v>
      </c>
      <c r="F1384">
        <v>4.0450003448275852E-2</v>
      </c>
      <c r="G1384" t="str">
        <f t="shared" si="81"/>
        <v>Insert into BlueCreditTypeRainbow Values (14, 6.9, 6, 16.9, 29, 0.0404500034482759)</v>
      </c>
      <c r="N1384" s="4">
        <v>1381</v>
      </c>
      <c r="O1384" s="8">
        <f>$B$7*COUNTIF(Sheet2!$B$1:$B$132,N1384)</f>
        <v>0</v>
      </c>
      <c r="P1384" s="8">
        <f t="shared" ca="1" si="79"/>
        <v>0</v>
      </c>
      <c r="Q1384" s="8">
        <f ca="1">CEILING(R1383*(IF(N1384&lt;=IF($B$2=0,0,OFFSET(Sheet2!$B$1,Sheet1!$B$2-1,0)),$B$1/(365*100),$B$3/(365*100)))*100,1)/100</f>
        <v>197.51</v>
      </c>
      <c r="R1384" s="9">
        <f t="shared" ca="1" si="80"/>
        <v>484011.74143959221</v>
      </c>
    </row>
    <row r="1385" spans="1:18" x14ac:dyDescent="0.25">
      <c r="A1385">
        <v>14</v>
      </c>
      <c r="B1385">
        <v>6.9</v>
      </c>
      <c r="C1385">
        <v>6</v>
      </c>
      <c r="D1385">
        <v>16.899999999999999</v>
      </c>
      <c r="E1385">
        <v>30</v>
      </c>
      <c r="F1385">
        <v>3.9354224012531469E-2</v>
      </c>
      <c r="G1385" t="str">
        <f t="shared" si="81"/>
        <v>Insert into BlueCreditTypeRainbow Values (14, 6.9, 6, 16.9, 30, 0.0393542240125315)</v>
      </c>
      <c r="N1385" s="4">
        <v>1382</v>
      </c>
      <c r="O1385" s="8">
        <f>$B$7*COUNTIF(Sheet2!$B$1:$B$132,N1385)</f>
        <v>0</v>
      </c>
      <c r="P1385" s="8">
        <f t="shared" ca="1" si="79"/>
        <v>0</v>
      </c>
      <c r="Q1385" s="8">
        <f ca="1">CEILING(R1384*(IF(N1385&lt;=IF($B$2=0,0,OFFSET(Sheet2!$B$1,Sheet1!$B$2-1,0)),$B$1/(365*100),$B$3/(365*100)))*100,1)/100</f>
        <v>197.59</v>
      </c>
      <c r="R1385" s="9">
        <f t="shared" ca="1" si="80"/>
        <v>484209.33143959224</v>
      </c>
    </row>
    <row r="1386" spans="1:18" x14ac:dyDescent="0.25">
      <c r="A1386">
        <v>14</v>
      </c>
      <c r="B1386">
        <v>6.9</v>
      </c>
      <c r="C1386">
        <v>6</v>
      </c>
      <c r="D1386">
        <v>16.899999999999999</v>
      </c>
      <c r="E1386">
        <v>31</v>
      </c>
      <c r="F1386">
        <v>3.8330190645161341E-2</v>
      </c>
      <c r="G1386" t="str">
        <f t="shared" si="81"/>
        <v>Insert into BlueCreditTypeRainbow Values (14, 6.9, 6, 16.9, 31, 0.0383301906451613)</v>
      </c>
      <c r="N1386" s="4">
        <v>1383</v>
      </c>
      <c r="O1386" s="8">
        <f>$B$7*COUNTIF(Sheet2!$B$1:$B$132,N1386)</f>
        <v>0</v>
      </c>
      <c r="P1386" s="8">
        <f t="shared" ca="1" si="79"/>
        <v>0</v>
      </c>
      <c r="Q1386" s="8">
        <f ca="1">CEILING(R1385*(IF(N1386&lt;=IF($B$2=0,0,OFFSET(Sheet2!$B$1,Sheet1!$B$2-1,0)),$B$1/(365*100),$B$3/(365*100)))*100,1)/100</f>
        <v>197.67</v>
      </c>
      <c r="R1386" s="9">
        <f t="shared" ca="1" si="80"/>
        <v>484407.00143959222</v>
      </c>
    </row>
    <row r="1387" spans="1:18" x14ac:dyDescent="0.25">
      <c r="A1387">
        <v>14</v>
      </c>
      <c r="B1387">
        <v>6.9</v>
      </c>
      <c r="C1387">
        <v>6</v>
      </c>
      <c r="D1387">
        <v>16.899999999999999</v>
      </c>
      <c r="E1387">
        <v>32</v>
      </c>
      <c r="F1387">
        <v>3.7371168778597676E-2</v>
      </c>
      <c r="G1387" t="str">
        <f t="shared" si="81"/>
        <v>Insert into BlueCreditTypeRainbow Values (14, 6.9, 6, 16.9, 32, 0.0373711687785977)</v>
      </c>
      <c r="N1387" s="4">
        <v>1384</v>
      </c>
      <c r="O1387" s="8">
        <f>$B$7*COUNTIF(Sheet2!$B$1:$B$132,N1387)</f>
        <v>0</v>
      </c>
      <c r="P1387" s="8">
        <f t="shared" ca="1" si="79"/>
        <v>0</v>
      </c>
      <c r="Q1387" s="8">
        <f ca="1">CEILING(R1386*(IF(N1387&lt;=IF($B$2=0,0,OFFSET(Sheet2!$B$1,Sheet1!$B$2-1,0)),$B$1/(365*100),$B$3/(365*100)))*100,1)/100</f>
        <v>197.75</v>
      </c>
      <c r="R1387" s="9">
        <f t="shared" ca="1" si="80"/>
        <v>484604.75143959222</v>
      </c>
    </row>
    <row r="1388" spans="1:18" x14ac:dyDescent="0.25">
      <c r="A1388">
        <v>14</v>
      </c>
      <c r="B1388">
        <v>6.9</v>
      </c>
      <c r="C1388">
        <v>6</v>
      </c>
      <c r="D1388">
        <v>16.899999999999999</v>
      </c>
      <c r="E1388">
        <v>33</v>
      </c>
      <c r="F1388">
        <v>3.6471647295134899E-2</v>
      </c>
      <c r="G1388" t="str">
        <f t="shared" si="81"/>
        <v>Insert into BlueCreditTypeRainbow Values (14, 6.9, 6, 16.9, 33, 0.0364716472951349)</v>
      </c>
      <c r="N1388" s="4">
        <v>1385</v>
      </c>
      <c r="O1388" s="8">
        <f>$B$7*COUNTIF(Sheet2!$B$1:$B$132,N1388)</f>
        <v>0</v>
      </c>
      <c r="P1388" s="8">
        <f t="shared" ca="1" si="79"/>
        <v>0</v>
      </c>
      <c r="Q1388" s="8">
        <f ca="1">CEILING(R1387*(IF(N1388&lt;=IF($B$2=0,0,OFFSET(Sheet2!$B$1,Sheet1!$B$2-1,0)),$B$1/(365*100),$B$3/(365*100)))*100,1)/100</f>
        <v>197.83</v>
      </c>
      <c r="R1388" s="9">
        <f t="shared" ca="1" si="80"/>
        <v>484802.58143959224</v>
      </c>
    </row>
    <row r="1389" spans="1:18" x14ac:dyDescent="0.25">
      <c r="A1389">
        <v>14</v>
      </c>
      <c r="B1389">
        <v>6.9</v>
      </c>
      <c r="C1389">
        <v>6</v>
      </c>
      <c r="D1389">
        <v>16.899999999999999</v>
      </c>
      <c r="E1389">
        <v>34</v>
      </c>
      <c r="F1389">
        <v>3.5625955919732388E-2</v>
      </c>
      <c r="G1389" t="str">
        <f t="shared" si="81"/>
        <v>Insert into BlueCreditTypeRainbow Values (14, 6.9, 6, 16.9, 34, 0.0356259559197324)</v>
      </c>
      <c r="N1389" s="4">
        <v>1386</v>
      </c>
      <c r="O1389" s="8">
        <f>$B$7*COUNTIF(Sheet2!$B$1:$B$132,N1389)</f>
        <v>0</v>
      </c>
      <c r="P1389" s="8">
        <f t="shared" ca="1" si="79"/>
        <v>0</v>
      </c>
      <c r="Q1389" s="8">
        <f ca="1">CEILING(R1388*(IF(N1389&lt;=IF($B$2=0,0,OFFSET(Sheet2!$B$1,Sheet1!$B$2-1,0)),$B$1/(365*100),$B$3/(365*100)))*100,1)/100</f>
        <v>197.91</v>
      </c>
      <c r="R1389" s="9">
        <f t="shared" ca="1" si="80"/>
        <v>485000.49143959221</v>
      </c>
    </row>
    <row r="1390" spans="1:18" x14ac:dyDescent="0.25">
      <c r="A1390">
        <v>14</v>
      </c>
      <c r="B1390">
        <v>6.9</v>
      </c>
      <c r="C1390">
        <v>6</v>
      </c>
      <c r="D1390">
        <v>16.899999999999999</v>
      </c>
      <c r="E1390">
        <v>35</v>
      </c>
      <c r="F1390">
        <v>3.482984400000004E-2</v>
      </c>
      <c r="G1390" t="str">
        <f t="shared" si="81"/>
        <v>Insert into BlueCreditTypeRainbow Values (14, 6.9, 6, 16.9, 35, 0.034829844)</v>
      </c>
      <c r="N1390" s="4">
        <v>1387</v>
      </c>
      <c r="O1390" s="8">
        <f>$B$7*COUNTIF(Sheet2!$B$1:$B$132,N1390)</f>
        <v>0</v>
      </c>
      <c r="P1390" s="8">
        <f t="shared" ca="1" si="79"/>
        <v>0</v>
      </c>
      <c r="Q1390" s="8">
        <f ca="1">CEILING(R1389*(IF(N1390&lt;=IF($B$2=0,0,OFFSET(Sheet2!$B$1,Sheet1!$B$2-1,0)),$B$1/(365*100),$B$3/(365*100)))*100,1)/100</f>
        <v>197.99</v>
      </c>
      <c r="R1390" s="9">
        <f t="shared" ca="1" si="80"/>
        <v>485198.4814395922</v>
      </c>
    </row>
    <row r="1391" spans="1:18" x14ac:dyDescent="0.25">
      <c r="A1391">
        <v>14</v>
      </c>
      <c r="B1391">
        <v>6.9</v>
      </c>
      <c r="C1391">
        <v>6</v>
      </c>
      <c r="D1391">
        <v>16.899999999999999</v>
      </c>
      <c r="E1391">
        <v>36</v>
      </c>
      <c r="F1391">
        <v>3.4078804745228758E-2</v>
      </c>
      <c r="G1391" t="str">
        <f t="shared" si="81"/>
        <v>Insert into BlueCreditTypeRainbow Values (14, 6.9, 6, 16.9, 36, 0.0340788047452288)</v>
      </c>
      <c r="N1391" s="4">
        <v>1388</v>
      </c>
      <c r="O1391" s="8">
        <f>$B$7*COUNTIF(Sheet2!$B$1:$B$132,N1391)</f>
        <v>0</v>
      </c>
      <c r="P1391" s="8">
        <f t="shared" ca="1" si="79"/>
        <v>0</v>
      </c>
      <c r="Q1391" s="8">
        <f ca="1">CEILING(R1390*(IF(N1391&lt;=IF($B$2=0,0,OFFSET(Sheet2!$B$1,Sheet1!$B$2-1,0)),$B$1/(365*100),$B$3/(365*100)))*100,1)/100</f>
        <v>198.07</v>
      </c>
      <c r="R1391" s="9">
        <f t="shared" ca="1" si="80"/>
        <v>485396.55143959221</v>
      </c>
    </row>
    <row r="1392" spans="1:18" x14ac:dyDescent="0.25">
      <c r="A1392">
        <v>14</v>
      </c>
      <c r="B1392">
        <v>6.9</v>
      </c>
      <c r="C1392">
        <v>5</v>
      </c>
      <c r="D1392">
        <v>16.899999999999999</v>
      </c>
      <c r="E1392">
        <v>24</v>
      </c>
      <c r="F1392">
        <v>4.7635235453960215E-2</v>
      </c>
      <c r="G1392" t="str">
        <f t="shared" si="81"/>
        <v>Insert into BlueCreditTypeRainbow Values (14, 6.9, 5, 16.9, 24, 0.0476352354539602)</v>
      </c>
      <c r="N1392" s="4">
        <v>1389</v>
      </c>
      <c r="O1392" s="8">
        <f>$B$7*COUNTIF(Sheet2!$B$1:$B$132,N1392)</f>
        <v>0</v>
      </c>
      <c r="P1392" s="8">
        <f t="shared" ca="1" si="79"/>
        <v>0</v>
      </c>
      <c r="Q1392" s="8">
        <f ca="1">CEILING(R1391*(IF(N1392&lt;=IF($B$2=0,0,OFFSET(Sheet2!$B$1,Sheet1!$B$2-1,0)),$B$1/(365*100),$B$3/(365*100)))*100,1)/100</f>
        <v>198.15</v>
      </c>
      <c r="R1392" s="9">
        <f t="shared" ca="1" si="80"/>
        <v>485594.70143959223</v>
      </c>
    </row>
    <row r="1393" spans="1:18" x14ac:dyDescent="0.25">
      <c r="A1393">
        <v>14</v>
      </c>
      <c r="B1393">
        <v>6.9</v>
      </c>
      <c r="C1393">
        <v>5</v>
      </c>
      <c r="D1393">
        <v>16.899999999999999</v>
      </c>
      <c r="E1393">
        <v>25</v>
      </c>
      <c r="F1393">
        <v>4.6028870425871095E-2</v>
      </c>
      <c r="G1393" t="str">
        <f t="shared" si="81"/>
        <v>Insert into BlueCreditTypeRainbow Values (14, 6.9, 5, 16.9, 25, 0.0460288704258711)</v>
      </c>
      <c r="N1393" s="4">
        <v>1390</v>
      </c>
      <c r="O1393" s="8">
        <f>$B$7*COUNTIF(Sheet2!$B$1:$B$132,N1393)</f>
        <v>0</v>
      </c>
      <c r="P1393" s="8">
        <f t="shared" ca="1" si="79"/>
        <v>0</v>
      </c>
      <c r="Q1393" s="8">
        <f ca="1">CEILING(R1392*(IF(N1393&lt;=IF($B$2=0,0,OFFSET(Sheet2!$B$1,Sheet1!$B$2-1,0)),$B$1/(365*100),$B$3/(365*100)))*100,1)/100</f>
        <v>198.23</v>
      </c>
      <c r="R1393" s="9">
        <f t="shared" ca="1" si="80"/>
        <v>485792.93143959221</v>
      </c>
    </row>
    <row r="1394" spans="1:18" x14ac:dyDescent="0.25">
      <c r="A1394">
        <v>14</v>
      </c>
      <c r="B1394">
        <v>6.9</v>
      </c>
      <c r="C1394">
        <v>5</v>
      </c>
      <c r="D1394">
        <v>16.899999999999999</v>
      </c>
      <c r="E1394">
        <v>26</v>
      </c>
      <c r="F1394">
        <v>4.4548011186017429E-2</v>
      </c>
      <c r="G1394" t="str">
        <f t="shared" si="81"/>
        <v>Insert into BlueCreditTypeRainbow Values (14, 6.9, 5, 16.9, 26, 0.0445480111860174)</v>
      </c>
      <c r="N1394" s="4">
        <v>1391</v>
      </c>
      <c r="O1394" s="8">
        <f>$B$7*COUNTIF(Sheet2!$B$1:$B$132,N1394)</f>
        <v>0</v>
      </c>
      <c r="P1394" s="8">
        <f t="shared" ca="1" si="79"/>
        <v>0</v>
      </c>
      <c r="Q1394" s="8">
        <f ca="1">CEILING(R1393*(IF(N1394&lt;=IF($B$2=0,0,OFFSET(Sheet2!$B$1,Sheet1!$B$2-1,0)),$B$1/(365*100),$B$3/(365*100)))*100,1)/100</f>
        <v>198.31</v>
      </c>
      <c r="R1394" s="9">
        <f t="shared" ca="1" si="80"/>
        <v>485991.24143959221</v>
      </c>
    </row>
    <row r="1395" spans="1:18" x14ac:dyDescent="0.25">
      <c r="A1395">
        <v>14</v>
      </c>
      <c r="B1395">
        <v>6.9</v>
      </c>
      <c r="C1395">
        <v>5</v>
      </c>
      <c r="D1395">
        <v>16.899999999999999</v>
      </c>
      <c r="E1395">
        <v>27</v>
      </c>
      <c r="F1395">
        <v>4.3178026333180554E-2</v>
      </c>
      <c r="G1395" t="str">
        <f t="shared" si="81"/>
        <v>Insert into BlueCreditTypeRainbow Values (14, 6.9, 5, 16.9, 27, 0.0431780263331806)</v>
      </c>
      <c r="N1395" s="4">
        <v>1392</v>
      </c>
      <c r="O1395" s="8">
        <f>$B$7*COUNTIF(Sheet2!$B$1:$B$132,N1395)</f>
        <v>0</v>
      </c>
      <c r="P1395" s="8">
        <f t="shared" ca="1" si="79"/>
        <v>0</v>
      </c>
      <c r="Q1395" s="8">
        <f ca="1">CEILING(R1394*(IF(N1395&lt;=IF($B$2=0,0,OFFSET(Sheet2!$B$1,Sheet1!$B$2-1,0)),$B$1/(365*100),$B$3/(365*100)))*100,1)/100</f>
        <v>198.4</v>
      </c>
      <c r="R1395" s="9">
        <f t="shared" ca="1" si="80"/>
        <v>486189.64143959223</v>
      </c>
    </row>
    <row r="1396" spans="1:18" x14ac:dyDescent="0.25">
      <c r="A1396">
        <v>14</v>
      </c>
      <c r="B1396">
        <v>6.9</v>
      </c>
      <c r="C1396">
        <v>5</v>
      </c>
      <c r="D1396">
        <v>16.899999999999999</v>
      </c>
      <c r="E1396">
        <v>28</v>
      </c>
      <c r="F1396">
        <v>4.1907612857142895E-2</v>
      </c>
      <c r="G1396" t="str">
        <f t="shared" si="81"/>
        <v>Insert into BlueCreditTypeRainbow Values (14, 6.9, 5, 16.9, 28, 0.0419076128571429)</v>
      </c>
      <c r="N1396" s="4">
        <v>1393</v>
      </c>
      <c r="O1396" s="8">
        <f>$B$7*COUNTIF(Sheet2!$B$1:$B$132,N1396)</f>
        <v>0</v>
      </c>
      <c r="P1396" s="8">
        <f t="shared" ca="1" si="79"/>
        <v>0</v>
      </c>
      <c r="Q1396" s="8">
        <f ca="1">CEILING(R1395*(IF(N1396&lt;=IF($B$2=0,0,OFFSET(Sheet2!$B$1,Sheet1!$B$2-1,0)),$B$1/(365*100),$B$3/(365*100)))*100,1)/100</f>
        <v>198.48</v>
      </c>
      <c r="R1396" s="9">
        <f t="shared" ca="1" si="80"/>
        <v>486388.12143959221</v>
      </c>
    </row>
    <row r="1397" spans="1:18" x14ac:dyDescent="0.25">
      <c r="A1397">
        <v>14</v>
      </c>
      <c r="B1397">
        <v>6.9</v>
      </c>
      <c r="C1397">
        <v>5</v>
      </c>
      <c r="D1397">
        <v>16.899999999999999</v>
      </c>
      <c r="E1397">
        <v>29</v>
      </c>
      <c r="F1397">
        <v>4.0725874482758662E-2</v>
      </c>
      <c r="G1397" t="str">
        <f t="shared" si="81"/>
        <v>Insert into BlueCreditTypeRainbow Values (14, 6.9, 5, 16.9, 29, 0.0407258744827587)</v>
      </c>
      <c r="N1397" s="4">
        <v>1394</v>
      </c>
      <c r="O1397" s="8">
        <f>$B$7*COUNTIF(Sheet2!$B$1:$B$132,N1397)</f>
        <v>0</v>
      </c>
      <c r="P1397" s="8">
        <f t="shared" ca="1" si="79"/>
        <v>0</v>
      </c>
      <c r="Q1397" s="8">
        <f ca="1">CEILING(R1396*(IF(N1397&lt;=IF($B$2=0,0,OFFSET(Sheet2!$B$1,Sheet1!$B$2-1,0)),$B$1/(365*100),$B$3/(365*100)))*100,1)/100</f>
        <v>198.56</v>
      </c>
      <c r="R1397" s="9">
        <f t="shared" ca="1" si="80"/>
        <v>486586.68143959221</v>
      </c>
    </row>
    <row r="1398" spans="1:18" x14ac:dyDescent="0.25">
      <c r="A1398">
        <v>14</v>
      </c>
      <c r="B1398">
        <v>6.9</v>
      </c>
      <c r="C1398">
        <v>5</v>
      </c>
      <c r="D1398">
        <v>16.899999999999999</v>
      </c>
      <c r="E1398">
        <v>30</v>
      </c>
      <c r="F1398">
        <v>3.9624437674899086E-2</v>
      </c>
      <c r="G1398" t="str">
        <f t="shared" si="81"/>
        <v>Insert into BlueCreditTypeRainbow Values (14, 6.9, 5, 16.9, 30, 0.0396244376748991)</v>
      </c>
      <c r="N1398" s="4">
        <v>1395</v>
      </c>
      <c r="O1398" s="8">
        <f>$B$7*COUNTIF(Sheet2!$B$1:$B$132,N1398)</f>
        <v>0</v>
      </c>
      <c r="P1398" s="8">
        <f t="shared" ca="1" si="79"/>
        <v>0</v>
      </c>
      <c r="Q1398" s="8">
        <f ca="1">CEILING(R1397*(IF(N1398&lt;=IF($B$2=0,0,OFFSET(Sheet2!$B$1,Sheet1!$B$2-1,0)),$B$1/(365*100),$B$3/(365*100)))*100,1)/100</f>
        <v>198.64</v>
      </c>
      <c r="R1398" s="9">
        <f t="shared" ca="1" si="80"/>
        <v>486785.32143959223</v>
      </c>
    </row>
    <row r="1399" spans="1:18" x14ac:dyDescent="0.25">
      <c r="A1399">
        <v>14</v>
      </c>
      <c r="B1399">
        <v>6.9</v>
      </c>
      <c r="C1399">
        <v>5</v>
      </c>
      <c r="D1399">
        <v>16.899999999999999</v>
      </c>
      <c r="E1399">
        <v>31</v>
      </c>
      <c r="F1399">
        <v>3.8595021633193005E-2</v>
      </c>
      <c r="G1399" t="str">
        <f t="shared" si="81"/>
        <v>Insert into BlueCreditTypeRainbow Values (14, 6.9, 5, 16.9, 31, 0.038595021633193)</v>
      </c>
      <c r="N1399" s="4">
        <v>1396</v>
      </c>
      <c r="O1399" s="8">
        <f>$B$7*COUNTIF(Sheet2!$B$1:$B$132,N1399)</f>
        <v>0</v>
      </c>
      <c r="P1399" s="8">
        <f t="shared" ca="1" si="79"/>
        <v>0</v>
      </c>
      <c r="Q1399" s="8">
        <f ca="1">CEILING(R1398*(IF(N1399&lt;=IF($B$2=0,0,OFFSET(Sheet2!$B$1,Sheet1!$B$2-1,0)),$B$1/(365*100),$B$3/(365*100)))*100,1)/100</f>
        <v>198.72</v>
      </c>
      <c r="R1399" s="9">
        <f t="shared" ca="1" si="80"/>
        <v>486984.0414395922</v>
      </c>
    </row>
    <row r="1400" spans="1:18" x14ac:dyDescent="0.25">
      <c r="A1400">
        <v>14</v>
      </c>
      <c r="B1400">
        <v>6.9</v>
      </c>
      <c r="C1400">
        <v>5</v>
      </c>
      <c r="D1400">
        <v>16.899999999999999</v>
      </c>
      <c r="E1400">
        <v>32</v>
      </c>
      <c r="F1400">
        <v>3.7630878437499973E-2</v>
      </c>
      <c r="G1400" t="str">
        <f t="shared" si="81"/>
        <v>Insert into BlueCreditTypeRainbow Values (14, 6.9, 5, 16.9, 32, 0.0376308784375)</v>
      </c>
      <c r="N1400" s="4">
        <v>1397</v>
      </c>
      <c r="O1400" s="8">
        <f>$B$7*COUNTIF(Sheet2!$B$1:$B$132,N1400)</f>
        <v>0</v>
      </c>
      <c r="P1400" s="8">
        <f t="shared" ca="1" si="79"/>
        <v>0</v>
      </c>
      <c r="Q1400" s="8">
        <f ca="1">CEILING(R1399*(IF(N1400&lt;=IF($B$2=0,0,OFFSET(Sheet2!$B$1,Sheet1!$B$2-1,0)),$B$1/(365*100),$B$3/(365*100)))*100,1)/100</f>
        <v>198.8</v>
      </c>
      <c r="R1400" s="9">
        <f t="shared" ca="1" si="80"/>
        <v>487182.84143959219</v>
      </c>
    </row>
    <row r="1401" spans="1:18" x14ac:dyDescent="0.25">
      <c r="A1401">
        <v>14</v>
      </c>
      <c r="B1401">
        <v>6.9</v>
      </c>
      <c r="C1401">
        <v>5</v>
      </c>
      <c r="D1401">
        <v>16.899999999999999</v>
      </c>
      <c r="E1401">
        <v>33</v>
      </c>
      <c r="F1401">
        <v>3.6726487298993082E-2</v>
      </c>
      <c r="G1401" t="str">
        <f t="shared" si="81"/>
        <v>Insert into BlueCreditTypeRainbow Values (14, 6.9, 5, 16.9, 33, 0.0367264872989931)</v>
      </c>
      <c r="N1401" s="4">
        <v>1398</v>
      </c>
      <c r="O1401" s="8">
        <f>$B$7*COUNTIF(Sheet2!$B$1:$B$132,N1401)</f>
        <v>0</v>
      </c>
      <c r="P1401" s="8">
        <f t="shared" ca="1" si="79"/>
        <v>0</v>
      </c>
      <c r="Q1401" s="8">
        <f ca="1">CEILING(R1400*(IF(N1401&lt;=IF($B$2=0,0,OFFSET(Sheet2!$B$1,Sheet1!$B$2-1,0)),$B$1/(365*100),$B$3/(365*100)))*100,1)/100</f>
        <v>198.88</v>
      </c>
      <c r="R1401" s="9">
        <f t="shared" ca="1" si="80"/>
        <v>487381.72143959219</v>
      </c>
    </row>
    <row r="1402" spans="1:18" x14ac:dyDescent="0.25">
      <c r="A1402">
        <v>14</v>
      </c>
      <c r="B1402">
        <v>6.9</v>
      </c>
      <c r="C1402">
        <v>5</v>
      </c>
      <c r="D1402">
        <v>16.899999999999999</v>
      </c>
      <c r="E1402">
        <v>34</v>
      </c>
      <c r="F1402">
        <v>3.5876157647058808E-2</v>
      </c>
      <c r="G1402" t="str">
        <f t="shared" si="81"/>
        <v>Insert into BlueCreditTypeRainbow Values (14, 6.9, 5, 16.9, 34, 0.0358761576470588)</v>
      </c>
      <c r="N1402" s="4">
        <v>1399</v>
      </c>
      <c r="O1402" s="8">
        <f>$B$7*COUNTIF(Sheet2!$B$1:$B$132,N1402)</f>
        <v>0</v>
      </c>
      <c r="P1402" s="8">
        <f t="shared" ca="1" si="79"/>
        <v>0</v>
      </c>
      <c r="Q1402" s="8">
        <f ca="1">CEILING(R1401*(IF(N1402&lt;=IF($B$2=0,0,OFFSET(Sheet2!$B$1,Sheet1!$B$2-1,0)),$B$1/(365*100),$B$3/(365*100)))*100,1)/100</f>
        <v>198.96</v>
      </c>
      <c r="R1402" s="9">
        <f t="shared" ca="1" si="80"/>
        <v>487580.68143959221</v>
      </c>
    </row>
    <row r="1403" spans="1:18" x14ac:dyDescent="0.25">
      <c r="A1403">
        <v>14</v>
      </c>
      <c r="B1403">
        <v>6.9</v>
      </c>
      <c r="C1403">
        <v>5</v>
      </c>
      <c r="D1403">
        <v>16.899999999999999</v>
      </c>
      <c r="E1403">
        <v>35</v>
      </c>
      <c r="F1403">
        <v>3.5075624027704359E-2</v>
      </c>
      <c r="G1403" t="str">
        <f t="shared" si="81"/>
        <v>Insert into BlueCreditTypeRainbow Values (14, 6.9, 5, 16.9, 35, 0.0350756240277044)</v>
      </c>
      <c r="N1403" s="4">
        <v>1400</v>
      </c>
      <c r="O1403" s="8">
        <f>$B$7*COUNTIF(Sheet2!$B$1:$B$132,N1403)</f>
        <v>0</v>
      </c>
      <c r="P1403" s="8">
        <f t="shared" ca="1" si="79"/>
        <v>0</v>
      </c>
      <c r="Q1403" s="8">
        <f ca="1">CEILING(R1402*(IF(N1403&lt;=IF($B$2=0,0,OFFSET(Sheet2!$B$1,Sheet1!$B$2-1,0)),$B$1/(365*100),$B$3/(365*100)))*100,1)/100</f>
        <v>199.04</v>
      </c>
      <c r="R1403" s="9">
        <f t="shared" ca="1" si="80"/>
        <v>487779.72143959219</v>
      </c>
    </row>
    <row r="1404" spans="1:18" x14ac:dyDescent="0.25">
      <c r="A1404">
        <v>14</v>
      </c>
      <c r="B1404">
        <v>6.9</v>
      </c>
      <c r="C1404">
        <v>5</v>
      </c>
      <c r="D1404">
        <v>16.899999999999999</v>
      </c>
      <c r="E1404">
        <v>36</v>
      </c>
      <c r="F1404">
        <v>3.4320368631147062E-2</v>
      </c>
      <c r="G1404" t="str">
        <f t="shared" si="81"/>
        <v>Insert into BlueCreditTypeRainbow Values (14, 6.9, 5, 16.9, 36, 0.0343203686311471)</v>
      </c>
      <c r="N1404" s="4">
        <v>1401</v>
      </c>
      <c r="O1404" s="8">
        <f>$B$7*COUNTIF(Sheet2!$B$1:$B$132,N1404)</f>
        <v>0</v>
      </c>
      <c r="P1404" s="8">
        <f t="shared" ca="1" si="79"/>
        <v>0</v>
      </c>
      <c r="Q1404" s="8">
        <f ca="1">CEILING(R1403*(IF(N1404&lt;=IF($B$2=0,0,OFFSET(Sheet2!$B$1,Sheet1!$B$2-1,0)),$B$1/(365*100),$B$3/(365*100)))*100,1)/100</f>
        <v>199.13</v>
      </c>
      <c r="R1404" s="9">
        <f t="shared" ca="1" si="80"/>
        <v>487978.8514395922</v>
      </c>
    </row>
    <row r="1405" spans="1:18" x14ac:dyDescent="0.25">
      <c r="A1405">
        <v>14</v>
      </c>
      <c r="B1405">
        <v>6.9</v>
      </c>
      <c r="C1405">
        <v>4</v>
      </c>
      <c r="D1405">
        <v>16.899999999999999</v>
      </c>
      <c r="E1405">
        <v>24</v>
      </c>
      <c r="F1405">
        <v>4.7953931497025641E-2</v>
      </c>
      <c r="G1405" t="str">
        <f t="shared" si="81"/>
        <v>Insert into BlueCreditTypeRainbow Values (14, 6.9, 4, 16.9, 24, 0.0479539314970256)</v>
      </c>
      <c r="N1405" s="4">
        <v>1402</v>
      </c>
      <c r="O1405" s="8">
        <f>$B$7*COUNTIF(Sheet2!$B$1:$B$132,N1405)</f>
        <v>21157.10552356458</v>
      </c>
      <c r="P1405" s="8">
        <f t="shared" ca="1" si="79"/>
        <v>20957.895523564581</v>
      </c>
      <c r="Q1405" s="8">
        <f ca="1">CEILING(R1404*(IF(N1405&lt;=IF($B$2=0,0,OFFSET(Sheet2!$B$1,Sheet1!$B$2-1,0)),$B$1/(365*100),$B$3/(365*100)))*100,1)/100</f>
        <v>199.21</v>
      </c>
      <c r="R1405" s="9">
        <f t="shared" ca="1" si="80"/>
        <v>467020.95591602765</v>
      </c>
    </row>
    <row r="1406" spans="1:18" x14ac:dyDescent="0.25">
      <c r="A1406">
        <v>14</v>
      </c>
      <c r="B1406">
        <v>6.9</v>
      </c>
      <c r="C1406">
        <v>4</v>
      </c>
      <c r="D1406">
        <v>16.899999999999999</v>
      </c>
      <c r="E1406">
        <v>25</v>
      </c>
      <c r="F1406">
        <v>4.6339228400000078E-2</v>
      </c>
      <c r="G1406" t="str">
        <f t="shared" si="81"/>
        <v>Insert into BlueCreditTypeRainbow Values (14, 6.9, 4, 16.9, 25, 0.0463392284000001)</v>
      </c>
      <c r="N1406" s="4">
        <v>1403</v>
      </c>
      <c r="O1406" s="8">
        <f>$B$7*COUNTIF(Sheet2!$B$1:$B$132,N1406)</f>
        <v>0</v>
      </c>
      <c r="P1406" s="8">
        <f t="shared" ca="1" si="79"/>
        <v>0</v>
      </c>
      <c r="Q1406" s="8">
        <f ca="1">CEILING(R1405*(IF(N1406&lt;=IF($B$2=0,0,OFFSET(Sheet2!$B$1,Sheet1!$B$2-1,0)),$B$1/(365*100),$B$3/(365*100)))*100,1)/100</f>
        <v>190.65</v>
      </c>
      <c r="R1406" s="9">
        <f t="shared" ca="1" si="80"/>
        <v>467211.60591602768</v>
      </c>
    </row>
    <row r="1407" spans="1:18" x14ac:dyDescent="0.25">
      <c r="A1407">
        <v>14</v>
      </c>
      <c r="B1407">
        <v>6.9</v>
      </c>
      <c r="C1407">
        <v>4</v>
      </c>
      <c r="D1407">
        <v>16.899999999999999</v>
      </c>
      <c r="E1407">
        <v>26</v>
      </c>
      <c r="F1407">
        <v>4.4850547714844563E-2</v>
      </c>
      <c r="G1407" t="str">
        <f t="shared" si="81"/>
        <v>Insert into BlueCreditTypeRainbow Values (14, 6.9, 4, 16.9, 26, 0.0448505477148446)</v>
      </c>
      <c r="N1407" s="4">
        <v>1404</v>
      </c>
      <c r="O1407" s="8">
        <f>$B$7*COUNTIF(Sheet2!$B$1:$B$132,N1407)</f>
        <v>0</v>
      </c>
      <c r="P1407" s="8">
        <f t="shared" ca="1" si="79"/>
        <v>0</v>
      </c>
      <c r="Q1407" s="8">
        <f ca="1">CEILING(R1406*(IF(N1407&lt;=IF($B$2=0,0,OFFSET(Sheet2!$B$1,Sheet1!$B$2-1,0)),$B$1/(365*100),$B$3/(365*100)))*100,1)/100</f>
        <v>190.73</v>
      </c>
      <c r="R1407" s="9">
        <f t="shared" ca="1" si="80"/>
        <v>467402.33591602766</v>
      </c>
    </row>
    <row r="1408" spans="1:18" x14ac:dyDescent="0.25">
      <c r="A1408">
        <v>14</v>
      </c>
      <c r="B1408">
        <v>6.9</v>
      </c>
      <c r="C1408">
        <v>4</v>
      </c>
      <c r="D1408">
        <v>16.899999999999999</v>
      </c>
      <c r="E1408">
        <v>27</v>
      </c>
      <c r="F1408">
        <v>4.3473202222222201E-2</v>
      </c>
      <c r="G1408" t="str">
        <f t="shared" si="81"/>
        <v>Insert into BlueCreditTypeRainbow Values (14, 6.9, 4, 16.9, 27, 0.0434732022222222)</v>
      </c>
      <c r="N1408" s="4">
        <v>1405</v>
      </c>
      <c r="O1408" s="8">
        <f>$B$7*COUNTIF(Sheet2!$B$1:$B$132,N1408)</f>
        <v>0</v>
      </c>
      <c r="P1408" s="8">
        <f t="shared" ca="1" si="79"/>
        <v>0</v>
      </c>
      <c r="Q1408" s="8">
        <f ca="1">CEILING(R1407*(IF(N1408&lt;=IF($B$2=0,0,OFFSET(Sheet2!$B$1,Sheet1!$B$2-1,0)),$B$1/(365*100),$B$3/(365*100)))*100,1)/100</f>
        <v>190.81</v>
      </c>
      <c r="R1408" s="9">
        <f t="shared" ca="1" si="80"/>
        <v>467593.14591602766</v>
      </c>
    </row>
    <row r="1409" spans="1:18" x14ac:dyDescent="0.25">
      <c r="A1409">
        <v>14</v>
      </c>
      <c r="B1409">
        <v>6.9</v>
      </c>
      <c r="C1409">
        <v>4</v>
      </c>
      <c r="D1409">
        <v>16.899999999999999</v>
      </c>
      <c r="E1409">
        <v>28</v>
      </c>
      <c r="F1409">
        <v>4.2195841000845044E-2</v>
      </c>
      <c r="G1409" t="str">
        <f t="shared" si="81"/>
        <v>Insert into BlueCreditTypeRainbow Values (14, 6.9, 4, 16.9, 28, 0.042195841000845)</v>
      </c>
      <c r="N1409" s="4">
        <v>1406</v>
      </c>
      <c r="O1409" s="8">
        <f>$B$7*COUNTIF(Sheet2!$B$1:$B$132,N1409)</f>
        <v>0</v>
      </c>
      <c r="P1409" s="8">
        <f t="shared" ca="1" si="79"/>
        <v>0</v>
      </c>
      <c r="Q1409" s="8">
        <f ca="1">CEILING(R1408*(IF(N1409&lt;=IF($B$2=0,0,OFFSET(Sheet2!$B$1,Sheet1!$B$2-1,0)),$B$1/(365*100),$B$3/(365*100)))*100,1)/100</f>
        <v>190.89</v>
      </c>
      <c r="R1409" s="9">
        <f t="shared" ca="1" si="80"/>
        <v>467784.03591602767</v>
      </c>
    </row>
    <row r="1410" spans="1:18" x14ac:dyDescent="0.25">
      <c r="A1410">
        <v>14</v>
      </c>
      <c r="B1410">
        <v>6.9</v>
      </c>
      <c r="C1410">
        <v>4</v>
      </c>
      <c r="D1410">
        <v>16.899999999999999</v>
      </c>
      <c r="E1410">
        <v>29</v>
      </c>
      <c r="F1410">
        <v>4.1007549318325412E-2</v>
      </c>
      <c r="G1410" t="str">
        <f t="shared" si="81"/>
        <v>Insert into BlueCreditTypeRainbow Values (14, 6.9, 4, 16.9, 29, 0.0410075493183254)</v>
      </c>
      <c r="N1410" s="4">
        <v>1407</v>
      </c>
      <c r="O1410" s="8">
        <f>$B$7*COUNTIF(Sheet2!$B$1:$B$132,N1410)</f>
        <v>0</v>
      </c>
      <c r="P1410" s="8">
        <f t="shared" ca="1" si="79"/>
        <v>0</v>
      </c>
      <c r="Q1410" s="8">
        <f ca="1">CEILING(R1409*(IF(N1410&lt;=IF($B$2=0,0,OFFSET(Sheet2!$B$1,Sheet1!$B$2-1,0)),$B$1/(365*100),$B$3/(365*100)))*100,1)/100</f>
        <v>190.96</v>
      </c>
      <c r="R1410" s="9">
        <f t="shared" ca="1" si="80"/>
        <v>467974.99591602769</v>
      </c>
    </row>
    <row r="1411" spans="1:18" x14ac:dyDescent="0.25">
      <c r="A1411">
        <v>14</v>
      </c>
      <c r="B1411">
        <v>6.9</v>
      </c>
      <c r="C1411">
        <v>4</v>
      </c>
      <c r="D1411">
        <v>16.899999999999999</v>
      </c>
      <c r="E1411">
        <v>30</v>
      </c>
      <c r="F1411">
        <v>3.9899916692149429E-2</v>
      </c>
      <c r="G1411" t="str">
        <f t="shared" si="81"/>
        <v>Insert into BlueCreditTypeRainbow Values (14, 6.9, 4, 16.9, 30, 0.0398999166921494)</v>
      </c>
      <c r="N1411" s="4">
        <v>1408</v>
      </c>
      <c r="O1411" s="8">
        <f>$B$7*COUNTIF(Sheet2!$B$1:$B$132,N1411)</f>
        <v>0</v>
      </c>
      <c r="P1411" s="8">
        <f t="shared" ca="1" si="79"/>
        <v>0</v>
      </c>
      <c r="Q1411" s="8">
        <f ca="1">CEILING(R1410*(IF(N1411&lt;=IF($B$2=0,0,OFFSET(Sheet2!$B$1,Sheet1!$B$2-1,0)),$B$1/(365*100),$B$3/(365*100)))*100,1)/100</f>
        <v>191.04</v>
      </c>
      <c r="R1411" s="9">
        <f t="shared" ca="1" si="80"/>
        <v>468166.03591602767</v>
      </c>
    </row>
    <row r="1412" spans="1:18" x14ac:dyDescent="0.25">
      <c r="A1412">
        <v>14</v>
      </c>
      <c r="B1412">
        <v>6.9</v>
      </c>
      <c r="C1412">
        <v>4</v>
      </c>
      <c r="D1412">
        <v>16.899999999999999</v>
      </c>
      <c r="E1412">
        <v>31</v>
      </c>
      <c r="F1412">
        <v>3.8864650004433378E-2</v>
      </c>
      <c r="G1412" t="str">
        <f t="shared" si="81"/>
        <v>Insert into BlueCreditTypeRainbow Values (14, 6.9, 4, 16.9, 31, 0.0388646500044334)</v>
      </c>
      <c r="N1412" s="4">
        <v>1409</v>
      </c>
      <c r="O1412" s="8">
        <f>$B$7*COUNTIF(Sheet2!$B$1:$B$132,N1412)</f>
        <v>0</v>
      </c>
      <c r="P1412" s="8">
        <f t="shared" ca="1" si="79"/>
        <v>0</v>
      </c>
      <c r="Q1412" s="8">
        <f ca="1">CEILING(R1411*(IF(N1412&lt;=IF($B$2=0,0,OFFSET(Sheet2!$B$1,Sheet1!$B$2-1,0)),$B$1/(365*100),$B$3/(365*100)))*100,1)/100</f>
        <v>191.12</v>
      </c>
      <c r="R1412" s="9">
        <f t="shared" ca="1" si="80"/>
        <v>468357.15591602767</v>
      </c>
    </row>
    <row r="1413" spans="1:18" x14ac:dyDescent="0.25">
      <c r="A1413">
        <v>14</v>
      </c>
      <c r="B1413">
        <v>6.9</v>
      </c>
      <c r="C1413">
        <v>4</v>
      </c>
      <c r="D1413">
        <v>16.899999999999999</v>
      </c>
      <c r="E1413">
        <v>32</v>
      </c>
      <c r="F1413">
        <v>3.7894956250000014E-2</v>
      </c>
      <c r="G1413" t="str">
        <f t="shared" si="81"/>
        <v>Insert into BlueCreditTypeRainbow Values (14, 6.9, 4, 16.9, 32, 0.03789495625)</v>
      </c>
      <c r="N1413" s="4">
        <v>1410</v>
      </c>
      <c r="O1413" s="8">
        <f>$B$7*COUNTIF(Sheet2!$B$1:$B$132,N1413)</f>
        <v>0</v>
      </c>
      <c r="P1413" s="8">
        <f t="shared" ref="P1413:P1476" ca="1" si="82">IF(O1413-Q1413&gt; 0, O1413-Q1413, 0)</f>
        <v>0</v>
      </c>
      <c r="Q1413" s="8">
        <f ca="1">CEILING(R1412*(IF(N1413&lt;=IF($B$2=0,0,OFFSET(Sheet2!$B$1,Sheet1!$B$2-1,0)),$B$1/(365*100),$B$3/(365*100)))*100,1)/100</f>
        <v>191.2</v>
      </c>
      <c r="R1413" s="9">
        <f t="shared" ref="R1413:R1476" ca="1" si="83">R1412+Q1413-O1413</f>
        <v>468548.35591602768</v>
      </c>
    </row>
    <row r="1414" spans="1:18" x14ac:dyDescent="0.25">
      <c r="A1414">
        <v>14</v>
      </c>
      <c r="B1414">
        <v>6.9</v>
      </c>
      <c r="C1414">
        <v>4</v>
      </c>
      <c r="D1414">
        <v>16.899999999999999</v>
      </c>
      <c r="E1414">
        <v>33</v>
      </c>
      <c r="F1414">
        <v>3.6985310011629767E-2</v>
      </c>
      <c r="G1414" t="str">
        <f t="shared" si="81"/>
        <v>Insert into BlueCreditTypeRainbow Values (14, 6.9, 4, 16.9, 33, 0.0369853100116298)</v>
      </c>
      <c r="N1414" s="4">
        <v>1411</v>
      </c>
      <c r="O1414" s="8">
        <f>$B$7*COUNTIF(Sheet2!$B$1:$B$132,N1414)</f>
        <v>0</v>
      </c>
      <c r="P1414" s="8">
        <f t="shared" ca="1" si="82"/>
        <v>0</v>
      </c>
      <c r="Q1414" s="8">
        <f ca="1">CEILING(R1413*(IF(N1414&lt;=IF($B$2=0,0,OFFSET(Sheet2!$B$1,Sheet1!$B$2-1,0)),$B$1/(365*100),$B$3/(365*100)))*100,1)/100</f>
        <v>191.28</v>
      </c>
      <c r="R1414" s="9">
        <f t="shared" ca="1" si="83"/>
        <v>468739.63591602771</v>
      </c>
    </row>
    <row r="1415" spans="1:18" x14ac:dyDescent="0.25">
      <c r="A1415">
        <v>14</v>
      </c>
      <c r="B1415">
        <v>6.9</v>
      </c>
      <c r="C1415">
        <v>4</v>
      </c>
      <c r="D1415">
        <v>16.899999999999999</v>
      </c>
      <c r="E1415">
        <v>34</v>
      </c>
      <c r="F1415">
        <v>3.6129982058823541E-2</v>
      </c>
      <c r="G1415" t="str">
        <f t="shared" si="81"/>
        <v>Insert into BlueCreditTypeRainbow Values (14, 6.9, 4, 16.9, 34, 0.0361299820588235)</v>
      </c>
      <c r="N1415" s="4">
        <v>1412</v>
      </c>
      <c r="O1415" s="8">
        <f>$B$7*COUNTIF(Sheet2!$B$1:$B$132,N1415)</f>
        <v>0</v>
      </c>
      <c r="P1415" s="8">
        <f t="shared" ca="1" si="82"/>
        <v>0</v>
      </c>
      <c r="Q1415" s="8">
        <f ca="1">CEILING(R1414*(IF(N1415&lt;=IF($B$2=0,0,OFFSET(Sheet2!$B$1,Sheet1!$B$2-1,0)),$B$1/(365*100),$B$3/(365*100)))*100,1)/100</f>
        <v>191.35</v>
      </c>
      <c r="R1415" s="9">
        <f t="shared" ca="1" si="83"/>
        <v>468930.98591602768</v>
      </c>
    </row>
    <row r="1416" spans="1:18" x14ac:dyDescent="0.25">
      <c r="A1416">
        <v>14</v>
      </c>
      <c r="B1416">
        <v>6.9</v>
      </c>
      <c r="C1416">
        <v>4</v>
      </c>
      <c r="D1416">
        <v>16.899999999999999</v>
      </c>
      <c r="E1416">
        <v>35</v>
      </c>
      <c r="F1416">
        <v>3.5324704874659635E-2</v>
      </c>
      <c r="G1416" t="str">
        <f t="shared" si="81"/>
        <v>Insert into BlueCreditTypeRainbow Values (14, 6.9, 4, 16.9, 35, 0.0353247048746596)</v>
      </c>
      <c r="N1416" s="4">
        <v>1413</v>
      </c>
      <c r="O1416" s="8">
        <f>$B$7*COUNTIF(Sheet2!$B$1:$B$132,N1416)</f>
        <v>0</v>
      </c>
      <c r="P1416" s="8">
        <f t="shared" ca="1" si="82"/>
        <v>0</v>
      </c>
      <c r="Q1416" s="8">
        <f ca="1">CEILING(R1415*(IF(N1416&lt;=IF($B$2=0,0,OFFSET(Sheet2!$B$1,Sheet1!$B$2-1,0)),$B$1/(365*100),$B$3/(365*100)))*100,1)/100</f>
        <v>191.43</v>
      </c>
      <c r="R1416" s="9">
        <f t="shared" ca="1" si="83"/>
        <v>469122.41591602768</v>
      </c>
    </row>
    <row r="1417" spans="1:18" x14ac:dyDescent="0.25">
      <c r="A1417">
        <v>14</v>
      </c>
      <c r="B1417">
        <v>6.9</v>
      </c>
      <c r="C1417">
        <v>4</v>
      </c>
      <c r="D1417">
        <v>16.899999999999999</v>
      </c>
      <c r="E1417">
        <v>36</v>
      </c>
      <c r="F1417">
        <v>3.4564934166666651E-2</v>
      </c>
      <c r="G1417" t="str">
        <f t="shared" si="81"/>
        <v>Insert into BlueCreditTypeRainbow Values (14, 6.9, 4, 16.9, 36, 0.0345649341666667)</v>
      </c>
      <c r="N1417" s="4">
        <v>1414</v>
      </c>
      <c r="O1417" s="8">
        <f>$B$7*COUNTIF(Sheet2!$B$1:$B$132,N1417)</f>
        <v>0</v>
      </c>
      <c r="P1417" s="8">
        <f t="shared" ca="1" si="82"/>
        <v>0</v>
      </c>
      <c r="Q1417" s="8">
        <f ca="1">CEILING(R1416*(IF(N1417&lt;=IF($B$2=0,0,OFFSET(Sheet2!$B$1,Sheet1!$B$2-1,0)),$B$1/(365*100),$B$3/(365*100)))*100,1)/100</f>
        <v>191.51</v>
      </c>
      <c r="R1417" s="9">
        <f t="shared" ca="1" si="83"/>
        <v>469313.92591602769</v>
      </c>
    </row>
    <row r="1418" spans="1:18" x14ac:dyDescent="0.25">
      <c r="A1418">
        <v>14</v>
      </c>
      <c r="B1418">
        <v>6.9</v>
      </c>
      <c r="C1418">
        <v>3</v>
      </c>
      <c r="D1418">
        <v>16.899999999999999</v>
      </c>
      <c r="E1418">
        <v>24</v>
      </c>
      <c r="F1418">
        <v>4.830424537616225E-2</v>
      </c>
      <c r="G1418" t="str">
        <f t="shared" si="81"/>
        <v>Insert into BlueCreditTypeRainbow Values (14, 6.9, 3, 16.9, 24, 0.0483042453761622)</v>
      </c>
      <c r="N1418" s="4">
        <v>1415</v>
      </c>
      <c r="O1418" s="8">
        <f>$B$7*COUNTIF(Sheet2!$B$1:$B$132,N1418)</f>
        <v>0</v>
      </c>
      <c r="P1418" s="8">
        <f t="shared" ca="1" si="82"/>
        <v>0</v>
      </c>
      <c r="Q1418" s="8">
        <f ca="1">CEILING(R1417*(IF(N1418&lt;=IF($B$2=0,0,OFFSET(Sheet2!$B$1,Sheet1!$B$2-1,0)),$B$1/(365*100),$B$3/(365*100)))*100,1)/100</f>
        <v>191.59</v>
      </c>
      <c r="R1418" s="9">
        <f t="shared" ca="1" si="83"/>
        <v>469505.51591602771</v>
      </c>
    </row>
    <row r="1419" spans="1:18" x14ac:dyDescent="0.25">
      <c r="A1419">
        <v>14</v>
      </c>
      <c r="B1419">
        <v>6.9</v>
      </c>
      <c r="C1419">
        <v>3</v>
      </c>
      <c r="D1419">
        <v>16.899999999999999</v>
      </c>
      <c r="E1419">
        <v>25</v>
      </c>
      <c r="F1419">
        <v>4.6679652832608359E-2</v>
      </c>
      <c r="G1419" t="str">
        <f t="shared" si="81"/>
        <v>Insert into BlueCreditTypeRainbow Values (14, 6.9, 3, 16.9, 25, 0.0466796528326084)</v>
      </c>
      <c r="N1419" s="4">
        <v>1416</v>
      </c>
      <c r="O1419" s="8">
        <f>$B$7*COUNTIF(Sheet2!$B$1:$B$132,N1419)</f>
        <v>0</v>
      </c>
      <c r="P1419" s="8">
        <f t="shared" ca="1" si="82"/>
        <v>0</v>
      </c>
      <c r="Q1419" s="8">
        <f ca="1">CEILING(R1418*(IF(N1419&lt;=IF($B$2=0,0,OFFSET(Sheet2!$B$1,Sheet1!$B$2-1,0)),$B$1/(365*100),$B$3/(365*100)))*100,1)/100</f>
        <v>191.67</v>
      </c>
      <c r="R1419" s="9">
        <f t="shared" ca="1" si="83"/>
        <v>469697.18591602769</v>
      </c>
    </row>
    <row r="1420" spans="1:18" x14ac:dyDescent="0.25">
      <c r="A1420">
        <v>14</v>
      </c>
      <c r="B1420">
        <v>6.9</v>
      </c>
      <c r="C1420">
        <v>3</v>
      </c>
      <c r="D1420">
        <v>16.899999999999999</v>
      </c>
      <c r="E1420">
        <v>26</v>
      </c>
      <c r="F1420">
        <v>4.5181729250079676E-2</v>
      </c>
      <c r="G1420" t="str">
        <f t="shared" si="81"/>
        <v>Insert into BlueCreditTypeRainbow Values (14, 6.9, 3, 16.9, 26, 0.0451817292500797)</v>
      </c>
      <c r="N1420" s="4">
        <v>1417</v>
      </c>
      <c r="O1420" s="8">
        <f>$B$7*COUNTIF(Sheet2!$B$1:$B$132,N1420)</f>
        <v>0</v>
      </c>
      <c r="P1420" s="8">
        <f t="shared" ca="1" si="82"/>
        <v>0</v>
      </c>
      <c r="Q1420" s="8">
        <f ca="1">CEILING(R1419*(IF(N1420&lt;=IF($B$2=0,0,OFFSET(Sheet2!$B$1,Sheet1!$B$2-1,0)),$B$1/(365*100),$B$3/(365*100)))*100,1)/100</f>
        <v>191.74</v>
      </c>
      <c r="R1420" s="9">
        <f t="shared" ca="1" si="83"/>
        <v>469888.92591602769</v>
      </c>
    </row>
    <row r="1421" spans="1:18" x14ac:dyDescent="0.25">
      <c r="A1421">
        <v>14</v>
      </c>
      <c r="B1421">
        <v>6.9</v>
      </c>
      <c r="C1421">
        <v>3</v>
      </c>
      <c r="D1421">
        <v>16.899999999999999</v>
      </c>
      <c r="E1421">
        <v>27</v>
      </c>
      <c r="F1421">
        <v>4.3795729663233599E-2</v>
      </c>
      <c r="G1421" t="str">
        <f t="shared" si="81"/>
        <v>Insert into BlueCreditTypeRainbow Values (14, 6.9, 3, 16.9, 27, 0.0437957296632336)</v>
      </c>
      <c r="N1421" s="4">
        <v>1418</v>
      </c>
      <c r="O1421" s="8">
        <f>$B$7*COUNTIF(Sheet2!$B$1:$B$132,N1421)</f>
        <v>0</v>
      </c>
      <c r="P1421" s="8">
        <f t="shared" ca="1" si="82"/>
        <v>0</v>
      </c>
      <c r="Q1421" s="8">
        <f ca="1">CEILING(R1420*(IF(N1421&lt;=IF($B$2=0,0,OFFSET(Sheet2!$B$1,Sheet1!$B$2-1,0)),$B$1/(365*100),$B$3/(365*100)))*100,1)/100</f>
        <v>191.82</v>
      </c>
      <c r="R1421" s="9">
        <f t="shared" ca="1" si="83"/>
        <v>470080.74591602769</v>
      </c>
    </row>
    <row r="1422" spans="1:18" x14ac:dyDescent="0.25">
      <c r="A1422">
        <v>14</v>
      </c>
      <c r="B1422">
        <v>6.9</v>
      </c>
      <c r="C1422">
        <v>3</v>
      </c>
      <c r="D1422">
        <v>16.899999999999999</v>
      </c>
      <c r="E1422">
        <v>28</v>
      </c>
      <c r="F1422">
        <v>4.2510261104193148E-2</v>
      </c>
      <c r="G1422" t="str">
        <f t="shared" si="81"/>
        <v>Insert into BlueCreditTypeRainbow Values (14, 6.9, 3, 16.9, 28, 0.0425102611041931)</v>
      </c>
      <c r="N1422" s="4">
        <v>1419</v>
      </c>
      <c r="O1422" s="8">
        <f>$B$7*COUNTIF(Sheet2!$B$1:$B$132,N1422)</f>
        <v>0</v>
      </c>
      <c r="P1422" s="8">
        <f t="shared" ca="1" si="82"/>
        <v>0</v>
      </c>
      <c r="Q1422" s="8">
        <f ca="1">CEILING(R1421*(IF(N1422&lt;=IF($B$2=0,0,OFFSET(Sheet2!$B$1,Sheet1!$B$2-1,0)),$B$1/(365*100),$B$3/(365*100)))*100,1)/100</f>
        <v>191.9</v>
      </c>
      <c r="R1422" s="9">
        <f t="shared" ca="1" si="83"/>
        <v>470272.64591602772</v>
      </c>
    </row>
    <row r="1423" spans="1:18" x14ac:dyDescent="0.25">
      <c r="A1423">
        <v>14</v>
      </c>
      <c r="B1423">
        <v>6.9</v>
      </c>
      <c r="C1423">
        <v>3</v>
      </c>
      <c r="D1423">
        <v>16.899999999999999</v>
      </c>
      <c r="E1423">
        <v>29</v>
      </c>
      <c r="F1423">
        <v>4.1314360362171863E-2</v>
      </c>
      <c r="G1423" t="str">
        <f t="shared" ref="G1423:G1486" si="84">CONCATENATE("Insert into BlueCreditTypeRainbow Values (",A1423,", ",B1423,", ",C1423,", ",D1423,", ",E1423,", ",F1423,")")</f>
        <v>Insert into BlueCreditTypeRainbow Values (14, 6.9, 3, 16.9, 29, 0.0413143603621719)</v>
      </c>
      <c r="N1423" s="4">
        <v>1420</v>
      </c>
      <c r="O1423" s="8">
        <f>$B$7*COUNTIF(Sheet2!$B$1:$B$132,N1423)</f>
        <v>0</v>
      </c>
      <c r="P1423" s="8">
        <f t="shared" ca="1" si="82"/>
        <v>0</v>
      </c>
      <c r="Q1423" s="8">
        <f ca="1">CEILING(R1422*(IF(N1423&lt;=IF($B$2=0,0,OFFSET(Sheet2!$B$1,Sheet1!$B$2-1,0)),$B$1/(365*100),$B$3/(365*100)))*100,1)/100</f>
        <v>191.98</v>
      </c>
      <c r="R1423" s="9">
        <f t="shared" ca="1" si="83"/>
        <v>470464.6259160277</v>
      </c>
    </row>
    <row r="1424" spans="1:18" x14ac:dyDescent="0.25">
      <c r="A1424">
        <v>14</v>
      </c>
      <c r="B1424">
        <v>6.9</v>
      </c>
      <c r="C1424">
        <v>3</v>
      </c>
      <c r="D1424">
        <v>16.899999999999999</v>
      </c>
      <c r="E1424">
        <v>30</v>
      </c>
      <c r="F1424">
        <v>4.0199569166218307E-2</v>
      </c>
      <c r="G1424" t="str">
        <f t="shared" si="84"/>
        <v>Insert into BlueCreditTypeRainbow Values (14, 6.9, 3, 16.9, 30, 0.0401995691662183)</v>
      </c>
      <c r="N1424" s="4">
        <v>1421</v>
      </c>
      <c r="O1424" s="8">
        <f>$B$7*COUNTIF(Sheet2!$B$1:$B$132,N1424)</f>
        <v>0</v>
      </c>
      <c r="P1424" s="8">
        <f t="shared" ca="1" si="82"/>
        <v>0</v>
      </c>
      <c r="Q1424" s="8">
        <f ca="1">CEILING(R1423*(IF(N1424&lt;=IF($B$2=0,0,OFFSET(Sheet2!$B$1,Sheet1!$B$2-1,0)),$B$1/(365*100),$B$3/(365*100)))*100,1)/100</f>
        <v>192.06</v>
      </c>
      <c r="R1424" s="9">
        <f t="shared" ca="1" si="83"/>
        <v>470656.68591602769</v>
      </c>
    </row>
    <row r="1425" spans="1:18" x14ac:dyDescent="0.25">
      <c r="A1425">
        <v>14</v>
      </c>
      <c r="B1425">
        <v>6.9</v>
      </c>
      <c r="C1425">
        <v>3</v>
      </c>
      <c r="D1425">
        <v>16.899999999999999</v>
      </c>
      <c r="E1425">
        <v>31</v>
      </c>
      <c r="F1425">
        <v>3.9157543900125859E-2</v>
      </c>
      <c r="G1425" t="str">
        <f t="shared" si="84"/>
        <v>Insert into BlueCreditTypeRainbow Values (14, 6.9, 3, 16.9, 31, 0.0391575439001259)</v>
      </c>
      <c r="N1425" s="4">
        <v>1422</v>
      </c>
      <c r="O1425" s="8">
        <f>$B$7*COUNTIF(Sheet2!$B$1:$B$132,N1425)</f>
        <v>0</v>
      </c>
      <c r="P1425" s="8">
        <f t="shared" ca="1" si="82"/>
        <v>0</v>
      </c>
      <c r="Q1425" s="8">
        <f ca="1">CEILING(R1424*(IF(N1425&lt;=IF($B$2=0,0,OFFSET(Sheet2!$B$1,Sheet1!$B$2-1,0)),$B$1/(365*100),$B$3/(365*100)))*100,1)/100</f>
        <v>192.14</v>
      </c>
      <c r="R1425" s="9">
        <f t="shared" ca="1" si="83"/>
        <v>470848.82591602771</v>
      </c>
    </row>
    <row r="1426" spans="1:18" x14ac:dyDescent="0.25">
      <c r="A1426">
        <v>14</v>
      </c>
      <c r="B1426">
        <v>6.9</v>
      </c>
      <c r="C1426">
        <v>3</v>
      </c>
      <c r="D1426">
        <v>16.899999999999999</v>
      </c>
      <c r="E1426">
        <v>32</v>
      </c>
      <c r="F1426">
        <v>3.8181480651353988E-2</v>
      </c>
      <c r="G1426" t="str">
        <f t="shared" si="84"/>
        <v>Insert into BlueCreditTypeRainbow Values (14, 6.9, 3, 16.9, 32, 0.038181480651354)</v>
      </c>
      <c r="N1426" s="4">
        <v>1423</v>
      </c>
      <c r="O1426" s="8">
        <f>$B$7*COUNTIF(Sheet2!$B$1:$B$132,N1426)</f>
        <v>0</v>
      </c>
      <c r="P1426" s="8">
        <f t="shared" ca="1" si="82"/>
        <v>0</v>
      </c>
      <c r="Q1426" s="8">
        <f ca="1">CEILING(R1425*(IF(N1426&lt;=IF($B$2=0,0,OFFSET(Sheet2!$B$1,Sheet1!$B$2-1,0)),$B$1/(365*100),$B$3/(365*100)))*100,1)/100</f>
        <v>192.21</v>
      </c>
      <c r="R1426" s="9">
        <f t="shared" ca="1" si="83"/>
        <v>471041.03591602773</v>
      </c>
    </row>
    <row r="1427" spans="1:18" x14ac:dyDescent="0.25">
      <c r="A1427">
        <v>14</v>
      </c>
      <c r="B1427">
        <v>6.9</v>
      </c>
      <c r="C1427">
        <v>3</v>
      </c>
      <c r="D1427">
        <v>16.899999999999999</v>
      </c>
      <c r="E1427">
        <v>33</v>
      </c>
      <c r="F1427">
        <v>3.7265807969259587E-2</v>
      </c>
      <c r="G1427" t="str">
        <f t="shared" si="84"/>
        <v>Insert into BlueCreditTypeRainbow Values (14, 6.9, 3, 16.9, 33, 0.0372658079692596)</v>
      </c>
      <c r="N1427" s="4">
        <v>1424</v>
      </c>
      <c r="O1427" s="8">
        <f>$B$7*COUNTIF(Sheet2!$B$1:$B$132,N1427)</f>
        <v>0</v>
      </c>
      <c r="P1427" s="8">
        <f t="shared" ca="1" si="82"/>
        <v>0</v>
      </c>
      <c r="Q1427" s="8">
        <f ca="1">CEILING(R1426*(IF(N1427&lt;=IF($B$2=0,0,OFFSET(Sheet2!$B$1,Sheet1!$B$2-1,0)),$B$1/(365*100),$B$3/(365*100)))*100,1)/100</f>
        <v>192.29</v>
      </c>
      <c r="R1427" s="9">
        <f t="shared" ca="1" si="83"/>
        <v>471233.32591602771</v>
      </c>
    </row>
    <row r="1428" spans="1:18" x14ac:dyDescent="0.25">
      <c r="A1428">
        <v>14</v>
      </c>
      <c r="B1428">
        <v>6.9</v>
      </c>
      <c r="C1428">
        <v>3</v>
      </c>
      <c r="D1428">
        <v>16.899999999999999</v>
      </c>
      <c r="E1428">
        <v>34</v>
      </c>
      <c r="F1428">
        <v>3.6404784117647054E-2</v>
      </c>
      <c r="G1428" t="str">
        <f t="shared" si="84"/>
        <v>Insert into BlueCreditTypeRainbow Values (14, 6.9, 3, 16.9, 34, 0.0364047841176471)</v>
      </c>
      <c r="N1428" s="4">
        <v>1425</v>
      </c>
      <c r="O1428" s="8">
        <f>$B$7*COUNTIF(Sheet2!$B$1:$B$132,N1428)</f>
        <v>0</v>
      </c>
      <c r="P1428" s="8">
        <f t="shared" ca="1" si="82"/>
        <v>0</v>
      </c>
      <c r="Q1428" s="8">
        <f ca="1">CEILING(R1427*(IF(N1428&lt;=IF($B$2=0,0,OFFSET(Sheet2!$B$1,Sheet1!$B$2-1,0)),$B$1/(365*100),$B$3/(365*100)))*100,1)/100</f>
        <v>192.37</v>
      </c>
      <c r="R1428" s="9">
        <f t="shared" ca="1" si="83"/>
        <v>471425.6959160277</v>
      </c>
    </row>
    <row r="1429" spans="1:18" x14ac:dyDescent="0.25">
      <c r="A1429">
        <v>14</v>
      </c>
      <c r="B1429">
        <v>6.9</v>
      </c>
      <c r="C1429">
        <v>3</v>
      </c>
      <c r="D1429">
        <v>16.899999999999999</v>
      </c>
      <c r="E1429">
        <v>35</v>
      </c>
      <c r="F1429">
        <v>3.5594110298601704E-2</v>
      </c>
      <c r="G1429" t="str">
        <f t="shared" si="84"/>
        <v>Insert into BlueCreditTypeRainbow Values (14, 6.9, 3, 16.9, 35, 0.0355941102986017)</v>
      </c>
      <c r="N1429" s="4">
        <v>1426</v>
      </c>
      <c r="O1429" s="8">
        <f>$B$7*COUNTIF(Sheet2!$B$1:$B$132,N1429)</f>
        <v>0</v>
      </c>
      <c r="P1429" s="8">
        <f t="shared" ca="1" si="82"/>
        <v>0</v>
      </c>
      <c r="Q1429" s="8">
        <f ca="1">CEILING(R1428*(IF(N1429&lt;=IF($B$2=0,0,OFFSET(Sheet2!$B$1,Sheet1!$B$2-1,0)),$B$1/(365*100),$B$3/(365*100)))*100,1)/100</f>
        <v>192.45</v>
      </c>
      <c r="R1429" s="9">
        <f t="shared" ca="1" si="83"/>
        <v>471618.14591602772</v>
      </c>
    </row>
    <row r="1430" spans="1:18" x14ac:dyDescent="0.25">
      <c r="A1430">
        <v>14</v>
      </c>
      <c r="B1430">
        <v>6.9</v>
      </c>
      <c r="C1430">
        <v>3</v>
      </c>
      <c r="D1430">
        <v>16.899999999999999</v>
      </c>
      <c r="E1430">
        <v>36</v>
      </c>
      <c r="F1430">
        <v>3.4829209188999864E-2</v>
      </c>
      <c r="G1430" t="str">
        <f t="shared" si="84"/>
        <v>Insert into BlueCreditTypeRainbow Values (14, 6.9, 3, 16.9, 36, 0.0348292091889999)</v>
      </c>
      <c r="N1430" s="4">
        <v>1427</v>
      </c>
      <c r="O1430" s="8">
        <f>$B$7*COUNTIF(Sheet2!$B$1:$B$132,N1430)</f>
        <v>0</v>
      </c>
      <c r="P1430" s="8">
        <f t="shared" ca="1" si="82"/>
        <v>0</v>
      </c>
      <c r="Q1430" s="8">
        <f ca="1">CEILING(R1429*(IF(N1430&lt;=IF($B$2=0,0,OFFSET(Sheet2!$B$1,Sheet1!$B$2-1,0)),$B$1/(365*100),$B$3/(365*100)))*100,1)/100</f>
        <v>192.53</v>
      </c>
      <c r="R1430" s="9">
        <f t="shared" ca="1" si="83"/>
        <v>471810.67591602774</v>
      </c>
    </row>
    <row r="1431" spans="1:18" x14ac:dyDescent="0.25">
      <c r="A1431">
        <v>14</v>
      </c>
      <c r="B1431">
        <v>6.9</v>
      </c>
      <c r="C1431">
        <v>2</v>
      </c>
      <c r="D1431">
        <v>16.899999999999999</v>
      </c>
      <c r="E1431">
        <v>24</v>
      </c>
      <c r="F1431">
        <v>4.8664306289504258E-2</v>
      </c>
      <c r="G1431" t="str">
        <f t="shared" si="84"/>
        <v>Insert into BlueCreditTypeRainbow Values (14, 6.9, 2, 16.9, 24, 0.0486643062895043)</v>
      </c>
      <c r="N1431" s="4">
        <v>1428</v>
      </c>
      <c r="O1431" s="8">
        <f>$B$7*COUNTIF(Sheet2!$B$1:$B$132,N1431)</f>
        <v>0</v>
      </c>
      <c r="P1431" s="8">
        <f t="shared" ca="1" si="82"/>
        <v>0</v>
      </c>
      <c r="Q1431" s="8">
        <f ca="1">CEILING(R1430*(IF(N1431&lt;=IF($B$2=0,0,OFFSET(Sheet2!$B$1,Sheet1!$B$2-1,0)),$B$1/(365*100),$B$3/(365*100)))*100,1)/100</f>
        <v>192.61</v>
      </c>
      <c r="R1431" s="9">
        <f t="shared" ca="1" si="83"/>
        <v>472003.28591602773</v>
      </c>
    </row>
    <row r="1432" spans="1:18" x14ac:dyDescent="0.25">
      <c r="A1432">
        <v>14</v>
      </c>
      <c r="B1432">
        <v>6.9</v>
      </c>
      <c r="C1432">
        <v>2</v>
      </c>
      <c r="D1432">
        <v>16.899999999999999</v>
      </c>
      <c r="E1432">
        <v>25</v>
      </c>
      <c r="F1432">
        <v>4.7028863622189054E-2</v>
      </c>
      <c r="G1432" t="str">
        <f t="shared" si="84"/>
        <v>Insert into BlueCreditTypeRainbow Values (14, 6.9, 2, 16.9, 25, 0.0470288636221891)</v>
      </c>
      <c r="N1432" s="4">
        <v>1429</v>
      </c>
      <c r="O1432" s="8">
        <f>$B$7*COUNTIF(Sheet2!$B$1:$B$132,N1432)</f>
        <v>0</v>
      </c>
      <c r="P1432" s="8">
        <f t="shared" ca="1" si="82"/>
        <v>0</v>
      </c>
      <c r="Q1432" s="8">
        <f ca="1">CEILING(R1431*(IF(N1432&lt;=IF($B$2=0,0,OFFSET(Sheet2!$B$1,Sheet1!$B$2-1,0)),$B$1/(365*100),$B$3/(365*100)))*100,1)/100</f>
        <v>192.69</v>
      </c>
      <c r="R1432" s="9">
        <f t="shared" ca="1" si="83"/>
        <v>472195.97591602773</v>
      </c>
    </row>
    <row r="1433" spans="1:18" x14ac:dyDescent="0.25">
      <c r="A1433">
        <v>14</v>
      </c>
      <c r="B1433">
        <v>6.9</v>
      </c>
      <c r="C1433">
        <v>2</v>
      </c>
      <c r="D1433">
        <v>16.899999999999999</v>
      </c>
      <c r="E1433">
        <v>26</v>
      </c>
      <c r="F1433">
        <v>4.552084615384621E-2</v>
      </c>
      <c r="G1433" t="str">
        <f t="shared" si="84"/>
        <v>Insert into BlueCreditTypeRainbow Values (14, 6.9, 2, 16.9, 26, 0.0455208461538462)</v>
      </c>
      <c r="N1433" s="4">
        <v>1430</v>
      </c>
      <c r="O1433" s="8">
        <f>$B$7*COUNTIF(Sheet2!$B$1:$B$132,N1433)</f>
        <v>0</v>
      </c>
      <c r="P1433" s="8">
        <f t="shared" ca="1" si="82"/>
        <v>0</v>
      </c>
      <c r="Q1433" s="8">
        <f ca="1">CEILING(R1432*(IF(N1433&lt;=IF($B$2=0,0,OFFSET(Sheet2!$B$1,Sheet1!$B$2-1,0)),$B$1/(365*100),$B$3/(365*100)))*100,1)/100</f>
        <v>192.76</v>
      </c>
      <c r="R1433" s="9">
        <f t="shared" ca="1" si="83"/>
        <v>472388.73591602774</v>
      </c>
    </row>
    <row r="1434" spans="1:18" x14ac:dyDescent="0.25">
      <c r="A1434">
        <v>14</v>
      </c>
      <c r="B1434">
        <v>6.9</v>
      </c>
      <c r="C1434">
        <v>2</v>
      </c>
      <c r="D1434">
        <v>16.899999999999999</v>
      </c>
      <c r="E1434">
        <v>27</v>
      </c>
      <c r="F1434">
        <v>4.4125450776272113E-2</v>
      </c>
      <c r="G1434" t="str">
        <f t="shared" si="84"/>
        <v>Insert into BlueCreditTypeRainbow Values (14, 6.9, 2, 16.9, 27, 0.0441254507762721)</v>
      </c>
      <c r="N1434" s="4">
        <v>1431</v>
      </c>
      <c r="O1434" s="8">
        <f>$B$7*COUNTIF(Sheet2!$B$1:$B$132,N1434)</f>
        <v>0</v>
      </c>
      <c r="P1434" s="8">
        <f t="shared" ca="1" si="82"/>
        <v>0</v>
      </c>
      <c r="Q1434" s="8">
        <f ca="1">CEILING(R1433*(IF(N1434&lt;=IF($B$2=0,0,OFFSET(Sheet2!$B$1,Sheet1!$B$2-1,0)),$B$1/(365*100),$B$3/(365*100)))*100,1)/100</f>
        <v>192.84</v>
      </c>
      <c r="R1434" s="9">
        <f t="shared" ca="1" si="83"/>
        <v>472581.57591602777</v>
      </c>
    </row>
    <row r="1435" spans="1:18" x14ac:dyDescent="0.25">
      <c r="A1435">
        <v>14</v>
      </c>
      <c r="B1435">
        <v>6.9</v>
      </c>
      <c r="C1435">
        <v>2</v>
      </c>
      <c r="D1435">
        <v>16.899999999999999</v>
      </c>
      <c r="E1435">
        <v>28</v>
      </c>
      <c r="F1435">
        <v>4.2831206428571467E-2</v>
      </c>
      <c r="G1435" t="str">
        <f t="shared" si="84"/>
        <v>Insert into BlueCreditTypeRainbow Values (14, 6.9, 2, 16.9, 28, 0.0428312064285715)</v>
      </c>
      <c r="N1435" s="4">
        <v>1432</v>
      </c>
      <c r="O1435" s="8">
        <f>$B$7*COUNTIF(Sheet2!$B$1:$B$132,N1435)</f>
        <v>0</v>
      </c>
      <c r="P1435" s="8">
        <f t="shared" ca="1" si="82"/>
        <v>0</v>
      </c>
      <c r="Q1435" s="8">
        <f ca="1">CEILING(R1434*(IF(N1435&lt;=IF($B$2=0,0,OFFSET(Sheet2!$B$1,Sheet1!$B$2-1,0)),$B$1/(365*100),$B$3/(365*100)))*100,1)/100</f>
        <v>192.92</v>
      </c>
      <c r="R1435" s="9">
        <f t="shared" ca="1" si="83"/>
        <v>472774.49591602775</v>
      </c>
    </row>
    <row r="1436" spans="1:18" x14ac:dyDescent="0.25">
      <c r="A1436">
        <v>14</v>
      </c>
      <c r="B1436">
        <v>6.9</v>
      </c>
      <c r="C1436">
        <v>2</v>
      </c>
      <c r="D1436">
        <v>16.899999999999999</v>
      </c>
      <c r="E1436">
        <v>29</v>
      </c>
      <c r="F1436">
        <v>4.1627083127831352E-2</v>
      </c>
      <c r="G1436" t="str">
        <f t="shared" si="84"/>
        <v>Insert into BlueCreditTypeRainbow Values (14, 6.9, 2, 16.9, 29, 0.0416270831278314)</v>
      </c>
      <c r="N1436" s="4">
        <v>1433</v>
      </c>
      <c r="O1436" s="8">
        <f>$B$7*COUNTIF(Sheet2!$B$1:$B$132,N1436)</f>
        <v>21157.10552356458</v>
      </c>
      <c r="P1436" s="8">
        <f t="shared" ca="1" si="82"/>
        <v>20964.10552356458</v>
      </c>
      <c r="Q1436" s="8">
        <f ca="1">CEILING(R1435*(IF(N1436&lt;=IF($B$2=0,0,OFFSET(Sheet2!$B$1,Sheet1!$B$2-1,0)),$B$1/(365*100),$B$3/(365*100)))*100,1)/100</f>
        <v>193</v>
      </c>
      <c r="R1436" s="9">
        <f t="shared" ca="1" si="83"/>
        <v>451810.39039246319</v>
      </c>
    </row>
    <row r="1437" spans="1:18" x14ac:dyDescent="0.25">
      <c r="A1437">
        <v>14</v>
      </c>
      <c r="B1437">
        <v>6.9</v>
      </c>
      <c r="C1437">
        <v>2</v>
      </c>
      <c r="D1437">
        <v>16.899999999999999</v>
      </c>
      <c r="E1437">
        <v>30</v>
      </c>
      <c r="F1437">
        <v>4.0504588017662414E-2</v>
      </c>
      <c r="G1437" t="str">
        <f t="shared" si="84"/>
        <v>Insert into BlueCreditTypeRainbow Values (14, 6.9, 2, 16.9, 30, 0.0405045880176624)</v>
      </c>
      <c r="N1437" s="4">
        <v>1434</v>
      </c>
      <c r="O1437" s="8">
        <f>$B$7*COUNTIF(Sheet2!$B$1:$B$132,N1437)</f>
        <v>0</v>
      </c>
      <c r="P1437" s="8">
        <f t="shared" ca="1" si="82"/>
        <v>0</v>
      </c>
      <c r="Q1437" s="8">
        <f ca="1">CEILING(R1436*(IF(N1437&lt;=IF($B$2=0,0,OFFSET(Sheet2!$B$1,Sheet1!$B$2-1,0)),$B$1/(365*100),$B$3/(365*100)))*100,1)/100</f>
        <v>184.44</v>
      </c>
      <c r="R1437" s="9">
        <f t="shared" ca="1" si="83"/>
        <v>451994.83039246319</v>
      </c>
    </row>
    <row r="1438" spans="1:18" x14ac:dyDescent="0.25">
      <c r="A1438">
        <v>14</v>
      </c>
      <c r="B1438">
        <v>6.9</v>
      </c>
      <c r="C1438">
        <v>2</v>
      </c>
      <c r="D1438">
        <v>16.899999999999999</v>
      </c>
      <c r="E1438">
        <v>31</v>
      </c>
      <c r="F1438">
        <v>3.9455336774193564E-2</v>
      </c>
      <c r="G1438" t="str">
        <f t="shared" si="84"/>
        <v>Insert into BlueCreditTypeRainbow Values (14, 6.9, 2, 16.9, 31, 0.0394553367741936)</v>
      </c>
      <c r="N1438" s="4">
        <v>1435</v>
      </c>
      <c r="O1438" s="8">
        <f>$B$7*COUNTIF(Sheet2!$B$1:$B$132,N1438)</f>
        <v>0</v>
      </c>
      <c r="P1438" s="8">
        <f t="shared" ca="1" si="82"/>
        <v>0</v>
      </c>
      <c r="Q1438" s="8">
        <f ca="1">CEILING(R1437*(IF(N1438&lt;=IF($B$2=0,0,OFFSET(Sheet2!$B$1,Sheet1!$B$2-1,0)),$B$1/(365*100),$B$3/(365*100)))*100,1)/100</f>
        <v>184.52</v>
      </c>
      <c r="R1438" s="9">
        <f t="shared" ca="1" si="83"/>
        <v>452179.35039246321</v>
      </c>
    </row>
    <row r="1439" spans="1:18" x14ac:dyDescent="0.25">
      <c r="A1439">
        <v>14</v>
      </c>
      <c r="B1439">
        <v>6.9</v>
      </c>
      <c r="C1439">
        <v>2</v>
      </c>
      <c r="D1439">
        <v>16.899999999999999</v>
      </c>
      <c r="E1439">
        <v>32</v>
      </c>
      <c r="F1439">
        <v>3.8472457499999967E-2</v>
      </c>
      <c r="G1439" t="str">
        <f t="shared" si="84"/>
        <v>Insert into BlueCreditTypeRainbow Values (14, 6.9, 2, 16.9, 32, 0.0384724575)</v>
      </c>
      <c r="N1439" s="4">
        <v>1436</v>
      </c>
      <c r="O1439" s="8">
        <f>$B$7*COUNTIF(Sheet2!$B$1:$B$132,N1439)</f>
        <v>0</v>
      </c>
      <c r="P1439" s="8">
        <f t="shared" ca="1" si="82"/>
        <v>0</v>
      </c>
      <c r="Q1439" s="8">
        <f ca="1">CEILING(R1438*(IF(N1439&lt;=IF($B$2=0,0,OFFSET(Sheet2!$B$1,Sheet1!$B$2-1,0)),$B$1/(365*100),$B$3/(365*100)))*100,1)/100</f>
        <v>184.59</v>
      </c>
      <c r="R1439" s="9">
        <f t="shared" ca="1" si="83"/>
        <v>452363.94039246324</v>
      </c>
    </row>
    <row r="1440" spans="1:18" x14ac:dyDescent="0.25">
      <c r="A1440">
        <v>14</v>
      </c>
      <c r="B1440">
        <v>6.9</v>
      </c>
      <c r="C1440">
        <v>2</v>
      </c>
      <c r="D1440">
        <v>16.899999999999999</v>
      </c>
      <c r="E1440">
        <v>33</v>
      </c>
      <c r="F1440">
        <v>3.7550372332064E-2</v>
      </c>
      <c r="G1440" t="str">
        <f t="shared" si="84"/>
        <v>Insert into BlueCreditTypeRainbow Values (14, 6.9, 2, 16.9, 33, 0.037550372332064)</v>
      </c>
      <c r="N1440" s="4">
        <v>1437</v>
      </c>
      <c r="O1440" s="8">
        <f>$B$7*COUNTIF(Sheet2!$B$1:$B$132,N1440)</f>
        <v>0</v>
      </c>
      <c r="P1440" s="8">
        <f t="shared" ca="1" si="82"/>
        <v>0</v>
      </c>
      <c r="Q1440" s="8">
        <f ca="1">CEILING(R1439*(IF(N1440&lt;=IF($B$2=0,0,OFFSET(Sheet2!$B$1,Sheet1!$B$2-1,0)),$B$1/(365*100),$B$3/(365*100)))*100,1)/100</f>
        <v>184.67</v>
      </c>
      <c r="R1440" s="9">
        <f t="shared" ca="1" si="83"/>
        <v>452548.61039246322</v>
      </c>
    </row>
    <row r="1441" spans="1:18" x14ac:dyDescent="0.25">
      <c r="A1441">
        <v>14</v>
      </c>
      <c r="B1441">
        <v>6.9</v>
      </c>
      <c r="C1441">
        <v>2</v>
      </c>
      <c r="D1441">
        <v>16.899999999999999</v>
      </c>
      <c r="E1441">
        <v>34</v>
      </c>
      <c r="F1441">
        <v>3.6683293529411749E-2</v>
      </c>
      <c r="G1441" t="str">
        <f t="shared" si="84"/>
        <v>Insert into BlueCreditTypeRainbow Values (14, 6.9, 2, 16.9, 34, 0.0366832935294117)</v>
      </c>
      <c r="N1441" s="4">
        <v>1438</v>
      </c>
      <c r="O1441" s="8">
        <f>$B$7*COUNTIF(Sheet2!$B$1:$B$132,N1441)</f>
        <v>0</v>
      </c>
      <c r="P1441" s="8">
        <f t="shared" ca="1" si="82"/>
        <v>0</v>
      </c>
      <c r="Q1441" s="8">
        <f ca="1">CEILING(R1440*(IF(N1441&lt;=IF($B$2=0,0,OFFSET(Sheet2!$B$1,Sheet1!$B$2-1,0)),$B$1/(365*100),$B$3/(365*100)))*100,1)/100</f>
        <v>184.74</v>
      </c>
      <c r="R1441" s="9">
        <f t="shared" ca="1" si="83"/>
        <v>452733.35039246321</v>
      </c>
    </row>
    <row r="1442" spans="1:18" x14ac:dyDescent="0.25">
      <c r="A1442">
        <v>14</v>
      </c>
      <c r="B1442">
        <v>6.9</v>
      </c>
      <c r="C1442">
        <v>2</v>
      </c>
      <c r="D1442">
        <v>16.899999999999999</v>
      </c>
      <c r="E1442">
        <v>35</v>
      </c>
      <c r="F1442">
        <v>3.586688545626221E-2</v>
      </c>
      <c r="G1442" t="str">
        <f t="shared" si="84"/>
        <v>Insert into BlueCreditTypeRainbow Values (14, 6.9, 2, 16.9, 35, 0.0358668854562622)</v>
      </c>
      <c r="N1442" s="4">
        <v>1439</v>
      </c>
      <c r="O1442" s="8">
        <f>$B$7*COUNTIF(Sheet2!$B$1:$B$132,N1442)</f>
        <v>0</v>
      </c>
      <c r="P1442" s="8">
        <f t="shared" ca="1" si="82"/>
        <v>0</v>
      </c>
      <c r="Q1442" s="8">
        <f ca="1">CEILING(R1441*(IF(N1442&lt;=IF($B$2=0,0,OFFSET(Sheet2!$B$1,Sheet1!$B$2-1,0)),$B$1/(365*100),$B$3/(365*100)))*100,1)/100</f>
        <v>184.82</v>
      </c>
      <c r="R1442" s="9">
        <f t="shared" ca="1" si="83"/>
        <v>452918.17039246322</v>
      </c>
    </row>
    <row r="1443" spans="1:18" x14ac:dyDescent="0.25">
      <c r="A1443">
        <v>14</v>
      </c>
      <c r="B1443">
        <v>6.9</v>
      </c>
      <c r="C1443">
        <v>2</v>
      </c>
      <c r="D1443">
        <v>16.899999999999999</v>
      </c>
      <c r="E1443">
        <v>36</v>
      </c>
      <c r="F1443">
        <v>3.5096566703793998E-2</v>
      </c>
      <c r="G1443" t="str">
        <f t="shared" si="84"/>
        <v>Insert into BlueCreditTypeRainbow Values (14, 6.9, 2, 16.9, 36, 0.035096566703794)</v>
      </c>
      <c r="N1443" s="4">
        <v>1440</v>
      </c>
      <c r="O1443" s="8">
        <f>$B$7*COUNTIF(Sheet2!$B$1:$B$132,N1443)</f>
        <v>0</v>
      </c>
      <c r="P1443" s="8">
        <f t="shared" ca="1" si="82"/>
        <v>0</v>
      </c>
      <c r="Q1443" s="8">
        <f ca="1">CEILING(R1442*(IF(N1443&lt;=IF($B$2=0,0,OFFSET(Sheet2!$B$1,Sheet1!$B$2-1,0)),$B$1/(365*100),$B$3/(365*100)))*100,1)/100</f>
        <v>184.89</v>
      </c>
      <c r="R1443" s="9">
        <f t="shared" ca="1" si="83"/>
        <v>453103.06039246323</v>
      </c>
    </row>
    <row r="1444" spans="1:18" x14ac:dyDescent="0.25">
      <c r="A1444">
        <v>14</v>
      </c>
      <c r="B1444">
        <v>6.9</v>
      </c>
      <c r="C1444">
        <v>1</v>
      </c>
      <c r="D1444">
        <v>16.899999999999999</v>
      </c>
      <c r="E1444">
        <v>24</v>
      </c>
      <c r="F1444">
        <v>4.9046227940036421E-2</v>
      </c>
      <c r="G1444" t="str">
        <f t="shared" si="84"/>
        <v>Insert into BlueCreditTypeRainbow Values (14, 6.9, 1, 16.9, 24, 0.0490462279400364)</v>
      </c>
      <c r="N1444" s="4">
        <v>1441</v>
      </c>
      <c r="O1444" s="8">
        <f>$B$7*COUNTIF(Sheet2!$B$1:$B$132,N1444)</f>
        <v>0</v>
      </c>
      <c r="P1444" s="8">
        <f t="shared" ca="1" si="82"/>
        <v>0</v>
      </c>
      <c r="Q1444" s="8">
        <f ca="1">CEILING(R1443*(IF(N1444&lt;=IF($B$2=0,0,OFFSET(Sheet2!$B$1,Sheet1!$B$2-1,0)),$B$1/(365*100),$B$3/(365*100)))*100,1)/100</f>
        <v>184.97</v>
      </c>
      <c r="R1444" s="9">
        <f t="shared" ca="1" si="83"/>
        <v>453288.0303924632</v>
      </c>
    </row>
    <row r="1445" spans="1:18" x14ac:dyDescent="0.25">
      <c r="A1445">
        <v>14</v>
      </c>
      <c r="B1445">
        <v>6.9</v>
      </c>
      <c r="C1445">
        <v>1</v>
      </c>
      <c r="D1445">
        <v>16.899999999999999</v>
      </c>
      <c r="E1445">
        <v>25</v>
      </c>
      <c r="F1445">
        <v>4.7398580002204718E-2</v>
      </c>
      <c r="G1445" t="str">
        <f t="shared" si="84"/>
        <v>Insert into BlueCreditTypeRainbow Values (14, 6.9, 1, 16.9, 25, 0.0473985800022047)</v>
      </c>
      <c r="N1445" s="4">
        <v>1442</v>
      </c>
      <c r="O1445" s="8">
        <f>$B$7*COUNTIF(Sheet2!$B$1:$B$132,N1445)</f>
        <v>0</v>
      </c>
      <c r="P1445" s="8">
        <f t="shared" ca="1" si="82"/>
        <v>0</v>
      </c>
      <c r="Q1445" s="8">
        <f ca="1">CEILING(R1444*(IF(N1445&lt;=IF($B$2=0,0,OFFSET(Sheet2!$B$1,Sheet1!$B$2-1,0)),$B$1/(365*100),$B$3/(365*100)))*100,1)/100</f>
        <v>185.05</v>
      </c>
      <c r="R1445" s="9">
        <f t="shared" ca="1" si="83"/>
        <v>453473.08039246319</v>
      </c>
    </row>
    <row r="1446" spans="1:18" x14ac:dyDescent="0.25">
      <c r="A1446">
        <v>14</v>
      </c>
      <c r="B1446">
        <v>6.9</v>
      </c>
      <c r="C1446">
        <v>1</v>
      </c>
      <c r="D1446">
        <v>16.899999999999999</v>
      </c>
      <c r="E1446">
        <v>26</v>
      </c>
      <c r="F1446">
        <v>4.5879278846153837E-2</v>
      </c>
      <c r="G1446" t="str">
        <f t="shared" si="84"/>
        <v>Insert into BlueCreditTypeRainbow Values (14, 6.9, 1, 16.9, 26, 0.0458792788461538)</v>
      </c>
      <c r="N1446" s="4">
        <v>1443</v>
      </c>
      <c r="O1446" s="8">
        <f>$B$7*COUNTIF(Sheet2!$B$1:$B$132,N1446)</f>
        <v>0</v>
      </c>
      <c r="P1446" s="8">
        <f t="shared" ca="1" si="82"/>
        <v>0</v>
      </c>
      <c r="Q1446" s="8">
        <f ca="1">CEILING(R1445*(IF(N1446&lt;=IF($B$2=0,0,OFFSET(Sheet2!$B$1,Sheet1!$B$2-1,0)),$B$1/(365*100),$B$3/(365*100)))*100,1)/100</f>
        <v>185.12</v>
      </c>
      <c r="R1446" s="9">
        <f t="shared" ca="1" si="83"/>
        <v>453658.20039246319</v>
      </c>
    </row>
    <row r="1447" spans="1:18" x14ac:dyDescent="0.25">
      <c r="A1447">
        <v>14</v>
      </c>
      <c r="B1447">
        <v>6.9</v>
      </c>
      <c r="C1447">
        <v>1</v>
      </c>
      <c r="D1447">
        <v>16.899999999999999</v>
      </c>
      <c r="E1447">
        <v>27</v>
      </c>
      <c r="F1447">
        <v>4.4473404828229063E-2</v>
      </c>
      <c r="G1447" t="str">
        <f t="shared" si="84"/>
        <v>Insert into BlueCreditTypeRainbow Values (14, 6.9, 1, 16.9, 27, 0.0444734048282291)</v>
      </c>
      <c r="N1447" s="4">
        <v>1444</v>
      </c>
      <c r="O1447" s="8">
        <f>$B$7*COUNTIF(Sheet2!$B$1:$B$132,N1447)</f>
        <v>0</v>
      </c>
      <c r="P1447" s="8">
        <f t="shared" ca="1" si="82"/>
        <v>0</v>
      </c>
      <c r="Q1447" s="8">
        <f ca="1">CEILING(R1446*(IF(N1447&lt;=IF($B$2=0,0,OFFSET(Sheet2!$B$1,Sheet1!$B$2-1,0)),$B$1/(365*100),$B$3/(365*100)))*100,1)/100</f>
        <v>185.2</v>
      </c>
      <c r="R1447" s="9">
        <f t="shared" ca="1" si="83"/>
        <v>453843.4003924632</v>
      </c>
    </row>
    <row r="1448" spans="1:18" x14ac:dyDescent="0.25">
      <c r="A1448">
        <v>14</v>
      </c>
      <c r="B1448">
        <v>6.9</v>
      </c>
      <c r="C1448">
        <v>1</v>
      </c>
      <c r="D1448">
        <v>16.899999999999999</v>
      </c>
      <c r="E1448">
        <v>28</v>
      </c>
      <c r="F1448">
        <v>4.31694171428572E-2</v>
      </c>
      <c r="G1448" t="str">
        <f t="shared" si="84"/>
        <v>Insert into BlueCreditTypeRainbow Values (14, 6.9, 1, 16.9, 28, 0.0431694171428572)</v>
      </c>
      <c r="N1448" s="4">
        <v>1445</v>
      </c>
      <c r="O1448" s="8">
        <f>$B$7*COUNTIF(Sheet2!$B$1:$B$132,N1448)</f>
        <v>0</v>
      </c>
      <c r="P1448" s="8">
        <f t="shared" ca="1" si="82"/>
        <v>0</v>
      </c>
      <c r="Q1448" s="8">
        <f ca="1">CEILING(R1447*(IF(N1448&lt;=IF($B$2=0,0,OFFSET(Sheet2!$B$1,Sheet1!$B$2-1,0)),$B$1/(365*100),$B$3/(365*100)))*100,1)/100</f>
        <v>185.27</v>
      </c>
      <c r="R1448" s="9">
        <f t="shared" ca="1" si="83"/>
        <v>454028.67039246322</v>
      </c>
    </row>
    <row r="1449" spans="1:18" x14ac:dyDescent="0.25">
      <c r="A1449">
        <v>14</v>
      </c>
      <c r="B1449">
        <v>6.9</v>
      </c>
      <c r="C1449">
        <v>1</v>
      </c>
      <c r="D1449">
        <v>16.899999999999999</v>
      </c>
      <c r="E1449">
        <v>29</v>
      </c>
      <c r="F1449">
        <v>4.1956194482758634E-2</v>
      </c>
      <c r="G1449" t="str">
        <f t="shared" si="84"/>
        <v>Insert into BlueCreditTypeRainbow Values (14, 6.9, 1, 16.9, 29, 0.0419561944827586)</v>
      </c>
      <c r="N1449" s="4">
        <v>1446</v>
      </c>
      <c r="O1449" s="8">
        <f>$B$7*COUNTIF(Sheet2!$B$1:$B$132,N1449)</f>
        <v>0</v>
      </c>
      <c r="P1449" s="8">
        <f t="shared" ca="1" si="82"/>
        <v>0</v>
      </c>
      <c r="Q1449" s="8">
        <f ca="1">CEILING(R1448*(IF(N1449&lt;=IF($B$2=0,0,OFFSET(Sheet2!$B$1,Sheet1!$B$2-1,0)),$B$1/(365*100),$B$3/(365*100)))*100,1)/100</f>
        <v>185.35</v>
      </c>
      <c r="R1449" s="9">
        <f t="shared" ca="1" si="83"/>
        <v>454214.02039246319</v>
      </c>
    </row>
    <row r="1450" spans="1:18" x14ac:dyDescent="0.25">
      <c r="A1450">
        <v>14</v>
      </c>
      <c r="B1450">
        <v>6.9</v>
      </c>
      <c r="C1450">
        <v>1</v>
      </c>
      <c r="D1450">
        <v>16.899999999999999</v>
      </c>
      <c r="E1450">
        <v>30</v>
      </c>
      <c r="F1450">
        <v>4.0825205692502052E-2</v>
      </c>
      <c r="G1450" t="str">
        <f t="shared" si="84"/>
        <v>Insert into BlueCreditTypeRainbow Values (14, 6.9, 1, 16.9, 30, 0.0408252056925021)</v>
      </c>
      <c r="N1450" s="4">
        <v>1447</v>
      </c>
      <c r="O1450" s="8">
        <f>$B$7*COUNTIF(Sheet2!$B$1:$B$132,N1450)</f>
        <v>0</v>
      </c>
      <c r="P1450" s="8">
        <f t="shared" ca="1" si="82"/>
        <v>0</v>
      </c>
      <c r="Q1450" s="8">
        <f ca="1">CEILING(R1449*(IF(N1450&lt;=IF($B$2=0,0,OFFSET(Sheet2!$B$1,Sheet1!$B$2-1,0)),$B$1/(365*100),$B$3/(365*100)))*100,1)/100</f>
        <v>185.42</v>
      </c>
      <c r="R1450" s="9">
        <f t="shared" ca="1" si="83"/>
        <v>454399.44039246318</v>
      </c>
    </row>
    <row r="1451" spans="1:18" x14ac:dyDescent="0.25">
      <c r="A1451">
        <v>14</v>
      </c>
      <c r="B1451">
        <v>6.9</v>
      </c>
      <c r="C1451">
        <v>1</v>
      </c>
      <c r="D1451">
        <v>16.899999999999999</v>
      </c>
      <c r="E1451">
        <v>31</v>
      </c>
      <c r="F1451">
        <v>3.9767981069270555E-2</v>
      </c>
      <c r="G1451" t="str">
        <f t="shared" si="84"/>
        <v>Insert into BlueCreditTypeRainbow Values (14, 6.9, 1, 16.9, 31, 0.0397679810692706)</v>
      </c>
      <c r="N1451" s="4">
        <v>1448</v>
      </c>
      <c r="O1451" s="8">
        <f>$B$7*COUNTIF(Sheet2!$B$1:$B$132,N1451)</f>
        <v>0</v>
      </c>
      <c r="P1451" s="8">
        <f t="shared" ca="1" si="82"/>
        <v>0</v>
      </c>
      <c r="Q1451" s="8">
        <f ca="1">CEILING(R1450*(IF(N1451&lt;=IF($B$2=0,0,OFFSET(Sheet2!$B$1,Sheet1!$B$2-1,0)),$B$1/(365*100),$B$3/(365*100)))*100,1)/100</f>
        <v>185.5</v>
      </c>
      <c r="R1451" s="9">
        <f t="shared" ca="1" si="83"/>
        <v>454584.94039246318</v>
      </c>
    </row>
    <row r="1452" spans="1:18" x14ac:dyDescent="0.25">
      <c r="A1452">
        <v>14</v>
      </c>
      <c r="B1452">
        <v>6.9</v>
      </c>
      <c r="C1452">
        <v>1</v>
      </c>
      <c r="D1452">
        <v>16.899999999999999</v>
      </c>
      <c r="E1452">
        <v>32</v>
      </c>
      <c r="F1452">
        <v>3.8777643124999976E-2</v>
      </c>
      <c r="G1452" t="str">
        <f t="shared" si="84"/>
        <v>Insert into BlueCreditTypeRainbow Values (14, 6.9, 1, 16.9, 32, 0.038777643125)</v>
      </c>
      <c r="N1452" s="4">
        <v>1449</v>
      </c>
      <c r="O1452" s="8">
        <f>$B$7*COUNTIF(Sheet2!$B$1:$B$132,N1452)</f>
        <v>0</v>
      </c>
      <c r="P1452" s="8">
        <f t="shared" ca="1" si="82"/>
        <v>0</v>
      </c>
      <c r="Q1452" s="8">
        <f ca="1">CEILING(R1451*(IF(N1452&lt;=IF($B$2=0,0,OFFSET(Sheet2!$B$1,Sheet1!$B$2-1,0)),$B$1/(365*100),$B$3/(365*100)))*100,1)/100</f>
        <v>185.58</v>
      </c>
      <c r="R1452" s="9">
        <f t="shared" ca="1" si="83"/>
        <v>454770.52039246319</v>
      </c>
    </row>
    <row r="1453" spans="1:18" x14ac:dyDescent="0.25">
      <c r="A1453">
        <v>14</v>
      </c>
      <c r="B1453">
        <v>6.9</v>
      </c>
      <c r="C1453">
        <v>1</v>
      </c>
      <c r="D1453">
        <v>16.899999999999999</v>
      </c>
      <c r="E1453">
        <v>33</v>
      </c>
      <c r="F1453">
        <v>3.7848522435169625E-2</v>
      </c>
      <c r="G1453" t="str">
        <f t="shared" si="84"/>
        <v>Insert into BlueCreditTypeRainbow Values (14, 6.9, 1, 16.9, 33, 0.0378485224351696)</v>
      </c>
      <c r="N1453" s="4">
        <v>1450</v>
      </c>
      <c r="O1453" s="8">
        <f>$B$7*COUNTIF(Sheet2!$B$1:$B$132,N1453)</f>
        <v>0</v>
      </c>
      <c r="P1453" s="8">
        <f t="shared" ca="1" si="82"/>
        <v>0</v>
      </c>
      <c r="Q1453" s="8">
        <f ca="1">CEILING(R1452*(IF(N1453&lt;=IF($B$2=0,0,OFFSET(Sheet2!$B$1,Sheet1!$B$2-1,0)),$B$1/(365*100),$B$3/(365*100)))*100,1)/100</f>
        <v>185.65</v>
      </c>
      <c r="R1453" s="9">
        <f t="shared" ca="1" si="83"/>
        <v>454956.17039246322</v>
      </c>
    </row>
    <row r="1454" spans="1:18" x14ac:dyDescent="0.25">
      <c r="A1454">
        <v>14</v>
      </c>
      <c r="B1454">
        <v>6.9</v>
      </c>
      <c r="C1454">
        <v>1</v>
      </c>
      <c r="D1454">
        <v>16.899999999999999</v>
      </c>
      <c r="E1454">
        <v>34</v>
      </c>
      <c r="F1454">
        <v>3.6974816191242675E-2</v>
      </c>
      <c r="G1454" t="str">
        <f t="shared" si="84"/>
        <v>Insert into BlueCreditTypeRainbow Values (14, 6.9, 1, 16.9, 34, 0.0369748161912427)</v>
      </c>
      <c r="N1454" s="4">
        <v>1451</v>
      </c>
      <c r="O1454" s="8">
        <f>$B$7*COUNTIF(Sheet2!$B$1:$B$132,N1454)</f>
        <v>0</v>
      </c>
      <c r="P1454" s="8">
        <f t="shared" ca="1" si="82"/>
        <v>0</v>
      </c>
      <c r="Q1454" s="8">
        <f ca="1">CEILING(R1453*(IF(N1454&lt;=IF($B$2=0,0,OFFSET(Sheet2!$B$1,Sheet1!$B$2-1,0)),$B$1/(365*100),$B$3/(365*100)))*100,1)/100</f>
        <v>185.73</v>
      </c>
      <c r="R1454" s="9">
        <f t="shared" ca="1" si="83"/>
        <v>455141.9003924632</v>
      </c>
    </row>
    <row r="1455" spans="1:18" x14ac:dyDescent="0.25">
      <c r="A1455">
        <v>14</v>
      </c>
      <c r="B1455">
        <v>6.9</v>
      </c>
      <c r="C1455">
        <v>1</v>
      </c>
      <c r="D1455">
        <v>16.899999999999999</v>
      </c>
      <c r="E1455">
        <v>35</v>
      </c>
      <c r="F1455">
        <v>3.6152164025635786E-2</v>
      </c>
      <c r="G1455" t="str">
        <f t="shared" si="84"/>
        <v>Insert into BlueCreditTypeRainbow Values (14, 6.9, 1, 16.9, 35, 0.0361521640256358)</v>
      </c>
      <c r="N1455" s="4">
        <v>1452</v>
      </c>
      <c r="O1455" s="8">
        <f>$B$7*COUNTIF(Sheet2!$B$1:$B$132,N1455)</f>
        <v>0</v>
      </c>
      <c r="P1455" s="8">
        <f t="shared" ca="1" si="82"/>
        <v>0</v>
      </c>
      <c r="Q1455" s="8">
        <f ca="1">CEILING(R1454*(IF(N1455&lt;=IF($B$2=0,0,OFFSET(Sheet2!$B$1,Sheet1!$B$2-1,0)),$B$1/(365*100),$B$3/(365*100)))*100,1)/100</f>
        <v>185.8</v>
      </c>
      <c r="R1455" s="9">
        <f t="shared" ca="1" si="83"/>
        <v>455327.70039246319</v>
      </c>
    </row>
    <row r="1456" spans="1:18" x14ac:dyDescent="0.25">
      <c r="A1456">
        <v>14</v>
      </c>
      <c r="B1456">
        <v>6.9</v>
      </c>
      <c r="C1456">
        <v>1</v>
      </c>
      <c r="D1456">
        <v>16.899999999999999</v>
      </c>
      <c r="E1456">
        <v>36</v>
      </c>
      <c r="F1456">
        <v>3.5375941405354432E-2</v>
      </c>
      <c r="G1456" t="str">
        <f t="shared" si="84"/>
        <v>Insert into BlueCreditTypeRainbow Values (14, 6.9, 1, 16.9, 36, 0.0353759414053544)</v>
      </c>
      <c r="N1456" s="4">
        <v>1453</v>
      </c>
      <c r="O1456" s="8">
        <f>$B$7*COUNTIF(Sheet2!$B$1:$B$132,N1456)</f>
        <v>0</v>
      </c>
      <c r="P1456" s="8">
        <f t="shared" ca="1" si="82"/>
        <v>0</v>
      </c>
      <c r="Q1456" s="8">
        <f ca="1">CEILING(R1455*(IF(N1456&lt;=IF($B$2=0,0,OFFSET(Sheet2!$B$1,Sheet1!$B$2-1,0)),$B$1/(365*100),$B$3/(365*100)))*100,1)/100</f>
        <v>185.88</v>
      </c>
      <c r="R1456" s="9">
        <f t="shared" ca="1" si="83"/>
        <v>455513.58039246319</v>
      </c>
    </row>
    <row r="1457" spans="1:18" x14ac:dyDescent="0.25">
      <c r="A1457">
        <v>14</v>
      </c>
      <c r="B1457">
        <v>6.9</v>
      </c>
      <c r="C1457">
        <v>0</v>
      </c>
      <c r="D1457">
        <v>16.899999999999999</v>
      </c>
      <c r="E1457">
        <v>24</v>
      </c>
      <c r="F1457">
        <v>4.9464426250000013E-2</v>
      </c>
      <c r="G1457" t="str">
        <f t="shared" si="84"/>
        <v>Insert into BlueCreditTypeRainbow Values (14, 6.9, 0, 16.9, 24, 0.04946442625)</v>
      </c>
      <c r="N1457" s="4">
        <v>1454</v>
      </c>
      <c r="O1457" s="8">
        <f>$B$7*COUNTIF(Sheet2!$B$1:$B$132,N1457)</f>
        <v>0</v>
      </c>
      <c r="P1457" s="8">
        <f t="shared" ca="1" si="82"/>
        <v>0</v>
      </c>
      <c r="Q1457" s="8">
        <f ca="1">CEILING(R1456*(IF(N1457&lt;=IF($B$2=0,0,OFFSET(Sheet2!$B$1,Sheet1!$B$2-1,0)),$B$1/(365*100),$B$3/(365*100)))*100,1)/100</f>
        <v>185.95</v>
      </c>
      <c r="R1457" s="9">
        <f t="shared" ca="1" si="83"/>
        <v>455699.5303924632</v>
      </c>
    </row>
    <row r="1458" spans="1:18" x14ac:dyDescent="0.25">
      <c r="A1458">
        <v>14</v>
      </c>
      <c r="B1458">
        <v>6.9</v>
      </c>
      <c r="C1458">
        <v>0</v>
      </c>
      <c r="D1458">
        <v>16.899999999999999</v>
      </c>
      <c r="E1458">
        <v>25</v>
      </c>
      <c r="F1458">
        <v>4.7802717199999983E-2</v>
      </c>
      <c r="G1458" t="str">
        <f t="shared" si="84"/>
        <v>Insert into BlueCreditTypeRainbow Values (14, 6.9, 0, 16.9, 25, 0.0478027172)</v>
      </c>
      <c r="N1458" s="4">
        <v>1455</v>
      </c>
      <c r="O1458" s="8">
        <f>$B$7*COUNTIF(Sheet2!$B$1:$B$132,N1458)</f>
        <v>0</v>
      </c>
      <c r="P1458" s="8">
        <f t="shared" ca="1" si="82"/>
        <v>0</v>
      </c>
      <c r="Q1458" s="8">
        <f ca="1">CEILING(R1457*(IF(N1458&lt;=IF($B$2=0,0,OFFSET(Sheet2!$B$1,Sheet1!$B$2-1,0)),$B$1/(365*100),$B$3/(365*100)))*100,1)/100</f>
        <v>186.03</v>
      </c>
      <c r="R1458" s="9">
        <f t="shared" ca="1" si="83"/>
        <v>455885.56039246323</v>
      </c>
    </row>
    <row r="1459" spans="1:18" x14ac:dyDescent="0.25">
      <c r="A1459">
        <v>14</v>
      </c>
      <c r="B1459">
        <v>6.9</v>
      </c>
      <c r="C1459">
        <v>0</v>
      </c>
      <c r="D1459">
        <v>16.899999999999999</v>
      </c>
      <c r="E1459">
        <v>26</v>
      </c>
      <c r="F1459">
        <v>4.6270473114521496E-2</v>
      </c>
      <c r="G1459" t="str">
        <f t="shared" si="84"/>
        <v>Insert into BlueCreditTypeRainbow Values (14, 6.9, 0, 16.9, 26, 0.0462704731145215)</v>
      </c>
      <c r="N1459" s="4">
        <v>1456</v>
      </c>
      <c r="O1459" s="8">
        <f>$B$7*COUNTIF(Sheet2!$B$1:$B$132,N1459)</f>
        <v>0</v>
      </c>
      <c r="P1459" s="8">
        <f t="shared" ca="1" si="82"/>
        <v>0</v>
      </c>
      <c r="Q1459" s="8">
        <f ca="1">CEILING(R1458*(IF(N1459&lt;=IF($B$2=0,0,OFFSET(Sheet2!$B$1,Sheet1!$B$2-1,0)),$B$1/(365*100),$B$3/(365*100)))*100,1)/100</f>
        <v>186.11</v>
      </c>
      <c r="R1459" s="9">
        <f t="shared" ca="1" si="83"/>
        <v>456071.67039246322</v>
      </c>
    </row>
    <row r="1460" spans="1:18" x14ac:dyDescent="0.25">
      <c r="A1460">
        <v>14</v>
      </c>
      <c r="B1460">
        <v>6.9</v>
      </c>
      <c r="C1460">
        <v>0</v>
      </c>
      <c r="D1460">
        <v>16.899999999999999</v>
      </c>
      <c r="E1460">
        <v>27</v>
      </c>
      <c r="F1460">
        <v>4.4852600370370428E-2</v>
      </c>
      <c r="G1460" t="str">
        <f t="shared" si="84"/>
        <v>Insert into BlueCreditTypeRainbow Values (14, 6.9, 0, 16.9, 27, 0.0448526003703704)</v>
      </c>
      <c r="N1460" s="4">
        <v>1457</v>
      </c>
      <c r="O1460" s="8">
        <f>$B$7*COUNTIF(Sheet2!$B$1:$B$132,N1460)</f>
        <v>0</v>
      </c>
      <c r="P1460" s="8">
        <f t="shared" ca="1" si="82"/>
        <v>0</v>
      </c>
      <c r="Q1460" s="8">
        <f ca="1">CEILING(R1459*(IF(N1460&lt;=IF($B$2=0,0,OFFSET(Sheet2!$B$1,Sheet1!$B$2-1,0)),$B$1/(365*100),$B$3/(365*100)))*100,1)/100</f>
        <v>186.18</v>
      </c>
      <c r="R1460" s="9">
        <f t="shared" ca="1" si="83"/>
        <v>456257.85039246321</v>
      </c>
    </row>
    <row r="1461" spans="1:18" x14ac:dyDescent="0.25">
      <c r="A1461">
        <v>14</v>
      </c>
      <c r="B1461">
        <v>6.9</v>
      </c>
      <c r="C1461">
        <v>0</v>
      </c>
      <c r="D1461">
        <v>16.899999999999999</v>
      </c>
      <c r="E1461">
        <v>28</v>
      </c>
      <c r="F1461">
        <v>4.3537493571428547E-2</v>
      </c>
      <c r="G1461" t="str">
        <f t="shared" si="84"/>
        <v>Insert into BlueCreditTypeRainbow Values (14, 6.9, 0, 16.9, 28, 0.0435374935714285)</v>
      </c>
      <c r="N1461" s="4">
        <v>1458</v>
      </c>
      <c r="O1461" s="8">
        <f>$B$7*COUNTIF(Sheet2!$B$1:$B$132,N1461)</f>
        <v>0</v>
      </c>
      <c r="P1461" s="8">
        <f t="shared" ca="1" si="82"/>
        <v>0</v>
      </c>
      <c r="Q1461" s="8">
        <f ca="1">CEILING(R1460*(IF(N1461&lt;=IF($B$2=0,0,OFFSET(Sheet2!$B$1,Sheet1!$B$2-1,0)),$B$1/(365*100),$B$3/(365*100)))*100,1)/100</f>
        <v>186.26</v>
      </c>
      <c r="R1461" s="9">
        <f t="shared" ca="1" si="83"/>
        <v>456444.11039246322</v>
      </c>
    </row>
    <row r="1462" spans="1:18" x14ac:dyDescent="0.25">
      <c r="A1462">
        <v>14</v>
      </c>
      <c r="B1462">
        <v>6.9</v>
      </c>
      <c r="C1462">
        <v>0</v>
      </c>
      <c r="D1462">
        <v>16.899999999999999</v>
      </c>
      <c r="E1462">
        <v>29</v>
      </c>
      <c r="F1462">
        <v>4.2313936929061935E-2</v>
      </c>
      <c r="G1462" t="str">
        <f t="shared" si="84"/>
        <v>Insert into BlueCreditTypeRainbow Values (14, 6.9, 0, 16.9, 29, 0.0423139369290619)</v>
      </c>
      <c r="N1462" s="4">
        <v>1459</v>
      </c>
      <c r="O1462" s="8">
        <f>$B$7*COUNTIF(Sheet2!$B$1:$B$132,N1462)</f>
        <v>0</v>
      </c>
      <c r="P1462" s="8">
        <f t="shared" ca="1" si="82"/>
        <v>0</v>
      </c>
      <c r="Q1462" s="8">
        <f ca="1">CEILING(R1461*(IF(N1462&lt;=IF($B$2=0,0,OFFSET(Sheet2!$B$1,Sheet1!$B$2-1,0)),$B$1/(365*100),$B$3/(365*100)))*100,1)/100</f>
        <v>186.33</v>
      </c>
      <c r="R1462" s="9">
        <f t="shared" ca="1" si="83"/>
        <v>456630.44039246324</v>
      </c>
    </row>
    <row r="1463" spans="1:18" x14ac:dyDescent="0.25">
      <c r="A1463">
        <v>14</v>
      </c>
      <c r="B1463">
        <v>6.9</v>
      </c>
      <c r="C1463">
        <v>0</v>
      </c>
      <c r="D1463">
        <v>16.899999999999999</v>
      </c>
      <c r="E1463">
        <v>30</v>
      </c>
      <c r="F1463">
        <v>4.1173301653517375E-2</v>
      </c>
      <c r="G1463" t="str">
        <f t="shared" si="84"/>
        <v>Insert into BlueCreditTypeRainbow Values (14, 6.9, 0, 16.9, 30, 0.0411733016535174)</v>
      </c>
      <c r="N1463" s="4">
        <v>1460</v>
      </c>
      <c r="O1463" s="8">
        <f>$B$7*COUNTIF(Sheet2!$B$1:$B$132,N1463)</f>
        <v>0</v>
      </c>
      <c r="P1463" s="8">
        <f t="shared" ca="1" si="82"/>
        <v>0</v>
      </c>
      <c r="Q1463" s="8">
        <f ca="1">CEILING(R1462*(IF(N1463&lt;=IF($B$2=0,0,OFFSET(Sheet2!$B$1,Sheet1!$B$2-1,0)),$B$1/(365*100),$B$3/(365*100)))*100,1)/100</f>
        <v>186.41</v>
      </c>
      <c r="R1463" s="9">
        <f t="shared" ca="1" si="83"/>
        <v>456816.85039246321</v>
      </c>
    </row>
    <row r="1464" spans="1:18" x14ac:dyDescent="0.25">
      <c r="A1464">
        <v>14</v>
      </c>
      <c r="B1464">
        <v>6.9</v>
      </c>
      <c r="C1464">
        <v>0</v>
      </c>
      <c r="D1464">
        <v>16.899999999999999</v>
      </c>
      <c r="E1464">
        <v>31</v>
      </c>
      <c r="F1464">
        <v>4.0107067107580024E-2</v>
      </c>
      <c r="G1464" t="str">
        <f t="shared" si="84"/>
        <v>Insert into BlueCreditTypeRainbow Values (14, 6.9, 0, 16.9, 31, 0.04010706710758)</v>
      </c>
      <c r="N1464" s="4">
        <v>1461</v>
      </c>
      <c r="O1464" s="8">
        <f>$B$7*COUNTIF(Sheet2!$B$1:$B$132,N1464)</f>
        <v>0</v>
      </c>
      <c r="P1464" s="8">
        <f t="shared" ca="1" si="82"/>
        <v>0</v>
      </c>
      <c r="Q1464" s="8">
        <f ca="1">CEILING(R1463*(IF(N1464&lt;=IF($B$2=0,0,OFFSET(Sheet2!$B$1,Sheet1!$B$2-1,0)),$B$1/(365*100),$B$3/(365*100)))*100,1)/100</f>
        <v>186.49</v>
      </c>
      <c r="R1464" s="9">
        <f t="shared" ca="1" si="83"/>
        <v>457003.3403924632</v>
      </c>
    </row>
    <row r="1465" spans="1:18" x14ac:dyDescent="0.25">
      <c r="A1465">
        <v>14</v>
      </c>
      <c r="B1465">
        <v>6.9</v>
      </c>
      <c r="C1465">
        <v>0</v>
      </c>
      <c r="D1465">
        <v>16.899999999999999</v>
      </c>
      <c r="E1465">
        <v>32</v>
      </c>
      <c r="F1465">
        <v>3.910826843750001E-2</v>
      </c>
      <c r="G1465" t="str">
        <f t="shared" si="84"/>
        <v>Insert into BlueCreditTypeRainbow Values (14, 6.9, 0, 16.9, 32, 0.0391082684375)</v>
      </c>
      <c r="N1465" s="4">
        <v>1462</v>
      </c>
      <c r="O1465" s="8">
        <f>$B$7*COUNTIF(Sheet2!$B$1:$B$132,N1465)</f>
        <v>0</v>
      </c>
      <c r="P1465" s="8">
        <f t="shared" ca="1" si="82"/>
        <v>0</v>
      </c>
      <c r="Q1465" s="8">
        <f ca="1">CEILING(R1464*(IF(N1465&lt;=IF($B$2=0,0,OFFSET(Sheet2!$B$1,Sheet1!$B$2-1,0)),$B$1/(365*100),$B$3/(365*100)))*100,1)/100</f>
        <v>186.56</v>
      </c>
      <c r="R1465" s="9">
        <f t="shared" ca="1" si="83"/>
        <v>457189.9003924632</v>
      </c>
    </row>
    <row r="1466" spans="1:18" x14ac:dyDescent="0.25">
      <c r="A1466">
        <v>14</v>
      </c>
      <c r="B1466">
        <v>6.9</v>
      </c>
      <c r="C1466">
        <v>0</v>
      </c>
      <c r="D1466">
        <v>16.899999999999999</v>
      </c>
      <c r="E1466">
        <v>33</v>
      </c>
      <c r="F1466">
        <v>3.8171231613094013E-2</v>
      </c>
      <c r="G1466" t="str">
        <f t="shared" si="84"/>
        <v>Insert into BlueCreditTypeRainbow Values (14, 6.9, 0, 16.9, 33, 0.038171231613094)</v>
      </c>
      <c r="N1466" s="4">
        <v>1463</v>
      </c>
      <c r="O1466" s="8">
        <f>$B$7*COUNTIF(Sheet2!$B$1:$B$132,N1466)</f>
        <v>21157.10552356458</v>
      </c>
      <c r="P1466" s="8">
        <f t="shared" ca="1" si="82"/>
        <v>20970.465523564581</v>
      </c>
      <c r="Q1466" s="8">
        <f ca="1">CEILING(R1465*(IF(N1466&lt;=IF($B$2=0,0,OFFSET(Sheet2!$B$1,Sheet1!$B$2-1,0)),$B$1/(365*100),$B$3/(365*100)))*100,1)/100</f>
        <v>186.64</v>
      </c>
      <c r="R1466" s="9">
        <f t="shared" ca="1" si="83"/>
        <v>436219.43486889865</v>
      </c>
    </row>
    <row r="1467" spans="1:18" x14ac:dyDescent="0.25">
      <c r="A1467">
        <v>14</v>
      </c>
      <c r="B1467">
        <v>6.9</v>
      </c>
      <c r="C1467">
        <v>0</v>
      </c>
      <c r="D1467">
        <v>16.899999999999999</v>
      </c>
      <c r="E1467">
        <v>34</v>
      </c>
      <c r="F1467">
        <v>3.7290082035708688E-2</v>
      </c>
      <c r="G1467" t="str">
        <f t="shared" si="84"/>
        <v>Insert into BlueCreditTypeRainbow Values (14, 6.9, 0, 16.9, 34, 0.0372900820357087)</v>
      </c>
      <c r="N1467" s="4">
        <v>1464</v>
      </c>
      <c r="O1467" s="8">
        <f>$B$7*COUNTIF(Sheet2!$B$1:$B$132,N1467)</f>
        <v>0</v>
      </c>
      <c r="P1467" s="8">
        <f t="shared" ca="1" si="82"/>
        <v>0</v>
      </c>
      <c r="Q1467" s="8">
        <f ca="1">CEILING(R1466*(IF(N1467&lt;=IF($B$2=0,0,OFFSET(Sheet2!$B$1,Sheet1!$B$2-1,0)),$B$1/(365*100),$B$3/(365*100)))*100,1)/100</f>
        <v>178.08</v>
      </c>
      <c r="R1467" s="9">
        <f t="shared" ca="1" si="83"/>
        <v>436397.51486889867</v>
      </c>
    </row>
    <row r="1468" spans="1:18" x14ac:dyDescent="0.25">
      <c r="A1468">
        <v>14</v>
      </c>
      <c r="B1468">
        <v>6.9</v>
      </c>
      <c r="C1468">
        <v>0</v>
      </c>
      <c r="D1468">
        <v>16.899999999999999</v>
      </c>
      <c r="E1468">
        <v>35</v>
      </c>
      <c r="F1468">
        <v>3.6460415220755445E-2</v>
      </c>
      <c r="G1468" t="str">
        <f t="shared" si="84"/>
        <v>Insert into BlueCreditTypeRainbow Values (14, 6.9, 0, 16.9, 35, 0.0364604152207554)</v>
      </c>
      <c r="N1468" s="4">
        <v>1465</v>
      </c>
      <c r="O1468" s="8">
        <f>$B$7*COUNTIF(Sheet2!$B$1:$B$132,N1468)</f>
        <v>0</v>
      </c>
      <c r="P1468" s="8">
        <f t="shared" ca="1" si="82"/>
        <v>0</v>
      </c>
      <c r="Q1468" s="8">
        <f ca="1">CEILING(R1467*(IF(N1468&lt;=IF($B$2=0,0,OFFSET(Sheet2!$B$1,Sheet1!$B$2-1,0)),$B$1/(365*100),$B$3/(365*100)))*100,1)/100</f>
        <v>178.15</v>
      </c>
      <c r="R1468" s="9">
        <f t="shared" ca="1" si="83"/>
        <v>436575.66486889869</v>
      </c>
    </row>
    <row r="1469" spans="1:18" x14ac:dyDescent="0.25">
      <c r="A1469">
        <v>14</v>
      </c>
      <c r="B1469">
        <v>6.9</v>
      </c>
      <c r="C1469">
        <v>0</v>
      </c>
      <c r="D1469">
        <v>16.899999999999999</v>
      </c>
      <c r="E1469">
        <v>36</v>
      </c>
      <c r="F1469">
        <v>3.5677567222222262E-2</v>
      </c>
      <c r="G1469" t="str">
        <f t="shared" si="84"/>
        <v>Insert into BlueCreditTypeRainbow Values (14, 6.9, 0, 16.9, 36, 0.0356775672222223)</v>
      </c>
      <c r="N1469" s="4">
        <v>1466</v>
      </c>
      <c r="O1469" s="8">
        <f>$B$7*COUNTIF(Sheet2!$B$1:$B$132,N1469)</f>
        <v>0</v>
      </c>
      <c r="P1469" s="8">
        <f t="shared" ca="1" si="82"/>
        <v>0</v>
      </c>
      <c r="Q1469" s="8">
        <f ca="1">CEILING(R1468*(IF(N1469&lt;=IF($B$2=0,0,OFFSET(Sheet2!$B$1,Sheet1!$B$2-1,0)),$B$1/(365*100),$B$3/(365*100)))*100,1)/100</f>
        <v>178.22</v>
      </c>
      <c r="R1469" s="9">
        <f t="shared" ca="1" si="83"/>
        <v>436753.88486889866</v>
      </c>
    </row>
    <row r="1470" spans="1:18" x14ac:dyDescent="0.25">
      <c r="A1470">
        <v>15</v>
      </c>
      <c r="B1470">
        <v>8.9</v>
      </c>
      <c r="C1470">
        <v>15</v>
      </c>
      <c r="D1470">
        <v>18.899999999999999</v>
      </c>
      <c r="E1470">
        <v>30</v>
      </c>
      <c r="F1470">
        <v>3.8468734333333324E-2</v>
      </c>
      <c r="G1470" t="str">
        <f t="shared" si="84"/>
        <v>Insert into BlueCreditTypeRainbow Values (15, 8.9, 15, 18.9, 30, 0.0384687343333333)</v>
      </c>
      <c r="N1470" s="4">
        <v>1467</v>
      </c>
      <c r="O1470" s="8">
        <f>$B$7*COUNTIF(Sheet2!$B$1:$B$132,N1470)</f>
        <v>0</v>
      </c>
      <c r="P1470" s="8">
        <f t="shared" ca="1" si="82"/>
        <v>0</v>
      </c>
      <c r="Q1470" s="8">
        <f ca="1">CEILING(R1469*(IF(N1470&lt;=IF($B$2=0,0,OFFSET(Sheet2!$B$1,Sheet1!$B$2-1,0)),$B$1/(365*100),$B$3/(365*100)))*100,1)/100</f>
        <v>178.3</v>
      </c>
      <c r="R1470" s="9">
        <f t="shared" ca="1" si="83"/>
        <v>436932.18486889865</v>
      </c>
    </row>
    <row r="1471" spans="1:18" x14ac:dyDescent="0.25">
      <c r="A1471">
        <v>15</v>
      </c>
      <c r="B1471">
        <v>8.9</v>
      </c>
      <c r="C1471">
        <v>15</v>
      </c>
      <c r="D1471">
        <v>18.899999999999999</v>
      </c>
      <c r="E1471">
        <v>31</v>
      </c>
      <c r="F1471">
        <v>3.7467232923198257E-2</v>
      </c>
      <c r="G1471" t="str">
        <f t="shared" si="84"/>
        <v>Insert into BlueCreditTypeRainbow Values (15, 8.9, 15, 18.9, 31, 0.0374672329231983)</v>
      </c>
      <c r="N1471" s="4">
        <v>1468</v>
      </c>
      <c r="O1471" s="8">
        <f>$B$7*COUNTIF(Sheet2!$B$1:$B$132,N1471)</f>
        <v>0</v>
      </c>
      <c r="P1471" s="8">
        <f t="shared" ca="1" si="82"/>
        <v>0</v>
      </c>
      <c r="Q1471" s="8">
        <f ca="1">CEILING(R1470*(IF(N1471&lt;=IF($B$2=0,0,OFFSET(Sheet2!$B$1,Sheet1!$B$2-1,0)),$B$1/(365*100),$B$3/(365*100)))*100,1)/100</f>
        <v>178.37</v>
      </c>
      <c r="R1471" s="9">
        <f t="shared" ca="1" si="83"/>
        <v>437110.55486889865</v>
      </c>
    </row>
    <row r="1472" spans="1:18" x14ac:dyDescent="0.25">
      <c r="A1472">
        <v>15</v>
      </c>
      <c r="B1472">
        <v>8.9</v>
      </c>
      <c r="C1472">
        <v>15</v>
      </c>
      <c r="D1472">
        <v>18.899999999999999</v>
      </c>
      <c r="E1472">
        <v>32</v>
      </c>
      <c r="F1472">
        <v>3.6530831562500005E-2</v>
      </c>
      <c r="G1472" t="str">
        <f t="shared" si="84"/>
        <v>Insert into BlueCreditTypeRainbow Values (15, 8.9, 15, 18.9, 32, 0.0365308315625)</v>
      </c>
      <c r="N1472" s="4">
        <v>1469</v>
      </c>
      <c r="O1472" s="8">
        <f>$B$7*COUNTIF(Sheet2!$B$1:$B$132,N1472)</f>
        <v>0</v>
      </c>
      <c r="P1472" s="8">
        <f t="shared" ca="1" si="82"/>
        <v>0</v>
      </c>
      <c r="Q1472" s="8">
        <f ca="1">CEILING(R1471*(IF(N1472&lt;=IF($B$2=0,0,OFFSET(Sheet2!$B$1,Sheet1!$B$2-1,0)),$B$1/(365*100),$B$3/(365*100)))*100,1)/100</f>
        <v>178.44</v>
      </c>
      <c r="R1472" s="9">
        <f t="shared" ca="1" si="83"/>
        <v>437288.99486889865</v>
      </c>
    </row>
    <row r="1473" spans="1:18" x14ac:dyDescent="0.25">
      <c r="A1473">
        <v>15</v>
      </c>
      <c r="B1473">
        <v>8.9</v>
      </c>
      <c r="C1473">
        <v>15</v>
      </c>
      <c r="D1473">
        <v>18.899999999999999</v>
      </c>
      <c r="E1473">
        <v>33</v>
      </c>
      <c r="F1473">
        <v>3.5653936088682114E-2</v>
      </c>
      <c r="G1473" t="str">
        <f t="shared" si="84"/>
        <v>Insert into BlueCreditTypeRainbow Values (15, 8.9, 15, 18.9, 33, 0.0356539360886821)</v>
      </c>
      <c r="N1473" s="4">
        <v>1470</v>
      </c>
      <c r="O1473" s="8">
        <f>$B$7*COUNTIF(Sheet2!$B$1:$B$132,N1473)</f>
        <v>0</v>
      </c>
      <c r="P1473" s="8">
        <f t="shared" ca="1" si="82"/>
        <v>0</v>
      </c>
      <c r="Q1473" s="8">
        <f ca="1">CEILING(R1472*(IF(N1473&lt;=IF($B$2=0,0,OFFSET(Sheet2!$B$1,Sheet1!$B$2-1,0)),$B$1/(365*100),$B$3/(365*100)))*100,1)/100</f>
        <v>178.51</v>
      </c>
      <c r="R1473" s="9">
        <f t="shared" ca="1" si="83"/>
        <v>437467.50486889866</v>
      </c>
    </row>
    <row r="1474" spans="1:18" x14ac:dyDescent="0.25">
      <c r="A1474">
        <v>15</v>
      </c>
      <c r="B1474">
        <v>8.9</v>
      </c>
      <c r="C1474">
        <v>15</v>
      </c>
      <c r="D1474">
        <v>18.899999999999999</v>
      </c>
      <c r="E1474">
        <v>34</v>
      </c>
      <c r="F1474">
        <v>3.4830734117647068E-2</v>
      </c>
      <c r="G1474" t="str">
        <f t="shared" si="84"/>
        <v>Insert into BlueCreditTypeRainbow Values (15, 8.9, 15, 18.9, 34, 0.0348307341176471)</v>
      </c>
      <c r="N1474" s="4">
        <v>1471</v>
      </c>
      <c r="O1474" s="8">
        <f>$B$7*COUNTIF(Sheet2!$B$1:$B$132,N1474)</f>
        <v>0</v>
      </c>
      <c r="P1474" s="8">
        <f t="shared" ca="1" si="82"/>
        <v>0</v>
      </c>
      <c r="Q1474" s="8">
        <f ca="1">CEILING(R1473*(IF(N1474&lt;=IF($B$2=0,0,OFFSET(Sheet2!$B$1,Sheet1!$B$2-1,0)),$B$1/(365*100),$B$3/(365*100)))*100,1)/100</f>
        <v>178.59</v>
      </c>
      <c r="R1474" s="9">
        <f t="shared" ca="1" si="83"/>
        <v>437646.09486889868</v>
      </c>
    </row>
    <row r="1475" spans="1:18" x14ac:dyDescent="0.25">
      <c r="A1475">
        <v>15</v>
      </c>
      <c r="B1475">
        <v>8.9</v>
      </c>
      <c r="C1475">
        <v>15</v>
      </c>
      <c r="D1475">
        <v>18.899999999999999</v>
      </c>
      <c r="E1475">
        <v>35</v>
      </c>
      <c r="F1475">
        <v>3.4056934285714276E-2</v>
      </c>
      <c r="G1475" t="str">
        <f t="shared" si="84"/>
        <v>Insert into BlueCreditTypeRainbow Values (15, 8.9, 15, 18.9, 35, 0.0340569342857143)</v>
      </c>
      <c r="N1475" s="4">
        <v>1472</v>
      </c>
      <c r="O1475" s="8">
        <f>$B$7*COUNTIF(Sheet2!$B$1:$B$132,N1475)</f>
        <v>0</v>
      </c>
      <c r="P1475" s="8">
        <f t="shared" ca="1" si="82"/>
        <v>0</v>
      </c>
      <c r="Q1475" s="8">
        <f ca="1">CEILING(R1474*(IF(N1475&lt;=IF($B$2=0,0,OFFSET(Sheet2!$B$1,Sheet1!$B$2-1,0)),$B$1/(365*100),$B$3/(365*100)))*100,1)/100</f>
        <v>178.66</v>
      </c>
      <c r="R1475" s="9">
        <f t="shared" ca="1" si="83"/>
        <v>437824.75486889866</v>
      </c>
    </row>
    <row r="1476" spans="1:18" x14ac:dyDescent="0.25">
      <c r="A1476">
        <v>15</v>
      </c>
      <c r="B1476">
        <v>8.9</v>
      </c>
      <c r="C1476">
        <v>15</v>
      </c>
      <c r="D1476">
        <v>18.899999999999999</v>
      </c>
      <c r="E1476">
        <v>36</v>
      </c>
      <c r="F1476">
        <v>3.332791777777775E-2</v>
      </c>
      <c r="G1476" t="str">
        <f t="shared" si="84"/>
        <v>Insert into BlueCreditTypeRainbow Values (15, 8.9, 15, 18.9, 36, 0.0333279177777778)</v>
      </c>
      <c r="N1476" s="4">
        <v>1473</v>
      </c>
      <c r="O1476" s="8">
        <f>$B$7*COUNTIF(Sheet2!$B$1:$B$132,N1476)</f>
        <v>0</v>
      </c>
      <c r="P1476" s="8">
        <f t="shared" ca="1" si="82"/>
        <v>0</v>
      </c>
      <c r="Q1476" s="8">
        <f ca="1">CEILING(R1475*(IF(N1476&lt;=IF($B$2=0,0,OFFSET(Sheet2!$B$1,Sheet1!$B$2-1,0)),$B$1/(365*100),$B$3/(365*100)))*100,1)/100</f>
        <v>178.73</v>
      </c>
      <c r="R1476" s="9">
        <f t="shared" ca="1" si="83"/>
        <v>438003.48486889864</v>
      </c>
    </row>
    <row r="1477" spans="1:18" x14ac:dyDescent="0.25">
      <c r="A1477">
        <v>15</v>
      </c>
      <c r="B1477">
        <v>8.9</v>
      </c>
      <c r="C1477">
        <v>15</v>
      </c>
      <c r="D1477">
        <v>18.899999999999999</v>
      </c>
      <c r="E1477">
        <v>37</v>
      </c>
      <c r="F1477">
        <v>3.2640351351351342E-2</v>
      </c>
      <c r="G1477" t="str">
        <f t="shared" si="84"/>
        <v>Insert into BlueCreditTypeRainbow Values (15, 8.9, 15, 18.9, 37, 0.0326403513513513)</v>
      </c>
      <c r="N1477" s="4">
        <v>1474</v>
      </c>
      <c r="O1477" s="8">
        <f>$B$7*COUNTIF(Sheet2!$B$1:$B$132,N1477)</f>
        <v>0</v>
      </c>
      <c r="P1477" s="8">
        <f t="shared" ref="P1477:P1540" ca="1" si="85">IF(O1477-Q1477&gt; 0, O1477-Q1477, 0)</f>
        <v>0</v>
      </c>
      <c r="Q1477" s="8">
        <f ca="1">CEILING(R1476*(IF(N1477&lt;=IF($B$2=0,0,OFFSET(Sheet2!$B$1,Sheet1!$B$2-1,0)),$B$1/(365*100),$B$3/(365*100)))*100,1)/100</f>
        <v>178.81</v>
      </c>
      <c r="R1477" s="9">
        <f t="shared" ref="R1477:R1540" ca="1" si="86">R1476+Q1477-O1477</f>
        <v>438182.29486889864</v>
      </c>
    </row>
    <row r="1478" spans="1:18" x14ac:dyDescent="0.25">
      <c r="A1478">
        <v>15</v>
      </c>
      <c r="B1478">
        <v>8.9</v>
      </c>
      <c r="C1478">
        <v>15</v>
      </c>
      <c r="D1478">
        <v>18.899999999999999</v>
      </c>
      <c r="E1478">
        <v>38</v>
      </c>
      <c r="F1478">
        <v>3.1990552118523828E-2</v>
      </c>
      <c r="G1478" t="str">
        <f t="shared" si="84"/>
        <v>Insert into BlueCreditTypeRainbow Values (15, 8.9, 15, 18.9, 38, 0.0319905521185238)</v>
      </c>
      <c r="N1478" s="4">
        <v>1475</v>
      </c>
      <c r="O1478" s="8">
        <f>$B$7*COUNTIF(Sheet2!$B$1:$B$132,N1478)</f>
        <v>0</v>
      </c>
      <c r="P1478" s="8">
        <f t="shared" ca="1" si="85"/>
        <v>0</v>
      </c>
      <c r="Q1478" s="8">
        <f ca="1">CEILING(R1477*(IF(N1478&lt;=IF($B$2=0,0,OFFSET(Sheet2!$B$1,Sheet1!$B$2-1,0)),$B$1/(365*100),$B$3/(365*100)))*100,1)/100</f>
        <v>178.88</v>
      </c>
      <c r="R1478" s="9">
        <f t="shared" ca="1" si="86"/>
        <v>438361.17486889864</v>
      </c>
    </row>
    <row r="1479" spans="1:18" x14ac:dyDescent="0.25">
      <c r="A1479">
        <v>15</v>
      </c>
      <c r="B1479">
        <v>8.9</v>
      </c>
      <c r="C1479">
        <v>15</v>
      </c>
      <c r="D1479">
        <v>18.899999999999999</v>
      </c>
      <c r="E1479">
        <v>39</v>
      </c>
      <c r="F1479">
        <v>3.1375862073022211E-2</v>
      </c>
      <c r="G1479" t="str">
        <f t="shared" si="84"/>
        <v>Insert into BlueCreditTypeRainbow Values (15, 8.9, 15, 18.9, 39, 0.0313758620730222)</v>
      </c>
      <c r="N1479" s="4">
        <v>1476</v>
      </c>
      <c r="O1479" s="8">
        <f>$B$7*COUNTIF(Sheet2!$B$1:$B$132,N1479)</f>
        <v>0</v>
      </c>
      <c r="P1479" s="8">
        <f t="shared" ca="1" si="85"/>
        <v>0</v>
      </c>
      <c r="Q1479" s="8">
        <f ca="1">CEILING(R1478*(IF(N1479&lt;=IF($B$2=0,0,OFFSET(Sheet2!$B$1,Sheet1!$B$2-1,0)),$B$1/(365*100),$B$3/(365*100)))*100,1)/100</f>
        <v>178.95</v>
      </c>
      <c r="R1479" s="9">
        <f t="shared" ca="1" si="86"/>
        <v>438540.12486889865</v>
      </c>
    </row>
    <row r="1480" spans="1:18" x14ac:dyDescent="0.25">
      <c r="A1480">
        <v>15</v>
      </c>
      <c r="B1480">
        <v>8.9</v>
      </c>
      <c r="C1480">
        <v>15</v>
      </c>
      <c r="D1480">
        <v>18.899999999999999</v>
      </c>
      <c r="E1480">
        <v>40</v>
      </c>
      <c r="F1480">
        <v>3.0793598871252208E-2</v>
      </c>
      <c r="G1480" t="str">
        <f t="shared" si="84"/>
        <v>Insert into BlueCreditTypeRainbow Values (15, 8.9, 15, 18.9, 40, 0.0307935988712522)</v>
      </c>
      <c r="N1480" s="4">
        <v>1477</v>
      </c>
      <c r="O1480" s="8">
        <f>$B$7*COUNTIF(Sheet2!$B$1:$B$132,N1480)</f>
        <v>0</v>
      </c>
      <c r="P1480" s="8">
        <f t="shared" ca="1" si="85"/>
        <v>0</v>
      </c>
      <c r="Q1480" s="8">
        <f ca="1">CEILING(R1479*(IF(N1480&lt;=IF($B$2=0,0,OFFSET(Sheet2!$B$1,Sheet1!$B$2-1,0)),$B$1/(365*100),$B$3/(365*100)))*100,1)/100</f>
        <v>179.03</v>
      </c>
      <c r="R1480" s="9">
        <f t="shared" ca="1" si="86"/>
        <v>438719.15486889868</v>
      </c>
    </row>
    <row r="1481" spans="1:18" x14ac:dyDescent="0.25">
      <c r="A1481">
        <v>15</v>
      </c>
      <c r="B1481">
        <v>8.9</v>
      </c>
      <c r="C1481">
        <v>15</v>
      </c>
      <c r="D1481">
        <v>18.899999999999999</v>
      </c>
      <c r="E1481">
        <v>41</v>
      </c>
      <c r="F1481">
        <v>3.0241034146341453E-2</v>
      </c>
      <c r="G1481" t="str">
        <f t="shared" si="84"/>
        <v>Insert into BlueCreditTypeRainbow Values (15, 8.9, 15, 18.9, 41, 0.0302410341463415)</v>
      </c>
      <c r="N1481" s="4">
        <v>1478</v>
      </c>
      <c r="O1481" s="8">
        <f>$B$7*COUNTIF(Sheet2!$B$1:$B$132,N1481)</f>
        <v>0</v>
      </c>
      <c r="P1481" s="8">
        <f t="shared" ca="1" si="85"/>
        <v>0</v>
      </c>
      <c r="Q1481" s="8">
        <f ca="1">CEILING(R1480*(IF(N1481&lt;=IF($B$2=0,0,OFFSET(Sheet2!$B$1,Sheet1!$B$2-1,0)),$B$1/(365*100),$B$3/(365*100)))*100,1)/100</f>
        <v>179.1</v>
      </c>
      <c r="R1481" s="9">
        <f t="shared" ca="1" si="86"/>
        <v>438898.25486889866</v>
      </c>
    </row>
    <row r="1482" spans="1:18" x14ac:dyDescent="0.25">
      <c r="A1482">
        <v>15</v>
      </c>
      <c r="B1482">
        <v>8.9</v>
      </c>
      <c r="C1482">
        <v>15</v>
      </c>
      <c r="D1482">
        <v>18.899999999999999</v>
      </c>
      <c r="E1482">
        <v>42</v>
      </c>
      <c r="F1482">
        <v>2.9716295956825615E-2</v>
      </c>
      <c r="G1482" t="str">
        <f t="shared" si="84"/>
        <v>Insert into BlueCreditTypeRainbow Values (15, 8.9, 15, 18.9, 42, 0.0297162959568256)</v>
      </c>
      <c r="N1482" s="4">
        <v>1479</v>
      </c>
      <c r="O1482" s="8">
        <f>$B$7*COUNTIF(Sheet2!$B$1:$B$132,N1482)</f>
        <v>0</v>
      </c>
      <c r="P1482" s="8">
        <f t="shared" ca="1" si="85"/>
        <v>0</v>
      </c>
      <c r="Q1482" s="8">
        <f ca="1">CEILING(R1481*(IF(N1482&lt;=IF($B$2=0,0,OFFSET(Sheet2!$B$1,Sheet1!$B$2-1,0)),$B$1/(365*100),$B$3/(365*100)))*100,1)/100</f>
        <v>179.17</v>
      </c>
      <c r="R1482" s="9">
        <f t="shared" ca="1" si="86"/>
        <v>439077.42486889864</v>
      </c>
    </row>
    <row r="1483" spans="1:18" x14ac:dyDescent="0.25">
      <c r="A1483">
        <v>15</v>
      </c>
      <c r="B1483">
        <v>8.9</v>
      </c>
      <c r="C1483">
        <v>14</v>
      </c>
      <c r="D1483">
        <v>18.899999999999999</v>
      </c>
      <c r="E1483">
        <v>30</v>
      </c>
      <c r="F1483">
        <v>3.8623718694457097E-2</v>
      </c>
      <c r="G1483" t="str">
        <f t="shared" si="84"/>
        <v>Insert into BlueCreditTypeRainbow Values (15, 8.9, 14, 18.9, 30, 0.0386237186944571)</v>
      </c>
      <c r="N1483" s="4">
        <v>1480</v>
      </c>
      <c r="O1483" s="8">
        <f>$B$7*COUNTIF(Sheet2!$B$1:$B$132,N1483)</f>
        <v>0</v>
      </c>
      <c r="P1483" s="8">
        <f t="shared" ca="1" si="85"/>
        <v>0</v>
      </c>
      <c r="Q1483" s="8">
        <f ca="1">CEILING(R1482*(IF(N1483&lt;=IF($B$2=0,0,OFFSET(Sheet2!$B$1,Sheet1!$B$2-1,0)),$B$1/(365*100),$B$3/(365*100)))*100,1)/100</f>
        <v>179.24</v>
      </c>
      <c r="R1483" s="9">
        <f t="shared" ca="1" si="86"/>
        <v>439256.66486889863</v>
      </c>
    </row>
    <row r="1484" spans="1:18" x14ac:dyDescent="0.25">
      <c r="A1484">
        <v>15</v>
      </c>
      <c r="B1484">
        <v>8.9</v>
      </c>
      <c r="C1484">
        <v>14</v>
      </c>
      <c r="D1484">
        <v>18.899999999999999</v>
      </c>
      <c r="E1484">
        <v>31</v>
      </c>
      <c r="F1484">
        <v>3.7622282923400273E-2</v>
      </c>
      <c r="G1484" t="str">
        <f t="shared" si="84"/>
        <v>Insert into BlueCreditTypeRainbow Values (15, 8.9, 14, 18.9, 31, 0.0376222829234003)</v>
      </c>
      <c r="N1484" s="4">
        <v>1481</v>
      </c>
      <c r="O1484" s="8">
        <f>$B$7*COUNTIF(Sheet2!$B$1:$B$132,N1484)</f>
        <v>0</v>
      </c>
      <c r="P1484" s="8">
        <f t="shared" ca="1" si="85"/>
        <v>0</v>
      </c>
      <c r="Q1484" s="8">
        <f ca="1">CEILING(R1483*(IF(N1484&lt;=IF($B$2=0,0,OFFSET(Sheet2!$B$1,Sheet1!$B$2-1,0)),$B$1/(365*100),$B$3/(365*100)))*100,1)/100</f>
        <v>179.32</v>
      </c>
      <c r="R1484" s="9">
        <f t="shared" ca="1" si="86"/>
        <v>439435.98486889864</v>
      </c>
    </row>
    <row r="1485" spans="1:18" x14ac:dyDescent="0.25">
      <c r="A1485">
        <v>15</v>
      </c>
      <c r="B1485">
        <v>8.9</v>
      </c>
      <c r="C1485">
        <v>14</v>
      </c>
      <c r="D1485">
        <v>18.899999999999999</v>
      </c>
      <c r="E1485">
        <v>32</v>
      </c>
      <c r="F1485">
        <v>3.6685744088167577E-2</v>
      </c>
      <c r="G1485" t="str">
        <f t="shared" si="84"/>
        <v>Insert into BlueCreditTypeRainbow Values (15, 8.9, 14, 18.9, 32, 0.0366857440881676)</v>
      </c>
      <c r="N1485" s="4">
        <v>1482</v>
      </c>
      <c r="O1485" s="8">
        <f>$B$7*COUNTIF(Sheet2!$B$1:$B$132,N1485)</f>
        <v>0</v>
      </c>
      <c r="P1485" s="8">
        <f t="shared" ca="1" si="85"/>
        <v>0</v>
      </c>
      <c r="Q1485" s="8">
        <f ca="1">CEILING(R1484*(IF(N1485&lt;=IF($B$2=0,0,OFFSET(Sheet2!$B$1,Sheet1!$B$2-1,0)),$B$1/(365*100),$B$3/(365*100)))*100,1)/100</f>
        <v>179.39</v>
      </c>
      <c r="R1485" s="9">
        <f t="shared" ca="1" si="86"/>
        <v>439615.37486889865</v>
      </c>
    </row>
    <row r="1486" spans="1:18" x14ac:dyDescent="0.25">
      <c r="A1486">
        <v>15</v>
      </c>
      <c r="B1486">
        <v>8.9</v>
      </c>
      <c r="C1486">
        <v>14</v>
      </c>
      <c r="D1486">
        <v>18.899999999999999</v>
      </c>
      <c r="E1486">
        <v>33</v>
      </c>
      <c r="F1486">
        <v>3.5808547590643919E-2</v>
      </c>
      <c r="G1486" t="str">
        <f t="shared" si="84"/>
        <v>Insert into BlueCreditTypeRainbow Values (15, 8.9, 14, 18.9, 33, 0.0358085475906439)</v>
      </c>
      <c r="N1486" s="4">
        <v>1483</v>
      </c>
      <c r="O1486" s="8">
        <f>$B$7*COUNTIF(Sheet2!$B$1:$B$132,N1486)</f>
        <v>0</v>
      </c>
      <c r="P1486" s="8">
        <f t="shared" ca="1" si="85"/>
        <v>0</v>
      </c>
      <c r="Q1486" s="8">
        <f ca="1">CEILING(R1485*(IF(N1486&lt;=IF($B$2=0,0,OFFSET(Sheet2!$B$1,Sheet1!$B$2-1,0)),$B$1/(365*100),$B$3/(365*100)))*100,1)/100</f>
        <v>179.46</v>
      </c>
      <c r="R1486" s="9">
        <f t="shared" ca="1" si="86"/>
        <v>439794.83486889867</v>
      </c>
    </row>
    <row r="1487" spans="1:18" x14ac:dyDescent="0.25">
      <c r="A1487">
        <v>15</v>
      </c>
      <c r="B1487">
        <v>8.9</v>
      </c>
      <c r="C1487">
        <v>14</v>
      </c>
      <c r="D1487">
        <v>18.899999999999999</v>
      </c>
      <c r="E1487">
        <v>34</v>
      </c>
      <c r="F1487">
        <v>3.4984910907165788E-2</v>
      </c>
      <c r="G1487" t="str">
        <f t="shared" ref="G1487:G1550" si="87">CONCATENATE("Insert into BlueCreditTypeRainbow Values (",A1487,", ",B1487,", ",C1487,", ",D1487,", ",E1487,", ",F1487,")")</f>
        <v>Insert into BlueCreditTypeRainbow Values (15, 8.9, 14, 18.9, 34, 0.0349849109071658)</v>
      </c>
      <c r="N1487" s="4">
        <v>1484</v>
      </c>
      <c r="O1487" s="8">
        <f>$B$7*COUNTIF(Sheet2!$B$1:$B$132,N1487)</f>
        <v>0</v>
      </c>
      <c r="P1487" s="8">
        <f t="shared" ca="1" si="85"/>
        <v>0</v>
      </c>
      <c r="Q1487" s="8">
        <f ca="1">CEILING(R1486*(IF(N1487&lt;=IF($B$2=0,0,OFFSET(Sheet2!$B$1,Sheet1!$B$2-1,0)),$B$1/(365*100),$B$3/(365*100)))*100,1)/100</f>
        <v>179.54</v>
      </c>
      <c r="R1487" s="9">
        <f t="shared" ca="1" si="86"/>
        <v>439974.37486889865</v>
      </c>
    </row>
    <row r="1488" spans="1:18" x14ac:dyDescent="0.25">
      <c r="A1488">
        <v>15</v>
      </c>
      <c r="B1488">
        <v>8.9</v>
      </c>
      <c r="C1488">
        <v>14</v>
      </c>
      <c r="D1488">
        <v>18.899999999999999</v>
      </c>
      <c r="E1488">
        <v>35</v>
      </c>
      <c r="F1488">
        <v>3.4210560285714328E-2</v>
      </c>
      <c r="G1488" t="str">
        <f t="shared" si="87"/>
        <v>Insert into BlueCreditTypeRainbow Values (15, 8.9, 14, 18.9, 35, 0.0342105602857143)</v>
      </c>
      <c r="N1488" s="4">
        <v>1485</v>
      </c>
      <c r="O1488" s="8">
        <f>$B$7*COUNTIF(Sheet2!$B$1:$B$132,N1488)</f>
        <v>0</v>
      </c>
      <c r="P1488" s="8">
        <f t="shared" ca="1" si="85"/>
        <v>0</v>
      </c>
      <c r="Q1488" s="8">
        <f ca="1">CEILING(R1487*(IF(N1488&lt;=IF($B$2=0,0,OFFSET(Sheet2!$B$1,Sheet1!$B$2-1,0)),$B$1/(365*100),$B$3/(365*100)))*100,1)/100</f>
        <v>179.61</v>
      </c>
      <c r="R1488" s="9">
        <f t="shared" ca="1" si="86"/>
        <v>440153.98486889864</v>
      </c>
    </row>
    <row r="1489" spans="1:18" x14ac:dyDescent="0.25">
      <c r="A1489">
        <v>15</v>
      </c>
      <c r="B1489">
        <v>8.9</v>
      </c>
      <c r="C1489">
        <v>14</v>
      </c>
      <c r="D1489">
        <v>18.899999999999999</v>
      </c>
      <c r="E1489">
        <v>36</v>
      </c>
      <c r="F1489">
        <v>3.3480919166666678E-2</v>
      </c>
      <c r="G1489" t="str">
        <f t="shared" si="87"/>
        <v>Insert into BlueCreditTypeRainbow Values (15, 8.9, 14, 18.9, 36, 0.0334809191666667)</v>
      </c>
      <c r="N1489" s="4">
        <v>1486</v>
      </c>
      <c r="O1489" s="8">
        <f>$B$7*COUNTIF(Sheet2!$B$1:$B$132,N1489)</f>
        <v>0</v>
      </c>
      <c r="P1489" s="8">
        <f t="shared" ca="1" si="85"/>
        <v>0</v>
      </c>
      <c r="Q1489" s="8">
        <f ca="1">CEILING(R1488*(IF(N1489&lt;=IF($B$2=0,0,OFFSET(Sheet2!$B$1,Sheet1!$B$2-1,0)),$B$1/(365*100),$B$3/(365*100)))*100,1)/100</f>
        <v>179.68</v>
      </c>
      <c r="R1489" s="9">
        <f t="shared" ca="1" si="86"/>
        <v>440333.66486889863</v>
      </c>
    </row>
    <row r="1490" spans="1:18" x14ac:dyDescent="0.25">
      <c r="A1490">
        <v>15</v>
      </c>
      <c r="B1490">
        <v>8.9</v>
      </c>
      <c r="C1490">
        <v>14</v>
      </c>
      <c r="D1490">
        <v>18.899999999999999</v>
      </c>
      <c r="E1490">
        <v>37</v>
      </c>
      <c r="F1490">
        <v>3.2792656780020295E-2</v>
      </c>
      <c r="G1490" t="str">
        <f t="shared" si="87"/>
        <v>Insert into BlueCreditTypeRainbow Values (15, 8.9, 14, 18.9, 37, 0.0327926567800203)</v>
      </c>
      <c r="N1490" s="4">
        <v>1487</v>
      </c>
      <c r="O1490" s="8">
        <f>$B$7*COUNTIF(Sheet2!$B$1:$B$132,N1490)</f>
        <v>0</v>
      </c>
      <c r="P1490" s="8">
        <f t="shared" ca="1" si="85"/>
        <v>0</v>
      </c>
      <c r="Q1490" s="8">
        <f ca="1">CEILING(R1489*(IF(N1490&lt;=IF($B$2=0,0,OFFSET(Sheet2!$B$1,Sheet1!$B$2-1,0)),$B$1/(365*100),$B$3/(365*100)))*100,1)/100</f>
        <v>179.76</v>
      </c>
      <c r="R1490" s="9">
        <f t="shared" ca="1" si="86"/>
        <v>440513.42486889864</v>
      </c>
    </row>
    <row r="1491" spans="1:18" x14ac:dyDescent="0.25">
      <c r="A1491">
        <v>15</v>
      </c>
      <c r="B1491">
        <v>8.9</v>
      </c>
      <c r="C1491">
        <v>14</v>
      </c>
      <c r="D1491">
        <v>18.899999999999999</v>
      </c>
      <c r="E1491">
        <v>38</v>
      </c>
      <c r="F1491">
        <v>3.2142092644826023E-2</v>
      </c>
      <c r="G1491" t="str">
        <f t="shared" si="87"/>
        <v>Insert into BlueCreditTypeRainbow Values (15, 8.9, 14, 18.9, 38, 0.032142092644826)</v>
      </c>
      <c r="N1491" s="4">
        <v>1488</v>
      </c>
      <c r="O1491" s="8">
        <f>$B$7*COUNTIF(Sheet2!$B$1:$B$132,N1491)</f>
        <v>0</v>
      </c>
      <c r="P1491" s="8">
        <f t="shared" ca="1" si="85"/>
        <v>0</v>
      </c>
      <c r="Q1491" s="8">
        <f ca="1">CEILING(R1490*(IF(N1491&lt;=IF($B$2=0,0,OFFSET(Sheet2!$B$1,Sheet1!$B$2-1,0)),$B$1/(365*100),$B$3/(365*100)))*100,1)/100</f>
        <v>179.83</v>
      </c>
      <c r="R1491" s="9">
        <f t="shared" ca="1" si="86"/>
        <v>440693.25486889866</v>
      </c>
    </row>
    <row r="1492" spans="1:18" x14ac:dyDescent="0.25">
      <c r="A1492">
        <v>15</v>
      </c>
      <c r="B1492">
        <v>8.9</v>
      </c>
      <c r="C1492">
        <v>14</v>
      </c>
      <c r="D1492">
        <v>18.899999999999999</v>
      </c>
      <c r="E1492">
        <v>39</v>
      </c>
      <c r="F1492">
        <v>3.1526602564102571E-2</v>
      </c>
      <c r="G1492" t="str">
        <f t="shared" si="87"/>
        <v>Insert into BlueCreditTypeRainbow Values (15, 8.9, 14, 18.9, 39, 0.0315266025641026)</v>
      </c>
      <c r="N1492" s="4">
        <v>1489</v>
      </c>
      <c r="O1492" s="8">
        <f>$B$7*COUNTIF(Sheet2!$B$1:$B$132,N1492)</f>
        <v>0</v>
      </c>
      <c r="P1492" s="8">
        <f t="shared" ca="1" si="85"/>
        <v>0</v>
      </c>
      <c r="Q1492" s="8">
        <f ca="1">CEILING(R1491*(IF(N1492&lt;=IF($B$2=0,0,OFFSET(Sheet2!$B$1,Sheet1!$B$2-1,0)),$B$1/(365*100),$B$3/(365*100)))*100,1)/100</f>
        <v>179.9</v>
      </c>
      <c r="R1492" s="9">
        <f t="shared" ca="1" si="86"/>
        <v>440873.15486889868</v>
      </c>
    </row>
    <row r="1493" spans="1:18" x14ac:dyDescent="0.25">
      <c r="A1493">
        <v>15</v>
      </c>
      <c r="B1493">
        <v>8.9</v>
      </c>
      <c r="C1493">
        <v>14</v>
      </c>
      <c r="D1493">
        <v>18.899999999999999</v>
      </c>
      <c r="E1493">
        <v>40</v>
      </c>
      <c r="F1493">
        <v>3.0943496522135652E-2</v>
      </c>
      <c r="G1493" t="str">
        <f t="shared" si="87"/>
        <v>Insert into BlueCreditTypeRainbow Values (15, 8.9, 14, 18.9, 40, 0.0309434965221357)</v>
      </c>
      <c r="N1493" s="4">
        <v>1490</v>
      </c>
      <c r="O1493" s="8">
        <f>$B$7*COUNTIF(Sheet2!$B$1:$B$132,N1493)</f>
        <v>0</v>
      </c>
      <c r="P1493" s="8">
        <f t="shared" ca="1" si="85"/>
        <v>0</v>
      </c>
      <c r="Q1493" s="8">
        <f ca="1">CEILING(R1492*(IF(N1493&lt;=IF($B$2=0,0,OFFSET(Sheet2!$B$1,Sheet1!$B$2-1,0)),$B$1/(365*100),$B$3/(365*100)))*100,1)/100</f>
        <v>179.98</v>
      </c>
      <c r="R1493" s="9">
        <f t="shared" ca="1" si="86"/>
        <v>441053.13486889866</v>
      </c>
    </row>
    <row r="1494" spans="1:18" x14ac:dyDescent="0.25">
      <c r="A1494">
        <v>15</v>
      </c>
      <c r="B1494">
        <v>8.9</v>
      </c>
      <c r="C1494">
        <v>14</v>
      </c>
      <c r="D1494">
        <v>18.899999999999999</v>
      </c>
      <c r="E1494">
        <v>41</v>
      </c>
      <c r="F1494">
        <v>3.03900795399108E-2</v>
      </c>
      <c r="G1494" t="str">
        <f t="shared" si="87"/>
        <v>Insert into BlueCreditTypeRainbow Values (15, 8.9, 14, 18.9, 41, 0.0303900795399108)</v>
      </c>
      <c r="N1494" s="4">
        <v>1491</v>
      </c>
      <c r="O1494" s="8">
        <f>$B$7*COUNTIF(Sheet2!$B$1:$B$132,N1494)</f>
        <v>0</v>
      </c>
      <c r="P1494" s="8">
        <f t="shared" ca="1" si="85"/>
        <v>0</v>
      </c>
      <c r="Q1494" s="8">
        <f ca="1">CEILING(R1493*(IF(N1494&lt;=IF($B$2=0,0,OFFSET(Sheet2!$B$1,Sheet1!$B$2-1,0)),$B$1/(365*100),$B$3/(365*100)))*100,1)/100</f>
        <v>180.05</v>
      </c>
      <c r="R1494" s="9">
        <f t="shared" ca="1" si="86"/>
        <v>441233.18486889865</v>
      </c>
    </row>
    <row r="1495" spans="1:18" x14ac:dyDescent="0.25">
      <c r="A1495">
        <v>15</v>
      </c>
      <c r="B1495">
        <v>8.9</v>
      </c>
      <c r="C1495">
        <v>14</v>
      </c>
      <c r="D1495">
        <v>18.899999999999999</v>
      </c>
      <c r="E1495">
        <v>42</v>
      </c>
      <c r="F1495">
        <v>2.9864461666666682E-2</v>
      </c>
      <c r="G1495" t="str">
        <f t="shared" si="87"/>
        <v>Insert into BlueCreditTypeRainbow Values (15, 8.9, 14, 18.9, 42, 0.0298644616666667)</v>
      </c>
      <c r="N1495" s="4">
        <v>1492</v>
      </c>
      <c r="O1495" s="8">
        <f>$B$7*COUNTIF(Sheet2!$B$1:$B$132,N1495)</f>
        <v>0</v>
      </c>
      <c r="P1495" s="8">
        <f t="shared" ca="1" si="85"/>
        <v>0</v>
      </c>
      <c r="Q1495" s="8">
        <f ca="1">CEILING(R1494*(IF(N1495&lt;=IF($B$2=0,0,OFFSET(Sheet2!$B$1,Sheet1!$B$2-1,0)),$B$1/(365*100),$B$3/(365*100)))*100,1)/100</f>
        <v>180.12</v>
      </c>
      <c r="R1495" s="9">
        <f t="shared" ca="1" si="86"/>
        <v>441413.30486889865</v>
      </c>
    </row>
    <row r="1496" spans="1:18" x14ac:dyDescent="0.25">
      <c r="A1496">
        <v>15</v>
      </c>
      <c r="B1496">
        <v>8.9</v>
      </c>
      <c r="C1496">
        <v>13</v>
      </c>
      <c r="D1496">
        <v>18.899999999999999</v>
      </c>
      <c r="E1496">
        <v>30</v>
      </c>
      <c r="F1496">
        <v>3.8795292859662302E-2</v>
      </c>
      <c r="G1496" t="str">
        <f t="shared" si="87"/>
        <v>Insert into BlueCreditTypeRainbow Values (15, 8.9, 13, 18.9, 30, 0.0387952928596623)</v>
      </c>
      <c r="N1496" s="4">
        <v>1493</v>
      </c>
      <c r="O1496" s="8">
        <f>$B$7*COUNTIF(Sheet2!$B$1:$B$132,N1496)</f>
        <v>0</v>
      </c>
      <c r="P1496" s="8">
        <f t="shared" ca="1" si="85"/>
        <v>0</v>
      </c>
      <c r="Q1496" s="8">
        <f ca="1">CEILING(R1495*(IF(N1496&lt;=IF($B$2=0,0,OFFSET(Sheet2!$B$1,Sheet1!$B$2-1,0)),$B$1/(365*100),$B$3/(365*100)))*100,1)/100</f>
        <v>180.2</v>
      </c>
      <c r="R1496" s="9">
        <f t="shared" ca="1" si="86"/>
        <v>441593.50486889866</v>
      </c>
    </row>
    <row r="1497" spans="1:18" x14ac:dyDescent="0.25">
      <c r="A1497">
        <v>15</v>
      </c>
      <c r="B1497">
        <v>8.9</v>
      </c>
      <c r="C1497">
        <v>13</v>
      </c>
      <c r="D1497">
        <v>18.899999999999999</v>
      </c>
      <c r="E1497">
        <v>31</v>
      </c>
      <c r="F1497">
        <v>3.7793366729196677E-2</v>
      </c>
      <c r="G1497" t="str">
        <f t="shared" si="87"/>
        <v>Insert into BlueCreditTypeRainbow Values (15, 8.9, 13, 18.9, 31, 0.0377933667291967)</v>
      </c>
      <c r="N1497" s="4">
        <v>1494</v>
      </c>
      <c r="O1497" s="8">
        <f>$B$7*COUNTIF(Sheet2!$B$1:$B$132,N1497)</f>
        <v>21157.10552356458</v>
      </c>
      <c r="P1497" s="8">
        <f t="shared" ca="1" si="85"/>
        <v>20976.835523564579</v>
      </c>
      <c r="Q1497" s="8">
        <f ca="1">CEILING(R1496*(IF(N1497&lt;=IF($B$2=0,0,OFFSET(Sheet2!$B$1,Sheet1!$B$2-1,0)),$B$1/(365*100),$B$3/(365*100)))*100,1)/100</f>
        <v>180.27</v>
      </c>
      <c r="R1497" s="9">
        <f t="shared" ca="1" si="86"/>
        <v>420616.66934533411</v>
      </c>
    </row>
    <row r="1498" spans="1:18" x14ac:dyDescent="0.25">
      <c r="A1498">
        <v>15</v>
      </c>
      <c r="B1498">
        <v>8.9</v>
      </c>
      <c r="C1498">
        <v>13</v>
      </c>
      <c r="D1498">
        <v>18.899999999999999</v>
      </c>
      <c r="E1498">
        <v>32</v>
      </c>
      <c r="F1498">
        <v>3.685619845248559E-2</v>
      </c>
      <c r="G1498" t="str">
        <f t="shared" si="87"/>
        <v>Insert into BlueCreditTypeRainbow Values (15, 8.9, 13, 18.9, 32, 0.0368561984524856)</v>
      </c>
      <c r="N1498" s="4">
        <v>1495</v>
      </c>
      <c r="O1498" s="8">
        <f>$B$7*COUNTIF(Sheet2!$B$1:$B$132,N1498)</f>
        <v>0</v>
      </c>
      <c r="P1498" s="8">
        <f t="shared" ca="1" si="85"/>
        <v>0</v>
      </c>
      <c r="Q1498" s="8">
        <f ca="1">CEILING(R1497*(IF(N1498&lt;=IF($B$2=0,0,OFFSET(Sheet2!$B$1,Sheet1!$B$2-1,0)),$B$1/(365*100),$B$3/(365*100)))*100,1)/100</f>
        <v>171.71</v>
      </c>
      <c r="R1498" s="9">
        <f t="shared" ca="1" si="86"/>
        <v>420788.37934533413</v>
      </c>
    </row>
    <row r="1499" spans="1:18" x14ac:dyDescent="0.25">
      <c r="A1499">
        <v>15</v>
      </c>
      <c r="B1499">
        <v>8.9</v>
      </c>
      <c r="C1499">
        <v>13</v>
      </c>
      <c r="D1499">
        <v>18.899999999999999</v>
      </c>
      <c r="E1499">
        <v>33</v>
      </c>
      <c r="F1499">
        <v>3.5978241818181822E-2</v>
      </c>
      <c r="G1499" t="str">
        <f t="shared" si="87"/>
        <v>Insert into BlueCreditTypeRainbow Values (15, 8.9, 13, 18.9, 33, 0.0359782418181818)</v>
      </c>
      <c r="N1499" s="4">
        <v>1496</v>
      </c>
      <c r="O1499" s="8">
        <f>$B$7*COUNTIF(Sheet2!$B$1:$B$132,N1499)</f>
        <v>0</v>
      </c>
      <c r="P1499" s="8">
        <f t="shared" ca="1" si="85"/>
        <v>0</v>
      </c>
      <c r="Q1499" s="8">
        <f ca="1">CEILING(R1498*(IF(N1499&lt;=IF($B$2=0,0,OFFSET(Sheet2!$B$1,Sheet1!$B$2-1,0)),$B$1/(365*100),$B$3/(365*100)))*100,1)/100</f>
        <v>171.78</v>
      </c>
      <c r="R1499" s="9">
        <f t="shared" ca="1" si="86"/>
        <v>420960.15934533416</v>
      </c>
    </row>
    <row r="1500" spans="1:18" x14ac:dyDescent="0.25">
      <c r="A1500">
        <v>15</v>
      </c>
      <c r="B1500">
        <v>8.9</v>
      </c>
      <c r="C1500">
        <v>13</v>
      </c>
      <c r="D1500">
        <v>18.899999999999999</v>
      </c>
      <c r="E1500">
        <v>34</v>
      </c>
      <c r="F1500">
        <v>3.5153741470588237E-2</v>
      </c>
      <c r="G1500" t="str">
        <f t="shared" si="87"/>
        <v>Insert into BlueCreditTypeRainbow Values (15, 8.9, 13, 18.9, 34, 0.0351537414705882)</v>
      </c>
      <c r="N1500" s="4">
        <v>1497</v>
      </c>
      <c r="O1500" s="8">
        <f>$B$7*COUNTIF(Sheet2!$B$1:$B$132,N1500)</f>
        <v>0</v>
      </c>
      <c r="P1500" s="8">
        <f t="shared" ca="1" si="85"/>
        <v>0</v>
      </c>
      <c r="Q1500" s="8">
        <f ca="1">CEILING(R1499*(IF(N1500&lt;=IF($B$2=0,0,OFFSET(Sheet2!$B$1,Sheet1!$B$2-1,0)),$B$1/(365*100),$B$3/(365*100)))*100,1)/100</f>
        <v>171.85</v>
      </c>
      <c r="R1500" s="9">
        <f t="shared" ca="1" si="86"/>
        <v>421132.00934533414</v>
      </c>
    </row>
    <row r="1501" spans="1:18" x14ac:dyDescent="0.25">
      <c r="A1501">
        <v>15</v>
      </c>
      <c r="B1501">
        <v>8.9</v>
      </c>
      <c r="C1501">
        <v>13</v>
      </c>
      <c r="D1501">
        <v>18.899999999999999</v>
      </c>
      <c r="E1501">
        <v>35</v>
      </c>
      <c r="F1501">
        <v>3.4378439171093803E-2</v>
      </c>
      <c r="G1501" t="str">
        <f t="shared" si="87"/>
        <v>Insert into BlueCreditTypeRainbow Values (15, 8.9, 13, 18.9, 35, 0.0343784391710938)</v>
      </c>
      <c r="N1501" s="4">
        <v>1498</v>
      </c>
      <c r="O1501" s="8">
        <f>$B$7*COUNTIF(Sheet2!$B$1:$B$132,N1501)</f>
        <v>0</v>
      </c>
      <c r="P1501" s="8">
        <f t="shared" ca="1" si="85"/>
        <v>0</v>
      </c>
      <c r="Q1501" s="8">
        <f ca="1">CEILING(R1500*(IF(N1501&lt;=IF($B$2=0,0,OFFSET(Sheet2!$B$1,Sheet1!$B$2-1,0)),$B$1/(365*100),$B$3/(365*100)))*100,1)/100</f>
        <v>171.92</v>
      </c>
      <c r="R1501" s="9">
        <f t="shared" ca="1" si="86"/>
        <v>421303.92934533412</v>
      </c>
    </row>
    <row r="1502" spans="1:18" x14ac:dyDescent="0.25">
      <c r="A1502">
        <v>15</v>
      </c>
      <c r="B1502">
        <v>8.9</v>
      </c>
      <c r="C1502">
        <v>13</v>
      </c>
      <c r="D1502">
        <v>18.899999999999999</v>
      </c>
      <c r="E1502">
        <v>36</v>
      </c>
      <c r="F1502">
        <v>3.3647793878501767E-2</v>
      </c>
      <c r="G1502" t="str">
        <f t="shared" si="87"/>
        <v>Insert into BlueCreditTypeRainbow Values (15, 8.9, 13, 18.9, 36, 0.0336477938785018)</v>
      </c>
      <c r="N1502" s="4">
        <v>1499</v>
      </c>
      <c r="O1502" s="8">
        <f>$B$7*COUNTIF(Sheet2!$B$1:$B$132,N1502)</f>
        <v>0</v>
      </c>
      <c r="P1502" s="8">
        <f t="shared" ca="1" si="85"/>
        <v>0</v>
      </c>
      <c r="Q1502" s="8">
        <f ca="1">CEILING(R1501*(IF(N1502&lt;=IF($B$2=0,0,OFFSET(Sheet2!$B$1,Sheet1!$B$2-1,0)),$B$1/(365*100),$B$3/(365*100)))*100,1)/100</f>
        <v>171.99</v>
      </c>
      <c r="R1502" s="9">
        <f t="shared" ca="1" si="86"/>
        <v>421475.91934533411</v>
      </c>
    </row>
    <row r="1503" spans="1:18" x14ac:dyDescent="0.25">
      <c r="A1503">
        <v>15</v>
      </c>
      <c r="B1503">
        <v>8.9</v>
      </c>
      <c r="C1503">
        <v>13</v>
      </c>
      <c r="D1503">
        <v>18.899999999999999</v>
      </c>
      <c r="E1503">
        <v>37</v>
      </c>
      <c r="F1503">
        <v>3.2958474079094892E-2</v>
      </c>
      <c r="G1503" t="str">
        <f t="shared" si="87"/>
        <v>Insert into BlueCreditTypeRainbow Values (15, 8.9, 13, 18.9, 37, 0.0329584740790949)</v>
      </c>
      <c r="N1503" s="4">
        <v>1500</v>
      </c>
      <c r="O1503" s="8">
        <f>$B$7*COUNTIF(Sheet2!$B$1:$B$132,N1503)</f>
        <v>0</v>
      </c>
      <c r="P1503" s="8">
        <f t="shared" ca="1" si="85"/>
        <v>0</v>
      </c>
      <c r="Q1503" s="8">
        <f ca="1">CEILING(R1502*(IF(N1503&lt;=IF($B$2=0,0,OFFSET(Sheet2!$B$1,Sheet1!$B$2-1,0)),$B$1/(365*100),$B$3/(365*100)))*100,1)/100</f>
        <v>172.06</v>
      </c>
      <c r="R1503" s="9">
        <f t="shared" ca="1" si="86"/>
        <v>421647.97934533411</v>
      </c>
    </row>
    <row r="1504" spans="1:18" x14ac:dyDescent="0.25">
      <c r="A1504">
        <v>15</v>
      </c>
      <c r="B1504">
        <v>8.9</v>
      </c>
      <c r="C1504">
        <v>13</v>
      </c>
      <c r="D1504">
        <v>18.899999999999999</v>
      </c>
      <c r="E1504">
        <v>38</v>
      </c>
      <c r="F1504">
        <v>3.2306827769650583E-2</v>
      </c>
      <c r="G1504" t="str">
        <f t="shared" si="87"/>
        <v>Insert into BlueCreditTypeRainbow Values (15, 8.9, 13, 18.9, 38, 0.0323068277696506)</v>
      </c>
      <c r="N1504" s="4">
        <v>1501</v>
      </c>
      <c r="O1504" s="8">
        <f>$B$7*COUNTIF(Sheet2!$B$1:$B$132,N1504)</f>
        <v>0</v>
      </c>
      <c r="P1504" s="8">
        <f t="shared" ca="1" si="85"/>
        <v>0</v>
      </c>
      <c r="Q1504" s="8">
        <f ca="1">CEILING(R1503*(IF(N1504&lt;=IF($B$2=0,0,OFFSET(Sheet2!$B$1,Sheet1!$B$2-1,0)),$B$1/(365*100),$B$3/(365*100)))*100,1)/100</f>
        <v>172.13</v>
      </c>
      <c r="R1504" s="9">
        <f t="shared" ca="1" si="86"/>
        <v>421820.10934533412</v>
      </c>
    </row>
    <row r="1505" spans="1:18" x14ac:dyDescent="0.25">
      <c r="A1505">
        <v>15</v>
      </c>
      <c r="B1505">
        <v>8.9</v>
      </c>
      <c r="C1505">
        <v>13</v>
      </c>
      <c r="D1505">
        <v>18.899999999999999</v>
      </c>
      <c r="E1505">
        <v>39</v>
      </c>
      <c r="F1505">
        <v>3.1690232851044609E-2</v>
      </c>
      <c r="G1505" t="str">
        <f t="shared" si="87"/>
        <v>Insert into BlueCreditTypeRainbow Values (15, 8.9, 13, 18.9, 39, 0.0316902328510446)</v>
      </c>
      <c r="N1505" s="4">
        <v>1502</v>
      </c>
      <c r="O1505" s="8">
        <f>$B$7*COUNTIF(Sheet2!$B$1:$B$132,N1505)</f>
        <v>0</v>
      </c>
      <c r="P1505" s="8">
        <f t="shared" ca="1" si="85"/>
        <v>0</v>
      </c>
      <c r="Q1505" s="8">
        <f ca="1">CEILING(R1504*(IF(N1505&lt;=IF($B$2=0,0,OFFSET(Sheet2!$B$1,Sheet1!$B$2-1,0)),$B$1/(365*100),$B$3/(365*100)))*100,1)/100</f>
        <v>172.2</v>
      </c>
      <c r="R1505" s="9">
        <f t="shared" ca="1" si="86"/>
        <v>421992.30934533413</v>
      </c>
    </row>
    <row r="1506" spans="1:18" x14ac:dyDescent="0.25">
      <c r="A1506">
        <v>15</v>
      </c>
      <c r="B1506">
        <v>8.9</v>
      </c>
      <c r="C1506">
        <v>13</v>
      </c>
      <c r="D1506">
        <v>18.899999999999999</v>
      </c>
      <c r="E1506">
        <v>40</v>
      </c>
      <c r="F1506">
        <v>3.1106006000000023E-2</v>
      </c>
      <c r="G1506" t="str">
        <f t="shared" si="87"/>
        <v>Insert into BlueCreditTypeRainbow Values (15, 8.9, 13, 18.9, 40, 0.031106006)</v>
      </c>
      <c r="N1506" s="4">
        <v>1503</v>
      </c>
      <c r="O1506" s="8">
        <f>$B$7*COUNTIF(Sheet2!$B$1:$B$132,N1506)</f>
        <v>0</v>
      </c>
      <c r="P1506" s="8">
        <f t="shared" ca="1" si="85"/>
        <v>0</v>
      </c>
      <c r="Q1506" s="8">
        <f ca="1">CEILING(R1505*(IF(N1506&lt;=IF($B$2=0,0,OFFSET(Sheet2!$B$1,Sheet1!$B$2-1,0)),$B$1/(365*100),$B$3/(365*100)))*100,1)/100</f>
        <v>172.27</v>
      </c>
      <c r="R1506" s="9">
        <f t="shared" ca="1" si="86"/>
        <v>422164.57934533415</v>
      </c>
    </row>
    <row r="1507" spans="1:18" x14ac:dyDescent="0.25">
      <c r="A1507">
        <v>15</v>
      </c>
      <c r="B1507">
        <v>8.9</v>
      </c>
      <c r="C1507">
        <v>13</v>
      </c>
      <c r="D1507">
        <v>18.899999999999999</v>
      </c>
      <c r="E1507">
        <v>41</v>
      </c>
      <c r="F1507">
        <v>3.0551453921676654E-2</v>
      </c>
      <c r="G1507" t="str">
        <f t="shared" si="87"/>
        <v>Insert into BlueCreditTypeRainbow Values (15, 8.9, 13, 18.9, 41, 0.0305514539216767)</v>
      </c>
      <c r="N1507" s="4">
        <v>1504</v>
      </c>
      <c r="O1507" s="8">
        <f>$B$7*COUNTIF(Sheet2!$B$1:$B$132,N1507)</f>
        <v>0</v>
      </c>
      <c r="P1507" s="8">
        <f t="shared" ca="1" si="85"/>
        <v>0</v>
      </c>
      <c r="Q1507" s="8">
        <f ca="1">CEILING(R1506*(IF(N1507&lt;=IF($B$2=0,0,OFFSET(Sheet2!$B$1,Sheet1!$B$2-1,0)),$B$1/(365*100),$B$3/(365*100)))*100,1)/100</f>
        <v>172.34</v>
      </c>
      <c r="R1507" s="9">
        <f t="shared" ca="1" si="86"/>
        <v>422336.91934533417</v>
      </c>
    </row>
    <row r="1508" spans="1:18" x14ac:dyDescent="0.25">
      <c r="A1508">
        <v>15</v>
      </c>
      <c r="B1508">
        <v>8.9</v>
      </c>
      <c r="C1508">
        <v>13</v>
      </c>
      <c r="D1508">
        <v>18.899999999999999</v>
      </c>
      <c r="E1508">
        <v>42</v>
      </c>
      <c r="F1508">
        <v>3.0024695437641639E-2</v>
      </c>
      <c r="G1508" t="str">
        <f t="shared" si="87"/>
        <v>Insert into BlueCreditTypeRainbow Values (15, 8.9, 13, 18.9, 42, 0.0300246954376416)</v>
      </c>
      <c r="N1508" s="4">
        <v>1505</v>
      </c>
      <c r="O1508" s="8">
        <f>$B$7*COUNTIF(Sheet2!$B$1:$B$132,N1508)</f>
        <v>0</v>
      </c>
      <c r="P1508" s="8">
        <f t="shared" ca="1" si="85"/>
        <v>0</v>
      </c>
      <c r="Q1508" s="8">
        <f ca="1">CEILING(R1507*(IF(N1508&lt;=IF($B$2=0,0,OFFSET(Sheet2!$B$1,Sheet1!$B$2-1,0)),$B$1/(365*100),$B$3/(365*100)))*100,1)/100</f>
        <v>172.41</v>
      </c>
      <c r="R1508" s="9">
        <f t="shared" ca="1" si="86"/>
        <v>422509.32934533415</v>
      </c>
    </row>
    <row r="1509" spans="1:18" x14ac:dyDescent="0.25">
      <c r="A1509">
        <v>15</v>
      </c>
      <c r="B1509">
        <v>8.9</v>
      </c>
      <c r="C1509">
        <v>12</v>
      </c>
      <c r="D1509">
        <v>18.899999999999999</v>
      </c>
      <c r="E1509">
        <v>30</v>
      </c>
      <c r="F1509">
        <v>3.8978591000000007E-2</v>
      </c>
      <c r="G1509" t="str">
        <f t="shared" si="87"/>
        <v>Insert into BlueCreditTypeRainbow Values (15, 8.9, 12, 18.9, 30, 0.038978591)</v>
      </c>
      <c r="N1509" s="4">
        <v>1506</v>
      </c>
      <c r="O1509" s="8">
        <f>$B$7*COUNTIF(Sheet2!$B$1:$B$132,N1509)</f>
        <v>0</v>
      </c>
      <c r="P1509" s="8">
        <f t="shared" ca="1" si="85"/>
        <v>0</v>
      </c>
      <c r="Q1509" s="8">
        <f ca="1">CEILING(R1508*(IF(N1509&lt;=IF($B$2=0,0,OFFSET(Sheet2!$B$1,Sheet1!$B$2-1,0)),$B$1/(365*100),$B$3/(365*100)))*100,1)/100</f>
        <v>172.48</v>
      </c>
      <c r="R1509" s="9">
        <f t="shared" ca="1" si="86"/>
        <v>422681.80934533413</v>
      </c>
    </row>
    <row r="1510" spans="1:18" x14ac:dyDescent="0.25">
      <c r="A1510">
        <v>15</v>
      </c>
      <c r="B1510">
        <v>8.9</v>
      </c>
      <c r="C1510">
        <v>12</v>
      </c>
      <c r="D1510">
        <v>18.899999999999999</v>
      </c>
      <c r="E1510">
        <v>31</v>
      </c>
      <c r="F1510">
        <v>3.7975640000000005E-2</v>
      </c>
      <c r="G1510" t="str">
        <f t="shared" si="87"/>
        <v>Insert into BlueCreditTypeRainbow Values (15, 8.9, 12, 18.9, 31, 0.03797564)</v>
      </c>
      <c r="N1510" s="4">
        <v>1507</v>
      </c>
      <c r="O1510" s="8">
        <f>$B$7*COUNTIF(Sheet2!$B$1:$B$132,N1510)</f>
        <v>0</v>
      </c>
      <c r="P1510" s="8">
        <f t="shared" ca="1" si="85"/>
        <v>0</v>
      </c>
      <c r="Q1510" s="8">
        <f ca="1">CEILING(R1509*(IF(N1510&lt;=IF($B$2=0,0,OFFSET(Sheet2!$B$1,Sheet1!$B$2-1,0)),$B$1/(365*100),$B$3/(365*100)))*100,1)/100</f>
        <v>172.55</v>
      </c>
      <c r="R1510" s="9">
        <f t="shared" ca="1" si="86"/>
        <v>422854.35934533412</v>
      </c>
    </row>
    <row r="1511" spans="1:18" x14ac:dyDescent="0.25">
      <c r="A1511">
        <v>15</v>
      </c>
      <c r="B1511">
        <v>8.9</v>
      </c>
      <c r="C1511">
        <v>12</v>
      </c>
      <c r="D1511">
        <v>18.899999999999999</v>
      </c>
      <c r="E1511">
        <v>32</v>
      </c>
      <c r="F1511">
        <v>3.7037317276207599E-2</v>
      </c>
      <c r="G1511" t="str">
        <f t="shared" si="87"/>
        <v>Insert into BlueCreditTypeRainbow Values (15, 8.9, 12, 18.9, 32, 0.0370373172762076)</v>
      </c>
      <c r="N1511" s="4">
        <v>1508</v>
      </c>
      <c r="O1511" s="8">
        <f>$B$7*COUNTIF(Sheet2!$B$1:$B$132,N1511)</f>
        <v>0</v>
      </c>
      <c r="P1511" s="8">
        <f t="shared" ca="1" si="85"/>
        <v>0</v>
      </c>
      <c r="Q1511" s="8">
        <f ca="1">CEILING(R1510*(IF(N1511&lt;=IF($B$2=0,0,OFFSET(Sheet2!$B$1,Sheet1!$B$2-1,0)),$B$1/(365*100),$B$3/(365*100)))*100,1)/100</f>
        <v>172.62</v>
      </c>
      <c r="R1511" s="9">
        <f t="shared" ca="1" si="86"/>
        <v>423026.97934533411</v>
      </c>
    </row>
    <row r="1512" spans="1:18" x14ac:dyDescent="0.25">
      <c r="A1512">
        <v>15</v>
      </c>
      <c r="B1512">
        <v>8.9</v>
      </c>
      <c r="C1512">
        <v>12</v>
      </c>
      <c r="D1512">
        <v>18.899999999999999</v>
      </c>
      <c r="E1512">
        <v>33</v>
      </c>
      <c r="F1512">
        <v>3.6158125694792542E-2</v>
      </c>
      <c r="G1512" t="str">
        <f t="shared" si="87"/>
        <v>Insert into BlueCreditTypeRainbow Values (15, 8.9, 12, 18.9, 33, 0.0361581256947925)</v>
      </c>
      <c r="N1512" s="4">
        <v>1509</v>
      </c>
      <c r="O1512" s="8">
        <f>$B$7*COUNTIF(Sheet2!$B$1:$B$132,N1512)</f>
        <v>0</v>
      </c>
      <c r="P1512" s="8">
        <f t="shared" ca="1" si="85"/>
        <v>0</v>
      </c>
      <c r="Q1512" s="8">
        <f ca="1">CEILING(R1511*(IF(N1512&lt;=IF($B$2=0,0,OFFSET(Sheet2!$B$1,Sheet1!$B$2-1,0)),$B$1/(365*100),$B$3/(365*100)))*100,1)/100</f>
        <v>172.69</v>
      </c>
      <c r="R1512" s="9">
        <f t="shared" ca="1" si="86"/>
        <v>423199.66934533411</v>
      </c>
    </row>
    <row r="1513" spans="1:18" x14ac:dyDescent="0.25">
      <c r="A1513">
        <v>15</v>
      </c>
      <c r="B1513">
        <v>8.9</v>
      </c>
      <c r="C1513">
        <v>12</v>
      </c>
      <c r="D1513">
        <v>18.899999999999999</v>
      </c>
      <c r="E1513">
        <v>34</v>
      </c>
      <c r="F1513">
        <v>3.5332330024855967E-2</v>
      </c>
      <c r="G1513" t="str">
        <f t="shared" si="87"/>
        <v>Insert into BlueCreditTypeRainbow Values (15, 8.9, 12, 18.9, 34, 0.035332330024856)</v>
      </c>
      <c r="N1513" s="4">
        <v>1510</v>
      </c>
      <c r="O1513" s="8">
        <f>$B$7*COUNTIF(Sheet2!$B$1:$B$132,N1513)</f>
        <v>0</v>
      </c>
      <c r="P1513" s="8">
        <f t="shared" ca="1" si="85"/>
        <v>0</v>
      </c>
      <c r="Q1513" s="8">
        <f ca="1">CEILING(R1512*(IF(N1513&lt;=IF($B$2=0,0,OFFSET(Sheet2!$B$1,Sheet1!$B$2-1,0)),$B$1/(365*100),$B$3/(365*100)))*100,1)/100</f>
        <v>172.76</v>
      </c>
      <c r="R1513" s="9">
        <f t="shared" ca="1" si="86"/>
        <v>423372.42934533412</v>
      </c>
    </row>
    <row r="1514" spans="1:18" x14ac:dyDescent="0.25">
      <c r="A1514">
        <v>15</v>
      </c>
      <c r="B1514">
        <v>8.9</v>
      </c>
      <c r="C1514">
        <v>12</v>
      </c>
      <c r="D1514">
        <v>18.899999999999999</v>
      </c>
      <c r="E1514">
        <v>35</v>
      </c>
      <c r="F1514">
        <v>3.4555698314174245E-2</v>
      </c>
      <c r="G1514" t="str">
        <f t="shared" si="87"/>
        <v>Insert into BlueCreditTypeRainbow Values (15, 8.9, 12, 18.9, 35, 0.0345556983141742)</v>
      </c>
      <c r="N1514" s="4">
        <v>1511</v>
      </c>
      <c r="O1514" s="8">
        <f>$B$7*COUNTIF(Sheet2!$B$1:$B$132,N1514)</f>
        <v>0</v>
      </c>
      <c r="P1514" s="8">
        <f t="shared" ca="1" si="85"/>
        <v>0</v>
      </c>
      <c r="Q1514" s="8">
        <f ca="1">CEILING(R1513*(IF(N1514&lt;=IF($B$2=0,0,OFFSET(Sheet2!$B$1,Sheet1!$B$2-1,0)),$B$1/(365*100),$B$3/(365*100)))*100,1)/100</f>
        <v>172.83</v>
      </c>
      <c r="R1514" s="9">
        <f t="shared" ca="1" si="86"/>
        <v>423545.25934533414</v>
      </c>
    </row>
    <row r="1515" spans="1:18" x14ac:dyDescent="0.25">
      <c r="A1515">
        <v>15</v>
      </c>
      <c r="B1515">
        <v>8.9</v>
      </c>
      <c r="C1515">
        <v>12</v>
      </c>
      <c r="D1515">
        <v>18.899999999999999</v>
      </c>
      <c r="E1515">
        <v>36</v>
      </c>
      <c r="F1515">
        <v>3.3823684749299338E-2</v>
      </c>
      <c r="G1515" t="str">
        <f t="shared" si="87"/>
        <v>Insert into BlueCreditTypeRainbow Values (15, 8.9, 12, 18.9, 36, 0.0338236847492993)</v>
      </c>
      <c r="N1515" s="4">
        <v>1512</v>
      </c>
      <c r="O1515" s="8">
        <f>$B$7*COUNTIF(Sheet2!$B$1:$B$132,N1515)</f>
        <v>0</v>
      </c>
      <c r="P1515" s="8">
        <f t="shared" ca="1" si="85"/>
        <v>0</v>
      </c>
      <c r="Q1515" s="8">
        <f ca="1">CEILING(R1514*(IF(N1515&lt;=IF($B$2=0,0,OFFSET(Sheet2!$B$1,Sheet1!$B$2-1,0)),$B$1/(365*100),$B$3/(365*100)))*100,1)/100</f>
        <v>172.9</v>
      </c>
      <c r="R1515" s="9">
        <f t="shared" ca="1" si="86"/>
        <v>423718.15934533416</v>
      </c>
    </row>
    <row r="1516" spans="1:18" x14ac:dyDescent="0.25">
      <c r="A1516">
        <v>15</v>
      </c>
      <c r="B1516">
        <v>8.9</v>
      </c>
      <c r="C1516">
        <v>12</v>
      </c>
      <c r="D1516">
        <v>18.899999999999999</v>
      </c>
      <c r="E1516">
        <v>37</v>
      </c>
      <c r="F1516">
        <v>3.3132987811194559E-2</v>
      </c>
      <c r="G1516" t="str">
        <f t="shared" si="87"/>
        <v>Insert into BlueCreditTypeRainbow Values (15, 8.9, 12, 18.9, 37, 0.0331329878111946)</v>
      </c>
      <c r="N1516" s="4">
        <v>1513</v>
      </c>
      <c r="O1516" s="8">
        <f>$B$7*COUNTIF(Sheet2!$B$1:$B$132,N1516)</f>
        <v>0</v>
      </c>
      <c r="P1516" s="8">
        <f t="shared" ca="1" si="85"/>
        <v>0</v>
      </c>
      <c r="Q1516" s="8">
        <f ca="1">CEILING(R1515*(IF(N1516&lt;=IF($B$2=0,0,OFFSET(Sheet2!$B$1,Sheet1!$B$2-1,0)),$B$1/(365*100),$B$3/(365*100)))*100,1)/100</f>
        <v>172.97</v>
      </c>
      <c r="R1516" s="9">
        <f t="shared" ca="1" si="86"/>
        <v>423891.12934533413</v>
      </c>
    </row>
    <row r="1517" spans="1:18" x14ac:dyDescent="0.25">
      <c r="A1517">
        <v>15</v>
      </c>
      <c r="B1517">
        <v>8.9</v>
      </c>
      <c r="C1517">
        <v>12</v>
      </c>
      <c r="D1517">
        <v>18.899999999999999</v>
      </c>
      <c r="E1517">
        <v>38</v>
      </c>
      <c r="F1517">
        <v>3.2479946315789501E-2</v>
      </c>
      <c r="G1517" t="str">
        <f t="shared" si="87"/>
        <v>Insert into BlueCreditTypeRainbow Values (15, 8.9, 12, 18.9, 38, 0.0324799463157895)</v>
      </c>
      <c r="N1517" s="4">
        <v>1514</v>
      </c>
      <c r="O1517" s="8">
        <f>$B$7*COUNTIF(Sheet2!$B$1:$B$132,N1517)</f>
        <v>0</v>
      </c>
      <c r="P1517" s="8">
        <f t="shared" ca="1" si="85"/>
        <v>0</v>
      </c>
      <c r="Q1517" s="8">
        <f ca="1">CEILING(R1516*(IF(N1517&lt;=IF($B$2=0,0,OFFSET(Sheet2!$B$1,Sheet1!$B$2-1,0)),$B$1/(365*100),$B$3/(365*100)))*100,1)/100</f>
        <v>173.05</v>
      </c>
      <c r="R1517" s="9">
        <f t="shared" ca="1" si="86"/>
        <v>424064.17934533412</v>
      </c>
    </row>
    <row r="1518" spans="1:18" x14ac:dyDescent="0.25">
      <c r="A1518">
        <v>15</v>
      </c>
      <c r="B1518">
        <v>8.9</v>
      </c>
      <c r="C1518">
        <v>12</v>
      </c>
      <c r="D1518">
        <v>18.899999999999999</v>
      </c>
      <c r="E1518">
        <v>39</v>
      </c>
      <c r="F1518">
        <v>3.1861954102564087E-2</v>
      </c>
      <c r="G1518" t="str">
        <f t="shared" si="87"/>
        <v>Insert into BlueCreditTypeRainbow Values (15, 8.9, 12, 18.9, 39, 0.0318619541025641)</v>
      </c>
      <c r="N1518" s="4">
        <v>1515</v>
      </c>
      <c r="O1518" s="8">
        <f>$B$7*COUNTIF(Sheet2!$B$1:$B$132,N1518)</f>
        <v>0</v>
      </c>
      <c r="P1518" s="8">
        <f t="shared" ca="1" si="85"/>
        <v>0</v>
      </c>
      <c r="Q1518" s="8">
        <f ca="1">CEILING(R1517*(IF(N1518&lt;=IF($B$2=0,0,OFFSET(Sheet2!$B$1,Sheet1!$B$2-1,0)),$B$1/(365*100),$B$3/(365*100)))*100,1)/100</f>
        <v>173.12</v>
      </c>
      <c r="R1518" s="9">
        <f t="shared" ca="1" si="86"/>
        <v>424237.29934533412</v>
      </c>
    </row>
    <row r="1519" spans="1:18" x14ac:dyDescent="0.25">
      <c r="A1519">
        <v>15</v>
      </c>
      <c r="B1519">
        <v>8.9</v>
      </c>
      <c r="C1519">
        <v>12</v>
      </c>
      <c r="D1519">
        <v>18.899999999999999</v>
      </c>
      <c r="E1519">
        <v>40</v>
      </c>
      <c r="F1519">
        <v>3.1276341521684216E-2</v>
      </c>
      <c r="G1519" t="str">
        <f t="shared" si="87"/>
        <v>Insert into BlueCreditTypeRainbow Values (15, 8.9, 12, 18.9, 40, 0.0312763415216842)</v>
      </c>
      <c r="N1519" s="4">
        <v>1516</v>
      </c>
      <c r="O1519" s="8">
        <f>$B$7*COUNTIF(Sheet2!$B$1:$B$132,N1519)</f>
        <v>0</v>
      </c>
      <c r="P1519" s="8">
        <f t="shared" ca="1" si="85"/>
        <v>0</v>
      </c>
      <c r="Q1519" s="8">
        <f ca="1">CEILING(R1518*(IF(N1519&lt;=IF($B$2=0,0,OFFSET(Sheet2!$B$1,Sheet1!$B$2-1,0)),$B$1/(365*100),$B$3/(365*100)))*100,1)/100</f>
        <v>173.19</v>
      </c>
      <c r="R1519" s="9">
        <f t="shared" ca="1" si="86"/>
        <v>424410.48934533412</v>
      </c>
    </row>
    <row r="1520" spans="1:18" x14ac:dyDescent="0.25">
      <c r="A1520">
        <v>15</v>
      </c>
      <c r="B1520">
        <v>8.9</v>
      </c>
      <c r="C1520">
        <v>12</v>
      </c>
      <c r="D1520">
        <v>18.899999999999999</v>
      </c>
      <c r="E1520">
        <v>41</v>
      </c>
      <c r="F1520">
        <v>3.0720402409181911E-2</v>
      </c>
      <c r="G1520" t="str">
        <f t="shared" si="87"/>
        <v>Insert into BlueCreditTypeRainbow Values (15, 8.9, 12, 18.9, 41, 0.0307204024091819)</v>
      </c>
      <c r="N1520" s="4">
        <v>1517</v>
      </c>
      <c r="O1520" s="8">
        <f>$B$7*COUNTIF(Sheet2!$B$1:$B$132,N1520)</f>
        <v>0</v>
      </c>
      <c r="P1520" s="8">
        <f t="shared" ca="1" si="85"/>
        <v>0</v>
      </c>
      <c r="Q1520" s="8">
        <f ca="1">CEILING(R1519*(IF(N1520&lt;=IF($B$2=0,0,OFFSET(Sheet2!$B$1,Sheet1!$B$2-1,0)),$B$1/(365*100),$B$3/(365*100)))*100,1)/100</f>
        <v>173.26</v>
      </c>
      <c r="R1520" s="9">
        <f t="shared" ca="1" si="86"/>
        <v>424583.74934533413</v>
      </c>
    </row>
    <row r="1521" spans="1:18" x14ac:dyDescent="0.25">
      <c r="A1521">
        <v>15</v>
      </c>
      <c r="B1521">
        <v>8.9</v>
      </c>
      <c r="C1521">
        <v>12</v>
      </c>
      <c r="D1521">
        <v>18.899999999999999</v>
      </c>
      <c r="E1521">
        <v>42</v>
      </c>
      <c r="F1521">
        <v>3.0192285734266498E-2</v>
      </c>
      <c r="G1521" t="str">
        <f t="shared" si="87"/>
        <v>Insert into BlueCreditTypeRainbow Values (15, 8.9, 12, 18.9, 42, 0.0301922857342665)</v>
      </c>
      <c r="N1521" s="4">
        <v>1518</v>
      </c>
      <c r="O1521" s="8">
        <f>$B$7*COUNTIF(Sheet2!$B$1:$B$132,N1521)</f>
        <v>0</v>
      </c>
      <c r="P1521" s="8">
        <f t="shared" ca="1" si="85"/>
        <v>0</v>
      </c>
      <c r="Q1521" s="8">
        <f ca="1">CEILING(R1520*(IF(N1521&lt;=IF($B$2=0,0,OFFSET(Sheet2!$B$1,Sheet1!$B$2-1,0)),$B$1/(365*100),$B$3/(365*100)))*100,1)/100</f>
        <v>173.33</v>
      </c>
      <c r="R1521" s="9">
        <f t="shared" ca="1" si="86"/>
        <v>424757.07934533415</v>
      </c>
    </row>
    <row r="1522" spans="1:18" x14ac:dyDescent="0.25">
      <c r="A1522">
        <v>15</v>
      </c>
      <c r="B1522">
        <v>8.9</v>
      </c>
      <c r="C1522">
        <v>11</v>
      </c>
      <c r="D1522">
        <v>18.899999999999999</v>
      </c>
      <c r="E1522">
        <v>30</v>
      </c>
      <c r="F1522">
        <v>3.9167617333333363E-2</v>
      </c>
      <c r="G1522" t="str">
        <f t="shared" si="87"/>
        <v>Insert into BlueCreditTypeRainbow Values (15, 8.9, 11, 18.9, 30, 0.0391676173333334)</v>
      </c>
      <c r="N1522" s="4">
        <v>1519</v>
      </c>
      <c r="O1522" s="8">
        <f>$B$7*COUNTIF(Sheet2!$B$1:$B$132,N1522)</f>
        <v>0</v>
      </c>
      <c r="P1522" s="8">
        <f t="shared" ca="1" si="85"/>
        <v>0</v>
      </c>
      <c r="Q1522" s="8">
        <f ca="1">CEILING(R1521*(IF(N1522&lt;=IF($B$2=0,0,OFFSET(Sheet2!$B$1,Sheet1!$B$2-1,0)),$B$1/(365*100),$B$3/(365*100)))*100,1)/100</f>
        <v>173.4</v>
      </c>
      <c r="R1522" s="9">
        <f t="shared" ca="1" si="86"/>
        <v>424930.47934533417</v>
      </c>
    </row>
    <row r="1523" spans="1:18" x14ac:dyDescent="0.25">
      <c r="A1523">
        <v>15</v>
      </c>
      <c r="B1523">
        <v>8.9</v>
      </c>
      <c r="C1523">
        <v>11</v>
      </c>
      <c r="D1523">
        <v>18.899999999999999</v>
      </c>
      <c r="E1523">
        <v>31</v>
      </c>
      <c r="F1523">
        <v>3.8163105830861389E-2</v>
      </c>
      <c r="G1523" t="str">
        <f t="shared" si="87"/>
        <v>Insert into BlueCreditTypeRainbow Values (15, 8.9, 11, 18.9, 31, 0.0381631058308614)</v>
      </c>
      <c r="N1523" s="4">
        <v>1520</v>
      </c>
      <c r="O1523" s="8">
        <f>$B$7*COUNTIF(Sheet2!$B$1:$B$132,N1523)</f>
        <v>0</v>
      </c>
      <c r="P1523" s="8">
        <f t="shared" ca="1" si="85"/>
        <v>0</v>
      </c>
      <c r="Q1523" s="8">
        <f ca="1">CEILING(R1522*(IF(N1523&lt;=IF($B$2=0,0,OFFSET(Sheet2!$B$1,Sheet1!$B$2-1,0)),$B$1/(365*100),$B$3/(365*100)))*100,1)/100</f>
        <v>173.47</v>
      </c>
      <c r="R1523" s="9">
        <f t="shared" ca="1" si="86"/>
        <v>425103.94934533414</v>
      </c>
    </row>
    <row r="1524" spans="1:18" x14ac:dyDescent="0.25">
      <c r="A1524">
        <v>15</v>
      </c>
      <c r="B1524">
        <v>8.9</v>
      </c>
      <c r="C1524">
        <v>11</v>
      </c>
      <c r="D1524">
        <v>18.899999999999999</v>
      </c>
      <c r="E1524">
        <v>32</v>
      </c>
      <c r="F1524">
        <v>3.7223176578265314E-2</v>
      </c>
      <c r="G1524" t="str">
        <f t="shared" si="87"/>
        <v>Insert into BlueCreditTypeRainbow Values (15, 8.9, 11, 18.9, 32, 0.0372231765782653)</v>
      </c>
      <c r="N1524" s="4">
        <v>1521</v>
      </c>
      <c r="O1524" s="8">
        <f>$B$7*COUNTIF(Sheet2!$B$1:$B$132,N1524)</f>
        <v>0</v>
      </c>
      <c r="P1524" s="8">
        <f t="shared" ca="1" si="85"/>
        <v>0</v>
      </c>
      <c r="Q1524" s="8">
        <f ca="1">CEILING(R1523*(IF(N1524&lt;=IF($B$2=0,0,OFFSET(Sheet2!$B$1,Sheet1!$B$2-1,0)),$B$1/(365*100),$B$3/(365*100)))*100,1)/100</f>
        <v>173.54</v>
      </c>
      <c r="R1524" s="9">
        <f t="shared" ca="1" si="86"/>
        <v>425277.48934533412</v>
      </c>
    </row>
    <row r="1525" spans="1:18" x14ac:dyDescent="0.25">
      <c r="A1525">
        <v>15</v>
      </c>
      <c r="B1525">
        <v>8.9</v>
      </c>
      <c r="C1525">
        <v>11</v>
      </c>
      <c r="D1525">
        <v>18.899999999999999</v>
      </c>
      <c r="E1525">
        <v>33</v>
      </c>
      <c r="F1525">
        <v>3.6342340325825638E-2</v>
      </c>
      <c r="G1525" t="str">
        <f t="shared" si="87"/>
        <v>Insert into BlueCreditTypeRainbow Values (15, 8.9, 11, 18.9, 33, 0.0363423403258256)</v>
      </c>
      <c r="N1525" s="4">
        <v>1522</v>
      </c>
      <c r="O1525" s="8">
        <f>$B$7*COUNTIF(Sheet2!$B$1:$B$132,N1525)</f>
        <v>0</v>
      </c>
      <c r="P1525" s="8">
        <f t="shared" ca="1" si="85"/>
        <v>0</v>
      </c>
      <c r="Q1525" s="8">
        <f ca="1">CEILING(R1524*(IF(N1525&lt;=IF($B$2=0,0,OFFSET(Sheet2!$B$1,Sheet1!$B$2-1,0)),$B$1/(365*100),$B$3/(365*100)))*100,1)/100</f>
        <v>173.61</v>
      </c>
      <c r="R1525" s="9">
        <f t="shared" ca="1" si="86"/>
        <v>425451.09934533411</v>
      </c>
    </row>
    <row r="1526" spans="1:18" x14ac:dyDescent="0.25">
      <c r="A1526">
        <v>15</v>
      </c>
      <c r="B1526">
        <v>8.9</v>
      </c>
      <c r="C1526">
        <v>11</v>
      </c>
      <c r="D1526">
        <v>18.899999999999999</v>
      </c>
      <c r="E1526">
        <v>34</v>
      </c>
      <c r="F1526">
        <v>3.5514877969694256E-2</v>
      </c>
      <c r="G1526" t="str">
        <f t="shared" si="87"/>
        <v>Insert into BlueCreditTypeRainbow Values (15, 8.9, 11, 18.9, 34, 0.0355148779696943)</v>
      </c>
      <c r="N1526" s="4">
        <v>1523</v>
      </c>
      <c r="O1526" s="8">
        <f>$B$7*COUNTIF(Sheet2!$B$1:$B$132,N1526)</f>
        <v>0</v>
      </c>
      <c r="P1526" s="8">
        <f t="shared" ca="1" si="85"/>
        <v>0</v>
      </c>
      <c r="Q1526" s="8">
        <f ca="1">CEILING(R1525*(IF(N1526&lt;=IF($B$2=0,0,OFFSET(Sheet2!$B$1,Sheet1!$B$2-1,0)),$B$1/(365*100),$B$3/(365*100)))*100,1)/100</f>
        <v>173.68</v>
      </c>
      <c r="R1526" s="9">
        <f t="shared" ca="1" si="86"/>
        <v>425624.7793453341</v>
      </c>
    </row>
    <row r="1527" spans="1:18" x14ac:dyDescent="0.25">
      <c r="A1527">
        <v>15</v>
      </c>
      <c r="B1527">
        <v>8.9</v>
      </c>
      <c r="C1527">
        <v>11</v>
      </c>
      <c r="D1527">
        <v>18.899999999999999</v>
      </c>
      <c r="E1527">
        <v>35</v>
      </c>
      <c r="F1527">
        <v>3.4736566313628821E-2</v>
      </c>
      <c r="G1527" t="str">
        <f t="shared" si="87"/>
        <v>Insert into BlueCreditTypeRainbow Values (15, 8.9, 11, 18.9, 35, 0.0347365663136288)</v>
      </c>
      <c r="N1527" s="4">
        <v>1524</v>
      </c>
      <c r="O1527" s="8">
        <f>$B$7*COUNTIF(Sheet2!$B$1:$B$132,N1527)</f>
        <v>0</v>
      </c>
      <c r="P1527" s="8">
        <f t="shared" ca="1" si="85"/>
        <v>0</v>
      </c>
      <c r="Q1527" s="8">
        <f ca="1">CEILING(R1526*(IF(N1527&lt;=IF($B$2=0,0,OFFSET(Sheet2!$B$1,Sheet1!$B$2-1,0)),$B$1/(365*100),$B$3/(365*100)))*100,1)/100</f>
        <v>173.75</v>
      </c>
      <c r="R1527" s="9">
        <f t="shared" ca="1" si="86"/>
        <v>425798.5293453341</v>
      </c>
    </row>
    <row r="1528" spans="1:18" x14ac:dyDescent="0.25">
      <c r="A1528">
        <v>15</v>
      </c>
      <c r="B1528">
        <v>8.9</v>
      </c>
      <c r="C1528">
        <v>11</v>
      </c>
      <c r="D1528">
        <v>18.899999999999999</v>
      </c>
      <c r="E1528">
        <v>36</v>
      </c>
      <c r="F1528">
        <v>3.4002885555555563E-2</v>
      </c>
      <c r="G1528" t="str">
        <f t="shared" si="87"/>
        <v>Insert into BlueCreditTypeRainbow Values (15, 8.9, 11, 18.9, 36, 0.0340028855555556)</v>
      </c>
      <c r="N1528" s="4">
        <v>1525</v>
      </c>
      <c r="O1528" s="8">
        <f>$B$7*COUNTIF(Sheet2!$B$1:$B$132,N1528)</f>
        <v>21157.10552356458</v>
      </c>
      <c r="P1528" s="8">
        <f t="shared" ca="1" si="85"/>
        <v>20983.28552356458</v>
      </c>
      <c r="Q1528" s="8">
        <f ca="1">CEILING(R1527*(IF(N1528&lt;=IF($B$2=0,0,OFFSET(Sheet2!$B$1,Sheet1!$B$2-1,0)),$B$1/(365*100),$B$3/(365*100)))*100,1)/100</f>
        <v>173.82</v>
      </c>
      <c r="R1528" s="9">
        <f t="shared" ca="1" si="86"/>
        <v>404815.24382176955</v>
      </c>
    </row>
    <row r="1529" spans="1:18" x14ac:dyDescent="0.25">
      <c r="A1529">
        <v>15</v>
      </c>
      <c r="B1529">
        <v>8.9</v>
      </c>
      <c r="C1529">
        <v>11</v>
      </c>
      <c r="D1529">
        <v>18.899999999999999</v>
      </c>
      <c r="E1529">
        <v>37</v>
      </c>
      <c r="F1529">
        <v>3.3310510540540517E-2</v>
      </c>
      <c r="G1529" t="str">
        <f t="shared" si="87"/>
        <v>Insert into BlueCreditTypeRainbow Values (15, 8.9, 11, 18.9, 37, 0.0333105105405405)</v>
      </c>
      <c r="N1529" s="4">
        <v>1526</v>
      </c>
      <c r="O1529" s="8">
        <f>$B$7*COUNTIF(Sheet2!$B$1:$B$132,N1529)</f>
        <v>0</v>
      </c>
      <c r="P1529" s="8">
        <f t="shared" ca="1" si="85"/>
        <v>0</v>
      </c>
      <c r="Q1529" s="8">
        <f ca="1">CEILING(R1528*(IF(N1529&lt;=IF($B$2=0,0,OFFSET(Sheet2!$B$1,Sheet1!$B$2-1,0)),$B$1/(365*100),$B$3/(365*100)))*100,1)/100</f>
        <v>165.26</v>
      </c>
      <c r="R1529" s="9">
        <f t="shared" ca="1" si="86"/>
        <v>404980.50382176955</v>
      </c>
    </row>
    <row r="1530" spans="1:18" x14ac:dyDescent="0.25">
      <c r="A1530">
        <v>15</v>
      </c>
      <c r="B1530">
        <v>8.9</v>
      </c>
      <c r="C1530">
        <v>11</v>
      </c>
      <c r="D1530">
        <v>18.899999999999999</v>
      </c>
      <c r="E1530">
        <v>38</v>
      </c>
      <c r="F1530">
        <v>3.2655819210526314E-2</v>
      </c>
      <c r="G1530" t="str">
        <f t="shared" si="87"/>
        <v>Insert into BlueCreditTypeRainbow Values (15, 8.9, 11, 18.9, 38, 0.0326558192105263)</v>
      </c>
      <c r="N1530" s="4">
        <v>1527</v>
      </c>
      <c r="O1530" s="8">
        <f>$B$7*COUNTIF(Sheet2!$B$1:$B$132,N1530)</f>
        <v>0</v>
      </c>
      <c r="P1530" s="8">
        <f t="shared" ca="1" si="85"/>
        <v>0</v>
      </c>
      <c r="Q1530" s="8">
        <f ca="1">CEILING(R1529*(IF(N1530&lt;=IF($B$2=0,0,OFFSET(Sheet2!$B$1,Sheet1!$B$2-1,0)),$B$1/(365*100),$B$3/(365*100)))*100,1)/100</f>
        <v>165.33</v>
      </c>
      <c r="R1530" s="9">
        <f t="shared" ca="1" si="86"/>
        <v>405145.83382176957</v>
      </c>
    </row>
    <row r="1531" spans="1:18" x14ac:dyDescent="0.25">
      <c r="A1531">
        <v>15</v>
      </c>
      <c r="B1531">
        <v>8.9</v>
      </c>
      <c r="C1531">
        <v>11</v>
      </c>
      <c r="D1531">
        <v>18.899999999999999</v>
      </c>
      <c r="E1531">
        <v>39</v>
      </c>
      <c r="F1531">
        <v>3.2036194383738871E-2</v>
      </c>
      <c r="G1531" t="str">
        <f t="shared" si="87"/>
        <v>Insert into BlueCreditTypeRainbow Values (15, 8.9, 11, 18.9, 39, 0.0320361943837389)</v>
      </c>
      <c r="N1531" s="4">
        <v>1528</v>
      </c>
      <c r="O1531" s="8">
        <f>$B$7*COUNTIF(Sheet2!$B$1:$B$132,N1531)</f>
        <v>0</v>
      </c>
      <c r="P1531" s="8">
        <f t="shared" ca="1" si="85"/>
        <v>0</v>
      </c>
      <c r="Q1531" s="8">
        <f ca="1">CEILING(R1530*(IF(N1531&lt;=IF($B$2=0,0,OFFSET(Sheet2!$B$1,Sheet1!$B$2-1,0)),$B$1/(365*100),$B$3/(365*100)))*100,1)/100</f>
        <v>165.39</v>
      </c>
      <c r="R1531" s="9">
        <f t="shared" ca="1" si="86"/>
        <v>405311.22382176958</v>
      </c>
    </row>
    <row r="1532" spans="1:18" x14ac:dyDescent="0.25">
      <c r="A1532">
        <v>15</v>
      </c>
      <c r="B1532">
        <v>8.9</v>
      </c>
      <c r="C1532">
        <v>11</v>
      </c>
      <c r="D1532">
        <v>18.899999999999999</v>
      </c>
      <c r="E1532">
        <v>40</v>
      </c>
      <c r="F1532">
        <v>3.1448975187074797E-2</v>
      </c>
      <c r="G1532" t="str">
        <f t="shared" si="87"/>
        <v>Insert into BlueCreditTypeRainbow Values (15, 8.9, 11, 18.9, 40, 0.0314489751870748)</v>
      </c>
      <c r="N1532" s="4">
        <v>1529</v>
      </c>
      <c r="O1532" s="8">
        <f>$B$7*COUNTIF(Sheet2!$B$1:$B$132,N1532)</f>
        <v>0</v>
      </c>
      <c r="P1532" s="8">
        <f t="shared" ca="1" si="85"/>
        <v>0</v>
      </c>
      <c r="Q1532" s="8">
        <f ca="1">CEILING(R1531*(IF(N1532&lt;=IF($B$2=0,0,OFFSET(Sheet2!$B$1,Sheet1!$B$2-1,0)),$B$1/(365*100),$B$3/(365*100)))*100,1)/100</f>
        <v>165.46</v>
      </c>
      <c r="R1532" s="9">
        <f t="shared" ca="1" si="86"/>
        <v>405476.68382176961</v>
      </c>
    </row>
    <row r="1533" spans="1:18" x14ac:dyDescent="0.25">
      <c r="A1533">
        <v>15</v>
      </c>
      <c r="B1533">
        <v>8.9</v>
      </c>
      <c r="C1533">
        <v>11</v>
      </c>
      <c r="D1533">
        <v>18.899999999999999</v>
      </c>
      <c r="E1533">
        <v>41</v>
      </c>
      <c r="F1533">
        <v>3.089146147994852E-2</v>
      </c>
      <c r="G1533" t="str">
        <f t="shared" si="87"/>
        <v>Insert into BlueCreditTypeRainbow Values (15, 8.9, 11, 18.9, 41, 0.0308914614799485)</v>
      </c>
      <c r="N1533" s="4">
        <v>1530</v>
      </c>
      <c r="O1533" s="8">
        <f>$B$7*COUNTIF(Sheet2!$B$1:$B$132,N1533)</f>
        <v>0</v>
      </c>
      <c r="P1533" s="8">
        <f t="shared" ca="1" si="85"/>
        <v>0</v>
      </c>
      <c r="Q1533" s="8">
        <f ca="1">CEILING(R1532*(IF(N1533&lt;=IF($B$2=0,0,OFFSET(Sheet2!$B$1,Sheet1!$B$2-1,0)),$B$1/(365*100),$B$3/(365*100)))*100,1)/100</f>
        <v>165.53</v>
      </c>
      <c r="R1533" s="9">
        <f t="shared" ca="1" si="86"/>
        <v>405642.21382176963</v>
      </c>
    </row>
    <row r="1534" spans="1:18" x14ac:dyDescent="0.25">
      <c r="A1534">
        <v>15</v>
      </c>
      <c r="B1534">
        <v>8.9</v>
      </c>
      <c r="C1534">
        <v>11</v>
      </c>
      <c r="D1534">
        <v>18.899999999999999</v>
      </c>
      <c r="E1534">
        <v>42</v>
      </c>
      <c r="F1534">
        <v>3.0361784064134562E-2</v>
      </c>
      <c r="G1534" t="str">
        <f t="shared" si="87"/>
        <v>Insert into BlueCreditTypeRainbow Values (15, 8.9, 11, 18.9, 42, 0.0303617840641346)</v>
      </c>
      <c r="N1534" s="4">
        <v>1531</v>
      </c>
      <c r="O1534" s="8">
        <f>$B$7*COUNTIF(Sheet2!$B$1:$B$132,N1534)</f>
        <v>0</v>
      </c>
      <c r="P1534" s="8">
        <f t="shared" ca="1" si="85"/>
        <v>0</v>
      </c>
      <c r="Q1534" s="8">
        <f ca="1">CEILING(R1533*(IF(N1534&lt;=IF($B$2=0,0,OFFSET(Sheet2!$B$1,Sheet1!$B$2-1,0)),$B$1/(365*100),$B$3/(365*100)))*100,1)/100</f>
        <v>165.6</v>
      </c>
      <c r="R1534" s="9">
        <f t="shared" ca="1" si="86"/>
        <v>405807.81382176961</v>
      </c>
    </row>
    <row r="1535" spans="1:18" x14ac:dyDescent="0.25">
      <c r="A1535">
        <v>15</v>
      </c>
      <c r="B1535">
        <v>8.9</v>
      </c>
      <c r="C1535">
        <v>10</v>
      </c>
      <c r="D1535">
        <v>18.899999999999999</v>
      </c>
      <c r="E1535">
        <v>30</v>
      </c>
      <c r="F1535">
        <v>3.9375302361222712E-2</v>
      </c>
      <c r="G1535" t="str">
        <f t="shared" si="87"/>
        <v>Insert into BlueCreditTypeRainbow Values (15, 8.9, 10, 18.9, 30, 0.0393753023612227)</v>
      </c>
      <c r="N1535" s="4">
        <v>1532</v>
      </c>
      <c r="O1535" s="8">
        <f>$B$7*COUNTIF(Sheet2!$B$1:$B$132,N1535)</f>
        <v>0</v>
      </c>
      <c r="P1535" s="8">
        <f t="shared" ca="1" si="85"/>
        <v>0</v>
      </c>
      <c r="Q1535" s="8">
        <f ca="1">CEILING(R1534*(IF(N1535&lt;=IF($B$2=0,0,OFFSET(Sheet2!$B$1,Sheet1!$B$2-1,0)),$B$1/(365*100),$B$3/(365*100)))*100,1)/100</f>
        <v>165.66</v>
      </c>
      <c r="R1535" s="9">
        <f t="shared" ca="1" si="86"/>
        <v>405973.47382176958</v>
      </c>
    </row>
    <row r="1536" spans="1:18" x14ac:dyDescent="0.25">
      <c r="A1536">
        <v>15</v>
      </c>
      <c r="B1536">
        <v>8.9</v>
      </c>
      <c r="C1536">
        <v>10</v>
      </c>
      <c r="D1536">
        <v>18.899999999999999</v>
      </c>
      <c r="E1536">
        <v>31</v>
      </c>
      <c r="F1536">
        <v>3.8368617096774173E-2</v>
      </c>
      <c r="G1536" t="str">
        <f t="shared" si="87"/>
        <v>Insert into BlueCreditTypeRainbow Values (15, 8.9, 10, 18.9, 31, 0.0383686170967742)</v>
      </c>
      <c r="N1536" s="4">
        <v>1533</v>
      </c>
      <c r="O1536" s="8">
        <f>$B$7*COUNTIF(Sheet2!$B$1:$B$132,N1536)</f>
        <v>0</v>
      </c>
      <c r="P1536" s="8">
        <f t="shared" ca="1" si="85"/>
        <v>0</v>
      </c>
      <c r="Q1536" s="8">
        <f ca="1">CEILING(R1535*(IF(N1536&lt;=IF($B$2=0,0,OFFSET(Sheet2!$B$1,Sheet1!$B$2-1,0)),$B$1/(365*100),$B$3/(365*100)))*100,1)/100</f>
        <v>165.73</v>
      </c>
      <c r="R1536" s="9">
        <f t="shared" ca="1" si="86"/>
        <v>406139.20382176957</v>
      </c>
    </row>
    <row r="1537" spans="1:18" x14ac:dyDescent="0.25">
      <c r="A1537">
        <v>15</v>
      </c>
      <c r="B1537">
        <v>8.9</v>
      </c>
      <c r="C1537">
        <v>10</v>
      </c>
      <c r="D1537">
        <v>18.899999999999999</v>
      </c>
      <c r="E1537">
        <v>32</v>
      </c>
      <c r="F1537">
        <v>3.7426492500000019E-2</v>
      </c>
      <c r="G1537" t="str">
        <f t="shared" si="87"/>
        <v>Insert into BlueCreditTypeRainbow Values (15, 8.9, 10, 18.9, 32, 0.0374264925)</v>
      </c>
      <c r="N1537" s="4">
        <v>1534</v>
      </c>
      <c r="O1537" s="8">
        <f>$B$7*COUNTIF(Sheet2!$B$1:$B$132,N1537)</f>
        <v>0</v>
      </c>
      <c r="P1537" s="8">
        <f t="shared" ca="1" si="85"/>
        <v>0</v>
      </c>
      <c r="Q1537" s="8">
        <f ca="1">CEILING(R1536*(IF(N1537&lt;=IF($B$2=0,0,OFFSET(Sheet2!$B$1,Sheet1!$B$2-1,0)),$B$1/(365*100),$B$3/(365*100)))*100,1)/100</f>
        <v>165.8</v>
      </c>
      <c r="R1537" s="9">
        <f t="shared" ca="1" si="86"/>
        <v>406305.00382176955</v>
      </c>
    </row>
    <row r="1538" spans="1:18" x14ac:dyDescent="0.25">
      <c r="A1538">
        <v>15</v>
      </c>
      <c r="B1538">
        <v>8.9</v>
      </c>
      <c r="C1538">
        <v>10</v>
      </c>
      <c r="D1538">
        <v>18.899999999999999</v>
      </c>
      <c r="E1538">
        <v>33</v>
      </c>
      <c r="F1538">
        <v>3.6543472452216515E-2</v>
      </c>
      <c r="G1538" t="str">
        <f t="shared" si="87"/>
        <v>Insert into BlueCreditTypeRainbow Values (15, 8.9, 10, 18.9, 33, 0.0365434724522165)</v>
      </c>
      <c r="N1538" s="4">
        <v>1535</v>
      </c>
      <c r="O1538" s="8">
        <f>$B$7*COUNTIF(Sheet2!$B$1:$B$132,N1538)</f>
        <v>0</v>
      </c>
      <c r="P1538" s="8">
        <f t="shared" ca="1" si="85"/>
        <v>0</v>
      </c>
      <c r="Q1538" s="8">
        <f ca="1">CEILING(R1537*(IF(N1538&lt;=IF($B$2=0,0,OFFSET(Sheet2!$B$1,Sheet1!$B$2-1,0)),$B$1/(365*100),$B$3/(365*100)))*100,1)/100</f>
        <v>165.87</v>
      </c>
      <c r="R1538" s="9">
        <f t="shared" ca="1" si="86"/>
        <v>406470.87382176955</v>
      </c>
    </row>
    <row r="1539" spans="1:18" x14ac:dyDescent="0.25">
      <c r="A1539">
        <v>15</v>
      </c>
      <c r="B1539">
        <v>8.9</v>
      </c>
      <c r="C1539">
        <v>10</v>
      </c>
      <c r="D1539">
        <v>18.899999999999999</v>
      </c>
      <c r="E1539">
        <v>34</v>
      </c>
      <c r="F1539">
        <v>3.5713844436483906E-2</v>
      </c>
      <c r="G1539" t="str">
        <f t="shared" si="87"/>
        <v>Insert into BlueCreditTypeRainbow Values (15, 8.9, 10, 18.9, 34, 0.0357138444364839)</v>
      </c>
      <c r="N1539" s="4">
        <v>1536</v>
      </c>
      <c r="O1539" s="8">
        <f>$B$7*COUNTIF(Sheet2!$B$1:$B$132,N1539)</f>
        <v>0</v>
      </c>
      <c r="P1539" s="8">
        <f t="shared" ca="1" si="85"/>
        <v>0</v>
      </c>
      <c r="Q1539" s="8">
        <f ca="1">CEILING(R1538*(IF(N1539&lt;=IF($B$2=0,0,OFFSET(Sheet2!$B$1,Sheet1!$B$2-1,0)),$B$1/(365*100),$B$3/(365*100)))*100,1)/100</f>
        <v>165.93</v>
      </c>
      <c r="R1539" s="9">
        <f t="shared" ca="1" si="86"/>
        <v>406636.80382176954</v>
      </c>
    </row>
    <row r="1540" spans="1:18" x14ac:dyDescent="0.25">
      <c r="A1540">
        <v>15</v>
      </c>
      <c r="B1540">
        <v>8.9</v>
      </c>
      <c r="C1540">
        <v>10</v>
      </c>
      <c r="D1540">
        <v>18.899999999999999</v>
      </c>
      <c r="E1540">
        <v>35</v>
      </c>
      <c r="F1540">
        <v>3.4933395169039622E-2</v>
      </c>
      <c r="G1540" t="str">
        <f t="shared" si="87"/>
        <v>Insert into BlueCreditTypeRainbow Values (15, 8.9, 10, 18.9, 35, 0.0349333951690396)</v>
      </c>
      <c r="N1540" s="4">
        <v>1537</v>
      </c>
      <c r="O1540" s="8">
        <f>$B$7*COUNTIF(Sheet2!$B$1:$B$132,N1540)</f>
        <v>0</v>
      </c>
      <c r="P1540" s="8">
        <f t="shared" ca="1" si="85"/>
        <v>0</v>
      </c>
      <c r="Q1540" s="8">
        <f ca="1">CEILING(R1539*(IF(N1540&lt;=IF($B$2=0,0,OFFSET(Sheet2!$B$1,Sheet1!$B$2-1,0)),$B$1/(365*100),$B$3/(365*100)))*100,1)/100</f>
        <v>166</v>
      </c>
      <c r="R1540" s="9">
        <f t="shared" ca="1" si="86"/>
        <v>406802.80382176954</v>
      </c>
    </row>
    <row r="1541" spans="1:18" x14ac:dyDescent="0.25">
      <c r="A1541">
        <v>15</v>
      </c>
      <c r="B1541">
        <v>8.9</v>
      </c>
      <c r="C1541">
        <v>10</v>
      </c>
      <c r="D1541">
        <v>18.899999999999999</v>
      </c>
      <c r="E1541">
        <v>36</v>
      </c>
      <c r="F1541">
        <v>3.4197593611111125E-2</v>
      </c>
      <c r="G1541" t="str">
        <f t="shared" si="87"/>
        <v>Insert into BlueCreditTypeRainbow Values (15, 8.9, 10, 18.9, 36, 0.0341975936111111)</v>
      </c>
      <c r="N1541" s="4">
        <v>1538</v>
      </c>
      <c r="O1541" s="8">
        <f>$B$7*COUNTIF(Sheet2!$B$1:$B$132,N1541)</f>
        <v>0</v>
      </c>
      <c r="P1541" s="8">
        <f t="shared" ref="P1541:P1604" ca="1" si="88">IF(O1541-Q1541&gt; 0, O1541-Q1541, 0)</f>
        <v>0</v>
      </c>
      <c r="Q1541" s="8">
        <f ca="1">CEILING(R1540*(IF(N1541&lt;=IF($B$2=0,0,OFFSET(Sheet2!$B$1,Sheet1!$B$2-1,0)),$B$1/(365*100),$B$3/(365*100)))*100,1)/100</f>
        <v>166.07</v>
      </c>
      <c r="R1541" s="9">
        <f t="shared" ref="R1541:R1604" ca="1" si="89">R1540+Q1541-O1541</f>
        <v>406968.87382176955</v>
      </c>
    </row>
    <row r="1542" spans="1:18" x14ac:dyDescent="0.25">
      <c r="A1542">
        <v>15</v>
      </c>
      <c r="B1542">
        <v>8.9</v>
      </c>
      <c r="C1542">
        <v>10</v>
      </c>
      <c r="D1542">
        <v>18.899999999999999</v>
      </c>
      <c r="E1542">
        <v>37</v>
      </c>
      <c r="F1542">
        <v>3.3503161374281547E-2</v>
      </c>
      <c r="G1542" t="str">
        <f t="shared" si="87"/>
        <v>Insert into BlueCreditTypeRainbow Values (15, 8.9, 10, 18.9, 37, 0.0335031613742815)</v>
      </c>
      <c r="N1542" s="4">
        <v>1539</v>
      </c>
      <c r="O1542" s="8">
        <f>$B$7*COUNTIF(Sheet2!$B$1:$B$132,N1542)</f>
        <v>0</v>
      </c>
      <c r="P1542" s="8">
        <f t="shared" ca="1" si="88"/>
        <v>0</v>
      </c>
      <c r="Q1542" s="8">
        <f ca="1">CEILING(R1541*(IF(N1542&lt;=IF($B$2=0,0,OFFSET(Sheet2!$B$1,Sheet1!$B$2-1,0)),$B$1/(365*100),$B$3/(365*100)))*100,1)/100</f>
        <v>166.14</v>
      </c>
      <c r="R1542" s="9">
        <f t="shared" ca="1" si="89"/>
        <v>407135.01382176956</v>
      </c>
    </row>
    <row r="1543" spans="1:18" x14ac:dyDescent="0.25">
      <c r="A1543">
        <v>15</v>
      </c>
      <c r="B1543">
        <v>8.9</v>
      </c>
      <c r="C1543">
        <v>10</v>
      </c>
      <c r="D1543">
        <v>18.899999999999999</v>
      </c>
      <c r="E1543">
        <v>38</v>
      </c>
      <c r="F1543">
        <v>3.2846431264044421E-2</v>
      </c>
      <c r="G1543" t="str">
        <f t="shared" si="87"/>
        <v>Insert into BlueCreditTypeRainbow Values (15, 8.9, 10, 18.9, 38, 0.0328464312640444)</v>
      </c>
      <c r="N1543" s="4">
        <v>1540</v>
      </c>
      <c r="O1543" s="8">
        <f>$B$7*COUNTIF(Sheet2!$B$1:$B$132,N1543)</f>
        <v>0</v>
      </c>
      <c r="P1543" s="8">
        <f t="shared" ca="1" si="88"/>
        <v>0</v>
      </c>
      <c r="Q1543" s="8">
        <f ca="1">CEILING(R1542*(IF(N1543&lt;=IF($B$2=0,0,OFFSET(Sheet2!$B$1,Sheet1!$B$2-1,0)),$B$1/(365*100),$B$3/(365*100)))*100,1)/100</f>
        <v>166.21</v>
      </c>
      <c r="R1543" s="9">
        <f t="shared" ca="1" si="89"/>
        <v>407301.22382176958</v>
      </c>
    </row>
    <row r="1544" spans="1:18" x14ac:dyDescent="0.25">
      <c r="A1544">
        <v>15</v>
      </c>
      <c r="B1544">
        <v>8.9</v>
      </c>
      <c r="C1544">
        <v>10</v>
      </c>
      <c r="D1544">
        <v>18.899999999999999</v>
      </c>
      <c r="E1544">
        <v>39</v>
      </c>
      <c r="F1544">
        <v>3.2224821025641039E-2</v>
      </c>
      <c r="G1544" t="str">
        <f t="shared" si="87"/>
        <v>Insert into BlueCreditTypeRainbow Values (15, 8.9, 10, 18.9, 39, 0.032224821025641)</v>
      </c>
      <c r="N1544" s="4">
        <v>1541</v>
      </c>
      <c r="O1544" s="8">
        <f>$B$7*COUNTIF(Sheet2!$B$1:$B$132,N1544)</f>
        <v>0</v>
      </c>
      <c r="P1544" s="8">
        <f t="shared" ca="1" si="88"/>
        <v>0</v>
      </c>
      <c r="Q1544" s="8">
        <f ca="1">CEILING(R1543*(IF(N1544&lt;=IF($B$2=0,0,OFFSET(Sheet2!$B$1,Sheet1!$B$2-1,0)),$B$1/(365*100),$B$3/(365*100)))*100,1)/100</f>
        <v>166.27</v>
      </c>
      <c r="R1544" s="9">
        <f t="shared" ca="1" si="89"/>
        <v>407467.4938217696</v>
      </c>
    </row>
    <row r="1545" spans="1:18" x14ac:dyDescent="0.25">
      <c r="A1545">
        <v>15</v>
      </c>
      <c r="B1545">
        <v>8.9</v>
      </c>
      <c r="C1545">
        <v>10</v>
      </c>
      <c r="D1545">
        <v>18.899999999999999</v>
      </c>
      <c r="E1545">
        <v>40</v>
      </c>
      <c r="F1545">
        <v>3.1635659522091145E-2</v>
      </c>
      <c r="G1545" t="str">
        <f t="shared" si="87"/>
        <v>Insert into BlueCreditTypeRainbow Values (15, 8.9, 10, 18.9, 40, 0.0316356595220911)</v>
      </c>
      <c r="N1545" s="4">
        <v>1542</v>
      </c>
      <c r="O1545" s="8">
        <f>$B$7*COUNTIF(Sheet2!$B$1:$B$132,N1545)</f>
        <v>0</v>
      </c>
      <c r="P1545" s="8">
        <f t="shared" ca="1" si="88"/>
        <v>0</v>
      </c>
      <c r="Q1545" s="8">
        <f ca="1">CEILING(R1544*(IF(N1545&lt;=IF($B$2=0,0,OFFSET(Sheet2!$B$1,Sheet1!$B$2-1,0)),$B$1/(365*100),$B$3/(365*100)))*100,1)/100</f>
        <v>166.34</v>
      </c>
      <c r="R1545" s="9">
        <f t="shared" ca="1" si="89"/>
        <v>407633.83382176963</v>
      </c>
    </row>
    <row r="1546" spans="1:18" x14ac:dyDescent="0.25">
      <c r="A1546">
        <v>15</v>
      </c>
      <c r="B1546">
        <v>8.9</v>
      </c>
      <c r="C1546">
        <v>10</v>
      </c>
      <c r="D1546">
        <v>18.899999999999999</v>
      </c>
      <c r="E1546">
        <v>41</v>
      </c>
      <c r="F1546">
        <v>3.1076249979990433E-2</v>
      </c>
      <c r="G1546" t="str">
        <f t="shared" si="87"/>
        <v>Insert into BlueCreditTypeRainbow Values (15, 8.9, 10, 18.9, 41, 0.0310762499799904)</v>
      </c>
      <c r="N1546" s="4">
        <v>1543</v>
      </c>
      <c r="O1546" s="8">
        <f>$B$7*COUNTIF(Sheet2!$B$1:$B$132,N1546)</f>
        <v>0</v>
      </c>
      <c r="P1546" s="8">
        <f t="shared" ca="1" si="88"/>
        <v>0</v>
      </c>
      <c r="Q1546" s="8">
        <f ca="1">CEILING(R1545*(IF(N1546&lt;=IF($B$2=0,0,OFFSET(Sheet2!$B$1,Sheet1!$B$2-1,0)),$B$1/(365*100),$B$3/(365*100)))*100,1)/100</f>
        <v>166.41</v>
      </c>
      <c r="R1546" s="9">
        <f t="shared" ca="1" si="89"/>
        <v>407800.2438217696</v>
      </c>
    </row>
    <row r="1547" spans="1:18" x14ac:dyDescent="0.25">
      <c r="A1547">
        <v>15</v>
      </c>
      <c r="B1547">
        <v>8.9</v>
      </c>
      <c r="C1547">
        <v>10</v>
      </c>
      <c r="D1547">
        <v>18.899999999999999</v>
      </c>
      <c r="E1547">
        <v>42</v>
      </c>
      <c r="F1547">
        <v>3.0544727631072598E-2</v>
      </c>
      <c r="G1547" t="str">
        <f t="shared" si="87"/>
        <v>Insert into BlueCreditTypeRainbow Values (15, 8.9, 10, 18.9, 42, 0.0305447276310726)</v>
      </c>
      <c r="N1547" s="4">
        <v>1544</v>
      </c>
      <c r="O1547" s="8">
        <f>$B$7*COUNTIF(Sheet2!$B$1:$B$132,N1547)</f>
        <v>0</v>
      </c>
      <c r="P1547" s="8">
        <f t="shared" ca="1" si="88"/>
        <v>0</v>
      </c>
      <c r="Q1547" s="8">
        <f ca="1">CEILING(R1546*(IF(N1547&lt;=IF($B$2=0,0,OFFSET(Sheet2!$B$1,Sheet1!$B$2-1,0)),$B$1/(365*100),$B$3/(365*100)))*100,1)/100</f>
        <v>166.48</v>
      </c>
      <c r="R1547" s="9">
        <f t="shared" ca="1" si="89"/>
        <v>407966.72382176958</v>
      </c>
    </row>
    <row r="1548" spans="1:18" x14ac:dyDescent="0.25">
      <c r="A1548">
        <v>15</v>
      </c>
      <c r="B1548">
        <v>8.9</v>
      </c>
      <c r="C1548">
        <v>9</v>
      </c>
      <c r="D1548">
        <v>18.899999999999999</v>
      </c>
      <c r="E1548">
        <v>30</v>
      </c>
      <c r="F1548">
        <v>3.9588608697151133E-2</v>
      </c>
      <c r="G1548" t="str">
        <f t="shared" si="87"/>
        <v>Insert into BlueCreditTypeRainbow Values (15, 8.9, 9, 18.9, 30, 0.0395886086971511)</v>
      </c>
      <c r="N1548" s="4">
        <v>1545</v>
      </c>
      <c r="O1548" s="8">
        <f>$B$7*COUNTIF(Sheet2!$B$1:$B$132,N1548)</f>
        <v>0</v>
      </c>
      <c r="P1548" s="8">
        <f t="shared" ca="1" si="88"/>
        <v>0</v>
      </c>
      <c r="Q1548" s="8">
        <f ca="1">CEILING(R1547*(IF(N1548&lt;=IF($B$2=0,0,OFFSET(Sheet2!$B$1,Sheet1!$B$2-1,0)),$B$1/(365*100),$B$3/(365*100)))*100,1)/100</f>
        <v>166.54</v>
      </c>
      <c r="R1548" s="9">
        <f t="shared" ca="1" si="89"/>
        <v>408133.26382176956</v>
      </c>
    </row>
    <row r="1549" spans="1:18" x14ac:dyDescent="0.25">
      <c r="A1549">
        <v>15</v>
      </c>
      <c r="B1549">
        <v>8.9</v>
      </c>
      <c r="C1549">
        <v>9</v>
      </c>
      <c r="D1549">
        <v>18.899999999999999</v>
      </c>
      <c r="E1549">
        <v>31</v>
      </c>
      <c r="F1549">
        <v>3.8579237727652448E-2</v>
      </c>
      <c r="G1549" t="str">
        <f t="shared" si="87"/>
        <v>Insert into BlueCreditTypeRainbow Values (15, 8.9, 9, 18.9, 31, 0.0385792377276524)</v>
      </c>
      <c r="N1549" s="4">
        <v>1546</v>
      </c>
      <c r="O1549" s="8">
        <f>$B$7*COUNTIF(Sheet2!$B$1:$B$132,N1549)</f>
        <v>0</v>
      </c>
      <c r="P1549" s="8">
        <f t="shared" ca="1" si="88"/>
        <v>0</v>
      </c>
      <c r="Q1549" s="8">
        <f ca="1">CEILING(R1548*(IF(N1549&lt;=IF($B$2=0,0,OFFSET(Sheet2!$B$1,Sheet1!$B$2-1,0)),$B$1/(365*100),$B$3/(365*100)))*100,1)/100</f>
        <v>166.61</v>
      </c>
      <c r="R1549" s="9">
        <f t="shared" ca="1" si="89"/>
        <v>408299.87382176955</v>
      </c>
    </row>
    <row r="1550" spans="1:18" x14ac:dyDescent="0.25">
      <c r="A1550">
        <v>15</v>
      </c>
      <c r="B1550">
        <v>8.9</v>
      </c>
      <c r="C1550">
        <v>9</v>
      </c>
      <c r="D1550">
        <v>18.899999999999999</v>
      </c>
      <c r="E1550">
        <v>32</v>
      </c>
      <c r="F1550">
        <v>3.7634468445631092E-2</v>
      </c>
      <c r="G1550" t="str">
        <f t="shared" si="87"/>
        <v>Insert into BlueCreditTypeRainbow Values (15, 8.9, 9, 18.9, 32, 0.0376344684456311)</v>
      </c>
      <c r="N1550" s="4">
        <v>1547</v>
      </c>
      <c r="O1550" s="8">
        <f>$B$7*COUNTIF(Sheet2!$B$1:$B$132,N1550)</f>
        <v>0</v>
      </c>
      <c r="P1550" s="8">
        <f t="shared" ca="1" si="88"/>
        <v>0</v>
      </c>
      <c r="Q1550" s="8">
        <f ca="1">CEILING(R1549*(IF(N1550&lt;=IF($B$2=0,0,OFFSET(Sheet2!$B$1,Sheet1!$B$2-1,0)),$B$1/(365*100),$B$3/(365*100)))*100,1)/100</f>
        <v>166.68</v>
      </c>
      <c r="R1550" s="9">
        <f t="shared" ca="1" si="89"/>
        <v>408466.55382176954</v>
      </c>
    </row>
    <row r="1551" spans="1:18" x14ac:dyDescent="0.25">
      <c r="A1551">
        <v>15</v>
      </c>
      <c r="B1551">
        <v>8.9</v>
      </c>
      <c r="C1551">
        <v>9</v>
      </c>
      <c r="D1551">
        <v>18.899999999999999</v>
      </c>
      <c r="E1551">
        <v>33</v>
      </c>
      <c r="F1551">
        <v>3.6748864242424212E-2</v>
      </c>
      <c r="G1551" t="str">
        <f t="shared" ref="G1551:G1614" si="90">CONCATENATE("Insert into BlueCreditTypeRainbow Values (",A1551,", ",B1551,", ",C1551,", ",D1551,", ",E1551,", ",F1551,")")</f>
        <v>Insert into BlueCreditTypeRainbow Values (15, 8.9, 9, 18.9, 33, 0.0367488642424242)</v>
      </c>
      <c r="N1551" s="4">
        <v>1548</v>
      </c>
      <c r="O1551" s="8">
        <f>$B$7*COUNTIF(Sheet2!$B$1:$B$132,N1551)</f>
        <v>0</v>
      </c>
      <c r="P1551" s="8">
        <f t="shared" ca="1" si="88"/>
        <v>0</v>
      </c>
      <c r="Q1551" s="8">
        <f ca="1">CEILING(R1550*(IF(N1551&lt;=IF($B$2=0,0,OFFSET(Sheet2!$B$1,Sheet1!$B$2-1,0)),$B$1/(365*100),$B$3/(365*100)))*100,1)/100</f>
        <v>166.75</v>
      </c>
      <c r="R1551" s="9">
        <f t="shared" ca="1" si="89"/>
        <v>408633.30382176954</v>
      </c>
    </row>
    <row r="1552" spans="1:18" x14ac:dyDescent="0.25">
      <c r="A1552">
        <v>15</v>
      </c>
      <c r="B1552">
        <v>8.9</v>
      </c>
      <c r="C1552">
        <v>9</v>
      </c>
      <c r="D1552">
        <v>18.899999999999999</v>
      </c>
      <c r="E1552">
        <v>34</v>
      </c>
      <c r="F1552">
        <v>3.5916696182205526E-2</v>
      </c>
      <c r="G1552" t="str">
        <f t="shared" si="90"/>
        <v>Insert into BlueCreditTypeRainbow Values (15, 8.9, 9, 18.9, 34, 0.0359166961822055)</v>
      </c>
      <c r="N1552" s="4">
        <v>1549</v>
      </c>
      <c r="O1552" s="8">
        <f>$B$7*COUNTIF(Sheet2!$B$1:$B$132,N1552)</f>
        <v>0</v>
      </c>
      <c r="P1552" s="8">
        <f t="shared" ca="1" si="88"/>
        <v>0</v>
      </c>
      <c r="Q1552" s="8">
        <f ca="1">CEILING(R1551*(IF(N1552&lt;=IF($B$2=0,0,OFFSET(Sheet2!$B$1,Sheet1!$B$2-1,0)),$B$1/(365*100),$B$3/(365*100)))*100,1)/100</f>
        <v>166.82</v>
      </c>
      <c r="R1552" s="9">
        <f t="shared" ca="1" si="89"/>
        <v>408800.12382176955</v>
      </c>
    </row>
    <row r="1553" spans="1:18" x14ac:dyDescent="0.25">
      <c r="A1553">
        <v>15</v>
      </c>
      <c r="B1553">
        <v>8.9</v>
      </c>
      <c r="C1553">
        <v>9</v>
      </c>
      <c r="D1553">
        <v>18.899999999999999</v>
      </c>
      <c r="E1553">
        <v>35</v>
      </c>
      <c r="F1553">
        <v>3.5133771428571436E-2</v>
      </c>
      <c r="G1553" t="str">
        <f t="shared" si="90"/>
        <v>Insert into BlueCreditTypeRainbow Values (15, 8.9, 9, 18.9, 35, 0.0351337714285714)</v>
      </c>
      <c r="N1553" s="4">
        <v>1550</v>
      </c>
      <c r="O1553" s="8">
        <f>$B$7*COUNTIF(Sheet2!$B$1:$B$132,N1553)</f>
        <v>0</v>
      </c>
      <c r="P1553" s="8">
        <f t="shared" ca="1" si="88"/>
        <v>0</v>
      </c>
      <c r="Q1553" s="8">
        <f ca="1">CEILING(R1552*(IF(N1553&lt;=IF($B$2=0,0,OFFSET(Sheet2!$B$1,Sheet1!$B$2-1,0)),$B$1/(365*100),$B$3/(365*100)))*100,1)/100</f>
        <v>166.89</v>
      </c>
      <c r="R1553" s="9">
        <f t="shared" ca="1" si="89"/>
        <v>408967.01382176956</v>
      </c>
    </row>
    <row r="1554" spans="1:18" x14ac:dyDescent="0.25">
      <c r="A1554">
        <v>15</v>
      </c>
      <c r="B1554">
        <v>8.9</v>
      </c>
      <c r="C1554">
        <v>9</v>
      </c>
      <c r="D1554">
        <v>18.899999999999999</v>
      </c>
      <c r="E1554">
        <v>36</v>
      </c>
      <c r="F1554">
        <v>3.43955547490312E-2</v>
      </c>
      <c r="G1554" t="str">
        <f t="shared" si="90"/>
        <v>Insert into BlueCreditTypeRainbow Values (15, 8.9, 9, 18.9, 36, 0.0343955547490312)</v>
      </c>
      <c r="N1554" s="4">
        <v>1551</v>
      </c>
      <c r="O1554" s="8">
        <f>$B$7*COUNTIF(Sheet2!$B$1:$B$132,N1554)</f>
        <v>0</v>
      </c>
      <c r="P1554" s="8">
        <f t="shared" ca="1" si="88"/>
        <v>0</v>
      </c>
      <c r="Q1554" s="8">
        <f ca="1">CEILING(R1553*(IF(N1554&lt;=IF($B$2=0,0,OFFSET(Sheet2!$B$1,Sheet1!$B$2-1,0)),$B$1/(365*100),$B$3/(365*100)))*100,1)/100</f>
        <v>166.95</v>
      </c>
      <c r="R1554" s="9">
        <f t="shared" ca="1" si="89"/>
        <v>409133.96382176958</v>
      </c>
    </row>
    <row r="1555" spans="1:18" x14ac:dyDescent="0.25">
      <c r="A1555">
        <v>15</v>
      </c>
      <c r="B1555">
        <v>8.9</v>
      </c>
      <c r="C1555">
        <v>9</v>
      </c>
      <c r="D1555">
        <v>18.899999999999999</v>
      </c>
      <c r="E1555">
        <v>37</v>
      </c>
      <c r="F1555">
        <v>3.3698769755874623E-2</v>
      </c>
      <c r="G1555" t="str">
        <f t="shared" si="90"/>
        <v>Insert into BlueCreditTypeRainbow Values (15, 8.9, 9, 18.9, 37, 0.0336987697558746)</v>
      </c>
      <c r="N1555" s="4">
        <v>1552</v>
      </c>
      <c r="O1555" s="8">
        <f>$B$7*COUNTIF(Sheet2!$B$1:$B$132,N1555)</f>
        <v>0</v>
      </c>
      <c r="P1555" s="8">
        <f t="shared" ca="1" si="88"/>
        <v>0</v>
      </c>
      <c r="Q1555" s="8">
        <f ca="1">CEILING(R1554*(IF(N1555&lt;=IF($B$2=0,0,OFFSET(Sheet2!$B$1,Sheet1!$B$2-1,0)),$B$1/(365*100),$B$3/(365*100)))*100,1)/100</f>
        <v>167.02</v>
      </c>
      <c r="R1555" s="9">
        <f t="shared" ca="1" si="89"/>
        <v>409300.98382176959</v>
      </c>
    </row>
    <row r="1556" spans="1:18" x14ac:dyDescent="0.25">
      <c r="A1556">
        <v>15</v>
      </c>
      <c r="B1556">
        <v>8.9</v>
      </c>
      <c r="C1556">
        <v>9</v>
      </c>
      <c r="D1556">
        <v>18.899999999999999</v>
      </c>
      <c r="E1556">
        <v>38</v>
      </c>
      <c r="F1556">
        <v>3.30397576506576E-2</v>
      </c>
      <c r="G1556" t="str">
        <f t="shared" si="90"/>
        <v>Insert into BlueCreditTypeRainbow Values (15, 8.9, 9, 18.9, 38, 0.0330397576506576)</v>
      </c>
      <c r="N1556" s="4">
        <v>1553</v>
      </c>
      <c r="O1556" s="8">
        <f>$B$7*COUNTIF(Sheet2!$B$1:$B$132,N1556)</f>
        <v>0</v>
      </c>
      <c r="P1556" s="8">
        <f t="shared" ca="1" si="88"/>
        <v>0</v>
      </c>
      <c r="Q1556" s="8">
        <f ca="1">CEILING(R1555*(IF(N1556&lt;=IF($B$2=0,0,OFFSET(Sheet2!$B$1,Sheet1!$B$2-1,0)),$B$1/(365*100),$B$3/(365*100)))*100,1)/100</f>
        <v>167.09</v>
      </c>
      <c r="R1556" s="9">
        <f t="shared" ca="1" si="89"/>
        <v>409468.07382176962</v>
      </c>
    </row>
    <row r="1557" spans="1:18" x14ac:dyDescent="0.25">
      <c r="A1557">
        <v>15</v>
      </c>
      <c r="B1557">
        <v>8.9</v>
      </c>
      <c r="C1557">
        <v>9</v>
      </c>
      <c r="D1557">
        <v>18.899999999999999</v>
      </c>
      <c r="E1557">
        <v>39</v>
      </c>
      <c r="F1557">
        <v>3.2415924629846909E-2</v>
      </c>
      <c r="G1557" t="str">
        <f t="shared" si="90"/>
        <v>Insert into BlueCreditTypeRainbow Values (15, 8.9, 9, 18.9, 39, 0.0324159246298469)</v>
      </c>
      <c r="N1557" s="4">
        <v>1554</v>
      </c>
      <c r="O1557" s="8">
        <f>$B$7*COUNTIF(Sheet2!$B$1:$B$132,N1557)</f>
        <v>0</v>
      </c>
      <c r="P1557" s="8">
        <f t="shared" ca="1" si="88"/>
        <v>0</v>
      </c>
      <c r="Q1557" s="8">
        <f ca="1">CEILING(R1556*(IF(N1557&lt;=IF($B$2=0,0,OFFSET(Sheet2!$B$1,Sheet1!$B$2-1,0)),$B$1/(365*100),$B$3/(365*100)))*100,1)/100</f>
        <v>167.16</v>
      </c>
      <c r="R1557" s="9">
        <f t="shared" ca="1" si="89"/>
        <v>409635.23382176959</v>
      </c>
    </row>
    <row r="1558" spans="1:18" x14ac:dyDescent="0.25">
      <c r="A1558">
        <v>15</v>
      </c>
      <c r="B1558">
        <v>8.9</v>
      </c>
      <c r="C1558">
        <v>9</v>
      </c>
      <c r="D1558">
        <v>18.899999999999999</v>
      </c>
      <c r="E1558">
        <v>40</v>
      </c>
      <c r="F1558">
        <v>3.1824607000000033E-2</v>
      </c>
      <c r="G1558" t="str">
        <f t="shared" si="90"/>
        <v>Insert into BlueCreditTypeRainbow Values (15, 8.9, 9, 18.9, 40, 0.031824607)</v>
      </c>
      <c r="N1558" s="4">
        <v>1555</v>
      </c>
      <c r="O1558" s="8">
        <f>$B$7*COUNTIF(Sheet2!$B$1:$B$132,N1558)</f>
        <v>21157.10552356458</v>
      </c>
      <c r="P1558" s="8">
        <f t="shared" ca="1" si="88"/>
        <v>20989.87552356458</v>
      </c>
      <c r="Q1558" s="8">
        <f ca="1">CEILING(R1557*(IF(N1558&lt;=IF($B$2=0,0,OFFSET(Sheet2!$B$1,Sheet1!$B$2-1,0)),$B$1/(365*100),$B$3/(365*100)))*100,1)/100</f>
        <v>167.23</v>
      </c>
      <c r="R1558" s="9">
        <f t="shared" ca="1" si="89"/>
        <v>388645.35829820501</v>
      </c>
    </row>
    <row r="1559" spans="1:18" x14ac:dyDescent="0.25">
      <c r="A1559">
        <v>15</v>
      </c>
      <c r="B1559">
        <v>8.9</v>
      </c>
      <c r="C1559">
        <v>9</v>
      </c>
      <c r="D1559">
        <v>18.899999999999999</v>
      </c>
      <c r="E1559">
        <v>41</v>
      </c>
      <c r="F1559">
        <v>3.1263107889326291E-2</v>
      </c>
      <c r="G1559" t="str">
        <f t="shared" si="90"/>
        <v>Insert into BlueCreditTypeRainbow Values (15, 8.9, 9, 18.9, 41, 0.0312631078893263)</v>
      </c>
      <c r="N1559" s="4">
        <v>1556</v>
      </c>
      <c r="O1559" s="8">
        <f>$B$7*COUNTIF(Sheet2!$B$1:$B$132,N1559)</f>
        <v>0</v>
      </c>
      <c r="P1559" s="8">
        <f t="shared" ca="1" si="88"/>
        <v>0</v>
      </c>
      <c r="Q1559" s="8">
        <f ca="1">CEILING(R1558*(IF(N1559&lt;=IF($B$2=0,0,OFFSET(Sheet2!$B$1,Sheet1!$B$2-1,0)),$B$1/(365*100),$B$3/(365*100)))*100,1)/100</f>
        <v>158.66</v>
      </c>
      <c r="R1559" s="9">
        <f t="shared" ca="1" si="89"/>
        <v>388804.01829820499</v>
      </c>
    </row>
    <row r="1560" spans="1:18" x14ac:dyDescent="0.25">
      <c r="A1560">
        <v>15</v>
      </c>
      <c r="B1560">
        <v>8.9</v>
      </c>
      <c r="C1560">
        <v>9</v>
      </c>
      <c r="D1560">
        <v>18.899999999999999</v>
      </c>
      <c r="E1560">
        <v>42</v>
      </c>
      <c r="F1560">
        <v>3.0729556666666654E-2</v>
      </c>
      <c r="G1560" t="str">
        <f t="shared" si="90"/>
        <v>Insert into BlueCreditTypeRainbow Values (15, 8.9, 9, 18.9, 42, 0.0307295566666667)</v>
      </c>
      <c r="N1560" s="4">
        <v>1557</v>
      </c>
      <c r="O1560" s="8">
        <f>$B$7*COUNTIF(Sheet2!$B$1:$B$132,N1560)</f>
        <v>0</v>
      </c>
      <c r="P1560" s="8">
        <f t="shared" ca="1" si="88"/>
        <v>0</v>
      </c>
      <c r="Q1560" s="8">
        <f ca="1">CEILING(R1559*(IF(N1560&lt;=IF($B$2=0,0,OFFSET(Sheet2!$B$1,Sheet1!$B$2-1,0)),$B$1/(365*100),$B$3/(365*100)))*100,1)/100</f>
        <v>158.72</v>
      </c>
      <c r="R1560" s="9">
        <f t="shared" ca="1" si="89"/>
        <v>388962.73829820496</v>
      </c>
    </row>
    <row r="1561" spans="1:18" x14ac:dyDescent="0.25">
      <c r="A1561">
        <v>15</v>
      </c>
      <c r="B1561">
        <v>8.9</v>
      </c>
      <c r="C1561">
        <v>8</v>
      </c>
      <c r="D1561">
        <v>18.899999999999999</v>
      </c>
      <c r="E1561">
        <v>30</v>
      </c>
      <c r="F1561">
        <v>3.9814591048122933E-2</v>
      </c>
      <c r="G1561" t="str">
        <f t="shared" si="90"/>
        <v>Insert into BlueCreditTypeRainbow Values (15, 8.9, 8, 18.9, 30, 0.0398145910481229)</v>
      </c>
      <c r="N1561" s="4">
        <v>1558</v>
      </c>
      <c r="O1561" s="8">
        <f>$B$7*COUNTIF(Sheet2!$B$1:$B$132,N1561)</f>
        <v>0</v>
      </c>
      <c r="P1561" s="8">
        <f t="shared" ca="1" si="88"/>
        <v>0</v>
      </c>
      <c r="Q1561" s="8">
        <f ca="1">CEILING(R1560*(IF(N1561&lt;=IF($B$2=0,0,OFFSET(Sheet2!$B$1,Sheet1!$B$2-1,0)),$B$1/(365*100),$B$3/(365*100)))*100,1)/100</f>
        <v>158.79</v>
      </c>
      <c r="R1561" s="9">
        <f t="shared" ca="1" si="89"/>
        <v>389121.52829820494</v>
      </c>
    </row>
    <row r="1562" spans="1:18" x14ac:dyDescent="0.25">
      <c r="A1562">
        <v>15</v>
      </c>
      <c r="B1562">
        <v>8.9</v>
      </c>
      <c r="C1562">
        <v>8</v>
      </c>
      <c r="D1562">
        <v>18.899999999999999</v>
      </c>
      <c r="E1562">
        <v>31</v>
      </c>
      <c r="F1562">
        <v>3.8801943756613728E-2</v>
      </c>
      <c r="G1562" t="str">
        <f t="shared" si="90"/>
        <v>Insert into BlueCreditTypeRainbow Values (15, 8.9, 8, 18.9, 31, 0.0388019437566137)</v>
      </c>
      <c r="N1562" s="4">
        <v>1559</v>
      </c>
      <c r="O1562" s="8">
        <f>$B$7*COUNTIF(Sheet2!$B$1:$B$132,N1562)</f>
        <v>0</v>
      </c>
      <c r="P1562" s="8">
        <f t="shared" ca="1" si="88"/>
        <v>0</v>
      </c>
      <c r="Q1562" s="8">
        <f ca="1">CEILING(R1561*(IF(N1562&lt;=IF($B$2=0,0,OFFSET(Sheet2!$B$1,Sheet1!$B$2-1,0)),$B$1/(365*100),$B$3/(365*100)))*100,1)/100</f>
        <v>158.85</v>
      </c>
      <c r="R1562" s="9">
        <f t="shared" ca="1" si="89"/>
        <v>389280.37829820492</v>
      </c>
    </row>
    <row r="1563" spans="1:18" x14ac:dyDescent="0.25">
      <c r="A1563">
        <v>15</v>
      </c>
      <c r="B1563">
        <v>8.9</v>
      </c>
      <c r="C1563">
        <v>8</v>
      </c>
      <c r="D1563">
        <v>18.899999999999999</v>
      </c>
      <c r="E1563">
        <v>32</v>
      </c>
      <c r="F1563">
        <v>3.7854009972913681E-2</v>
      </c>
      <c r="G1563" t="str">
        <f t="shared" si="90"/>
        <v>Insert into BlueCreditTypeRainbow Values (15, 8.9, 8, 18.9, 32, 0.0378540099729137)</v>
      </c>
      <c r="N1563" s="4">
        <v>1560</v>
      </c>
      <c r="O1563" s="8">
        <f>$B$7*COUNTIF(Sheet2!$B$1:$B$132,N1563)</f>
        <v>0</v>
      </c>
      <c r="P1563" s="8">
        <f t="shared" ca="1" si="88"/>
        <v>0</v>
      </c>
      <c r="Q1563" s="8">
        <f ca="1">CEILING(R1562*(IF(N1563&lt;=IF($B$2=0,0,OFFSET(Sheet2!$B$1,Sheet1!$B$2-1,0)),$B$1/(365*100),$B$3/(365*100)))*100,1)/100</f>
        <v>158.91999999999999</v>
      </c>
      <c r="R1563" s="9">
        <f t="shared" ca="1" si="89"/>
        <v>389439.2982982049</v>
      </c>
    </row>
    <row r="1564" spans="1:18" x14ac:dyDescent="0.25">
      <c r="A1564">
        <v>15</v>
      </c>
      <c r="B1564">
        <v>8.9</v>
      </c>
      <c r="C1564">
        <v>8</v>
      </c>
      <c r="D1564">
        <v>18.899999999999999</v>
      </c>
      <c r="E1564">
        <v>33</v>
      </c>
      <c r="F1564">
        <v>3.6965315454545497E-2</v>
      </c>
      <c r="G1564" t="str">
        <f t="shared" si="90"/>
        <v>Insert into BlueCreditTypeRainbow Values (15, 8.9, 8, 18.9, 33, 0.0369653154545455)</v>
      </c>
      <c r="N1564" s="4">
        <v>1561</v>
      </c>
      <c r="O1564" s="8">
        <f>$B$7*COUNTIF(Sheet2!$B$1:$B$132,N1564)</f>
        <v>0</v>
      </c>
      <c r="P1564" s="8">
        <f t="shared" ca="1" si="88"/>
        <v>0</v>
      </c>
      <c r="Q1564" s="8">
        <f ca="1">CEILING(R1563*(IF(N1564&lt;=IF($B$2=0,0,OFFSET(Sheet2!$B$1,Sheet1!$B$2-1,0)),$B$1/(365*100),$B$3/(365*100)))*100,1)/100</f>
        <v>158.97999999999999</v>
      </c>
      <c r="R1564" s="9">
        <f t="shared" ca="1" si="89"/>
        <v>389598.27829820488</v>
      </c>
    </row>
    <row r="1565" spans="1:18" x14ac:dyDescent="0.25">
      <c r="A1565">
        <v>15</v>
      </c>
      <c r="B1565">
        <v>8.9</v>
      </c>
      <c r="C1565">
        <v>8</v>
      </c>
      <c r="D1565">
        <v>18.899999999999999</v>
      </c>
      <c r="E1565">
        <v>34</v>
      </c>
      <c r="F1565">
        <v>3.6130166567653423E-2</v>
      </c>
      <c r="G1565" t="str">
        <f t="shared" si="90"/>
        <v>Insert into BlueCreditTypeRainbow Values (15, 8.9, 8, 18.9, 34, 0.0361301665676534)</v>
      </c>
      <c r="N1565" s="4">
        <v>1562</v>
      </c>
      <c r="O1565" s="8">
        <f>$B$7*COUNTIF(Sheet2!$B$1:$B$132,N1565)</f>
        <v>0</v>
      </c>
      <c r="P1565" s="8">
        <f t="shared" ca="1" si="88"/>
        <v>0</v>
      </c>
      <c r="Q1565" s="8">
        <f ca="1">CEILING(R1564*(IF(N1565&lt;=IF($B$2=0,0,OFFSET(Sheet2!$B$1,Sheet1!$B$2-1,0)),$B$1/(365*100),$B$3/(365*100)))*100,1)/100</f>
        <v>159.05000000000001</v>
      </c>
      <c r="R1565" s="9">
        <f t="shared" ca="1" si="89"/>
        <v>389757.32829820487</v>
      </c>
    </row>
    <row r="1566" spans="1:18" x14ac:dyDescent="0.25">
      <c r="A1566">
        <v>15</v>
      </c>
      <c r="B1566">
        <v>8.9</v>
      </c>
      <c r="C1566">
        <v>8</v>
      </c>
      <c r="D1566">
        <v>18.899999999999999</v>
      </c>
      <c r="E1566">
        <v>35</v>
      </c>
      <c r="F1566">
        <v>3.534434916073901E-2</v>
      </c>
      <c r="G1566" t="str">
        <f t="shared" si="90"/>
        <v>Insert into BlueCreditTypeRainbow Values (15, 8.9, 8, 18.9, 35, 0.035344349160739)</v>
      </c>
      <c r="N1566" s="4">
        <v>1563</v>
      </c>
      <c r="O1566" s="8">
        <f>$B$7*COUNTIF(Sheet2!$B$1:$B$132,N1566)</f>
        <v>0</v>
      </c>
      <c r="P1566" s="8">
        <f t="shared" ca="1" si="88"/>
        <v>0</v>
      </c>
      <c r="Q1566" s="8">
        <f ca="1">CEILING(R1565*(IF(N1566&lt;=IF($B$2=0,0,OFFSET(Sheet2!$B$1,Sheet1!$B$2-1,0)),$B$1/(365*100),$B$3/(365*100)))*100,1)/100</f>
        <v>159.11000000000001</v>
      </c>
      <c r="R1566" s="9">
        <f t="shared" ca="1" si="89"/>
        <v>389916.43829820486</v>
      </c>
    </row>
    <row r="1567" spans="1:18" x14ac:dyDescent="0.25">
      <c r="A1567">
        <v>15</v>
      </c>
      <c r="B1567">
        <v>8.9</v>
      </c>
      <c r="C1567">
        <v>8</v>
      </c>
      <c r="D1567">
        <v>18.899999999999999</v>
      </c>
      <c r="E1567">
        <v>36</v>
      </c>
      <c r="F1567">
        <v>3.4603337524487666E-2</v>
      </c>
      <c r="G1567" t="str">
        <f t="shared" si="90"/>
        <v>Insert into BlueCreditTypeRainbow Values (15, 8.9, 8, 18.9, 36, 0.0346033375244877)</v>
      </c>
      <c r="N1567" s="4">
        <v>1564</v>
      </c>
      <c r="O1567" s="8">
        <f>$B$7*COUNTIF(Sheet2!$B$1:$B$132,N1567)</f>
        <v>0</v>
      </c>
      <c r="P1567" s="8">
        <f t="shared" ca="1" si="88"/>
        <v>0</v>
      </c>
      <c r="Q1567" s="8">
        <f ca="1">CEILING(R1566*(IF(N1567&lt;=IF($B$2=0,0,OFFSET(Sheet2!$B$1,Sheet1!$B$2-1,0)),$B$1/(365*100),$B$3/(365*100)))*100,1)/100</f>
        <v>159.18</v>
      </c>
      <c r="R1567" s="9">
        <f t="shared" ca="1" si="89"/>
        <v>390075.61829820485</v>
      </c>
    </row>
    <row r="1568" spans="1:18" x14ac:dyDescent="0.25">
      <c r="A1568">
        <v>15</v>
      </c>
      <c r="B1568">
        <v>8.9</v>
      </c>
      <c r="C1568">
        <v>8</v>
      </c>
      <c r="D1568">
        <v>18.899999999999999</v>
      </c>
      <c r="E1568">
        <v>37</v>
      </c>
      <c r="F1568">
        <v>3.3903843796543286E-2</v>
      </c>
      <c r="G1568" t="str">
        <f t="shared" si="90"/>
        <v>Insert into BlueCreditTypeRainbow Values (15, 8.9, 8, 18.9, 37, 0.0339038437965433)</v>
      </c>
      <c r="N1568" s="4">
        <v>1565</v>
      </c>
      <c r="O1568" s="8">
        <f>$B$7*COUNTIF(Sheet2!$B$1:$B$132,N1568)</f>
        <v>0</v>
      </c>
      <c r="P1568" s="8">
        <f t="shared" ca="1" si="88"/>
        <v>0</v>
      </c>
      <c r="Q1568" s="8">
        <f ca="1">CEILING(R1567*(IF(N1568&lt;=IF($B$2=0,0,OFFSET(Sheet2!$B$1,Sheet1!$B$2-1,0)),$B$1/(365*100),$B$3/(365*100)))*100,1)/100</f>
        <v>159.24</v>
      </c>
      <c r="R1568" s="9">
        <f t="shared" ca="1" si="89"/>
        <v>390234.85829820484</v>
      </c>
    </row>
    <row r="1569" spans="1:18" x14ac:dyDescent="0.25">
      <c r="A1569">
        <v>15</v>
      </c>
      <c r="B1569">
        <v>8.9</v>
      </c>
      <c r="C1569">
        <v>8</v>
      </c>
      <c r="D1569">
        <v>18.899999999999999</v>
      </c>
      <c r="E1569">
        <v>38</v>
      </c>
      <c r="F1569">
        <v>3.32422173922758E-2</v>
      </c>
      <c r="G1569" t="str">
        <f t="shared" si="90"/>
        <v>Insert into BlueCreditTypeRainbow Values (15, 8.9, 8, 18.9, 38, 0.0332422173922758)</v>
      </c>
      <c r="N1569" s="4">
        <v>1566</v>
      </c>
      <c r="O1569" s="8">
        <f>$B$7*COUNTIF(Sheet2!$B$1:$B$132,N1569)</f>
        <v>0</v>
      </c>
      <c r="P1569" s="8">
        <f t="shared" ca="1" si="88"/>
        <v>0</v>
      </c>
      <c r="Q1569" s="8">
        <f ca="1">CEILING(R1568*(IF(N1569&lt;=IF($B$2=0,0,OFFSET(Sheet2!$B$1,Sheet1!$B$2-1,0)),$B$1/(365*100),$B$3/(365*100)))*100,1)/100</f>
        <v>159.31</v>
      </c>
      <c r="R1569" s="9">
        <f t="shared" ca="1" si="89"/>
        <v>390394.16829820484</v>
      </c>
    </row>
    <row r="1570" spans="1:18" x14ac:dyDescent="0.25">
      <c r="A1570">
        <v>15</v>
      </c>
      <c r="B1570">
        <v>8.9</v>
      </c>
      <c r="C1570">
        <v>8</v>
      </c>
      <c r="D1570">
        <v>18.899999999999999</v>
      </c>
      <c r="E1570">
        <v>39</v>
      </c>
      <c r="F1570">
        <v>3.2615867715634343E-2</v>
      </c>
      <c r="G1570" t="str">
        <f t="shared" si="90"/>
        <v>Insert into BlueCreditTypeRainbow Values (15, 8.9, 8, 18.9, 39, 0.0326158677156343)</v>
      </c>
      <c r="N1570" s="4">
        <v>1567</v>
      </c>
      <c r="O1570" s="8">
        <f>$B$7*COUNTIF(Sheet2!$B$1:$B$132,N1570)</f>
        <v>0</v>
      </c>
      <c r="P1570" s="8">
        <f t="shared" ca="1" si="88"/>
        <v>0</v>
      </c>
      <c r="Q1570" s="8">
        <f ca="1">CEILING(R1569*(IF(N1570&lt;=IF($B$2=0,0,OFFSET(Sheet2!$B$1,Sheet1!$B$2-1,0)),$B$1/(365*100),$B$3/(365*100)))*100,1)/100</f>
        <v>159.37</v>
      </c>
      <c r="R1570" s="9">
        <f t="shared" ca="1" si="89"/>
        <v>390553.53829820483</v>
      </c>
    </row>
    <row r="1571" spans="1:18" x14ac:dyDescent="0.25">
      <c r="A1571">
        <v>15</v>
      </c>
      <c r="B1571">
        <v>8.9</v>
      </c>
      <c r="C1571">
        <v>8</v>
      </c>
      <c r="D1571">
        <v>18.899999999999999</v>
      </c>
      <c r="E1571">
        <v>40</v>
      </c>
      <c r="F1571">
        <v>3.2022104771354344E-2</v>
      </c>
      <c r="G1571" t="str">
        <f t="shared" si="90"/>
        <v>Insert into BlueCreditTypeRainbow Values (15, 8.9, 8, 18.9, 40, 0.0320221047713543)</v>
      </c>
      <c r="N1571" s="4">
        <v>1568</v>
      </c>
      <c r="O1571" s="8">
        <f>$B$7*COUNTIF(Sheet2!$B$1:$B$132,N1571)</f>
        <v>0</v>
      </c>
      <c r="P1571" s="8">
        <f t="shared" ca="1" si="88"/>
        <v>0</v>
      </c>
      <c r="Q1571" s="8">
        <f ca="1">CEILING(R1570*(IF(N1571&lt;=IF($B$2=0,0,OFFSET(Sheet2!$B$1,Sheet1!$B$2-1,0)),$B$1/(365*100),$B$3/(365*100)))*100,1)/100</f>
        <v>159.44</v>
      </c>
      <c r="R1571" s="9">
        <f t="shared" ca="1" si="89"/>
        <v>390712.97829820483</v>
      </c>
    </row>
    <row r="1572" spans="1:18" x14ac:dyDescent="0.25">
      <c r="A1572">
        <v>15</v>
      </c>
      <c r="B1572">
        <v>8.9</v>
      </c>
      <c r="C1572">
        <v>8</v>
      </c>
      <c r="D1572">
        <v>18.899999999999999</v>
      </c>
      <c r="E1572">
        <v>41</v>
      </c>
      <c r="F1572">
        <v>3.1458244390243917E-2</v>
      </c>
      <c r="G1572" t="str">
        <f t="shared" si="90"/>
        <v>Insert into BlueCreditTypeRainbow Values (15, 8.9, 8, 18.9, 41, 0.0314582443902439)</v>
      </c>
      <c r="N1572" s="4">
        <v>1569</v>
      </c>
      <c r="O1572" s="8">
        <f>$B$7*COUNTIF(Sheet2!$B$1:$B$132,N1572)</f>
        <v>0</v>
      </c>
      <c r="P1572" s="8">
        <f t="shared" ca="1" si="88"/>
        <v>0</v>
      </c>
      <c r="Q1572" s="8">
        <f ca="1">CEILING(R1571*(IF(N1572&lt;=IF($B$2=0,0,OFFSET(Sheet2!$B$1,Sheet1!$B$2-1,0)),$B$1/(365*100),$B$3/(365*100)))*100,1)/100</f>
        <v>159.5</v>
      </c>
      <c r="R1572" s="9">
        <f t="shared" ca="1" si="89"/>
        <v>390872.47829820483</v>
      </c>
    </row>
    <row r="1573" spans="1:18" x14ac:dyDescent="0.25">
      <c r="A1573">
        <v>15</v>
      </c>
      <c r="B1573">
        <v>8.9</v>
      </c>
      <c r="C1573">
        <v>8</v>
      </c>
      <c r="D1573">
        <v>18.899999999999999</v>
      </c>
      <c r="E1573">
        <v>42</v>
      </c>
      <c r="F1573">
        <v>3.0922413053221243E-2</v>
      </c>
      <c r="G1573" t="str">
        <f t="shared" si="90"/>
        <v>Insert into BlueCreditTypeRainbow Values (15, 8.9, 8, 18.9, 42, 0.0309224130532212)</v>
      </c>
      <c r="N1573" s="4">
        <v>1570</v>
      </c>
      <c r="O1573" s="8">
        <f>$B$7*COUNTIF(Sheet2!$B$1:$B$132,N1573)</f>
        <v>0</v>
      </c>
      <c r="P1573" s="8">
        <f t="shared" ca="1" si="88"/>
        <v>0</v>
      </c>
      <c r="Q1573" s="8">
        <f ca="1">CEILING(R1572*(IF(N1573&lt;=IF($B$2=0,0,OFFSET(Sheet2!$B$1,Sheet1!$B$2-1,0)),$B$1/(365*100),$B$3/(365*100)))*100,1)/100</f>
        <v>159.57</v>
      </c>
      <c r="R1573" s="9">
        <f t="shared" ca="1" si="89"/>
        <v>391032.04829820484</v>
      </c>
    </row>
    <row r="1574" spans="1:18" x14ac:dyDescent="0.25">
      <c r="A1574">
        <v>15</v>
      </c>
      <c r="B1574">
        <v>8.9</v>
      </c>
      <c r="C1574">
        <v>7</v>
      </c>
      <c r="D1574">
        <v>18.899999999999999</v>
      </c>
      <c r="E1574">
        <v>30</v>
      </c>
      <c r="F1574">
        <v>4.0053654000000022E-2</v>
      </c>
      <c r="G1574" t="str">
        <f t="shared" si="90"/>
        <v>Insert into BlueCreditTypeRainbow Values (15, 8.9, 7, 18.9, 30, 0.040053654)</v>
      </c>
      <c r="N1574" s="4">
        <v>1571</v>
      </c>
      <c r="O1574" s="8">
        <f>$B$7*COUNTIF(Sheet2!$B$1:$B$132,N1574)</f>
        <v>0</v>
      </c>
      <c r="P1574" s="8">
        <f t="shared" ca="1" si="88"/>
        <v>0</v>
      </c>
      <c r="Q1574" s="8">
        <f ca="1">CEILING(R1573*(IF(N1574&lt;=IF($B$2=0,0,OFFSET(Sheet2!$B$1,Sheet1!$B$2-1,0)),$B$1/(365*100),$B$3/(365*100)))*100,1)/100</f>
        <v>159.63</v>
      </c>
      <c r="R1574" s="9">
        <f t="shared" ca="1" si="89"/>
        <v>391191.67829820485</v>
      </c>
    </row>
    <row r="1575" spans="1:18" x14ac:dyDescent="0.25">
      <c r="A1575">
        <v>15</v>
      </c>
      <c r="B1575">
        <v>8.9</v>
      </c>
      <c r="C1575">
        <v>7</v>
      </c>
      <c r="D1575">
        <v>18.899999999999999</v>
      </c>
      <c r="E1575">
        <v>31</v>
      </c>
      <c r="F1575">
        <v>3.9037141612903212E-2</v>
      </c>
      <c r="G1575" t="str">
        <f t="shared" si="90"/>
        <v>Insert into BlueCreditTypeRainbow Values (15, 8.9, 7, 18.9, 31, 0.0390371416129032)</v>
      </c>
      <c r="N1575" s="4">
        <v>1572</v>
      </c>
      <c r="O1575" s="8">
        <f>$B$7*COUNTIF(Sheet2!$B$1:$B$132,N1575)</f>
        <v>0</v>
      </c>
      <c r="P1575" s="8">
        <f t="shared" ca="1" si="88"/>
        <v>0</v>
      </c>
      <c r="Q1575" s="8">
        <f ca="1">CEILING(R1574*(IF(N1575&lt;=IF($B$2=0,0,OFFSET(Sheet2!$B$1,Sheet1!$B$2-1,0)),$B$1/(365*100),$B$3/(365*100)))*100,1)/100</f>
        <v>159.69999999999999</v>
      </c>
      <c r="R1575" s="9">
        <f t="shared" ca="1" si="89"/>
        <v>391351.37829820486</v>
      </c>
    </row>
    <row r="1576" spans="1:18" x14ac:dyDescent="0.25">
      <c r="A1576">
        <v>15</v>
      </c>
      <c r="B1576">
        <v>8.9</v>
      </c>
      <c r="C1576">
        <v>7</v>
      </c>
      <c r="D1576">
        <v>18.899999999999999</v>
      </c>
      <c r="E1576">
        <v>32</v>
      </c>
      <c r="F1576">
        <v>3.8085469595534355E-2</v>
      </c>
      <c r="G1576" t="str">
        <f t="shared" si="90"/>
        <v>Insert into BlueCreditTypeRainbow Values (15, 8.9, 7, 18.9, 32, 0.0380854695955344)</v>
      </c>
      <c r="N1576" s="4">
        <v>1573</v>
      </c>
      <c r="O1576" s="8">
        <f>$B$7*COUNTIF(Sheet2!$B$1:$B$132,N1576)</f>
        <v>0</v>
      </c>
      <c r="P1576" s="8">
        <f t="shared" ca="1" si="88"/>
        <v>0</v>
      </c>
      <c r="Q1576" s="8">
        <f ca="1">CEILING(R1575*(IF(N1576&lt;=IF($B$2=0,0,OFFSET(Sheet2!$B$1,Sheet1!$B$2-1,0)),$B$1/(365*100),$B$3/(365*100)))*100,1)/100</f>
        <v>159.76</v>
      </c>
      <c r="R1576" s="9">
        <f t="shared" ca="1" si="89"/>
        <v>391511.13829820487</v>
      </c>
    </row>
    <row r="1577" spans="1:18" x14ac:dyDescent="0.25">
      <c r="A1577">
        <v>15</v>
      </c>
      <c r="B1577">
        <v>8.9</v>
      </c>
      <c r="C1577">
        <v>7</v>
      </c>
      <c r="D1577">
        <v>18.899999999999999</v>
      </c>
      <c r="E1577">
        <v>33</v>
      </c>
      <c r="F1577">
        <v>3.7193197279078563E-2</v>
      </c>
      <c r="G1577" t="str">
        <f t="shared" si="90"/>
        <v>Insert into BlueCreditTypeRainbow Values (15, 8.9, 7, 18.9, 33, 0.0371931972790786)</v>
      </c>
      <c r="N1577" s="4">
        <v>1574</v>
      </c>
      <c r="O1577" s="8">
        <f>$B$7*COUNTIF(Sheet2!$B$1:$B$132,N1577)</f>
        <v>0</v>
      </c>
      <c r="P1577" s="8">
        <f t="shared" ca="1" si="88"/>
        <v>0</v>
      </c>
      <c r="Q1577" s="8">
        <f ca="1">CEILING(R1576*(IF(N1577&lt;=IF($B$2=0,0,OFFSET(Sheet2!$B$1,Sheet1!$B$2-1,0)),$B$1/(365*100),$B$3/(365*100)))*100,1)/100</f>
        <v>159.83000000000001</v>
      </c>
      <c r="R1577" s="9">
        <f t="shared" ca="1" si="89"/>
        <v>391670.96829820488</v>
      </c>
    </row>
    <row r="1578" spans="1:18" x14ac:dyDescent="0.25">
      <c r="A1578">
        <v>15</v>
      </c>
      <c r="B1578">
        <v>8.9</v>
      </c>
      <c r="C1578">
        <v>7</v>
      </c>
      <c r="D1578">
        <v>18.899999999999999</v>
      </c>
      <c r="E1578">
        <v>34</v>
      </c>
      <c r="F1578">
        <v>3.6354600000000001E-2</v>
      </c>
      <c r="G1578" t="str">
        <f t="shared" si="90"/>
        <v>Insert into BlueCreditTypeRainbow Values (15, 8.9, 7, 18.9, 34, 0.0363546)</v>
      </c>
      <c r="N1578" s="4">
        <v>1575</v>
      </c>
      <c r="O1578" s="8">
        <f>$B$7*COUNTIF(Sheet2!$B$1:$B$132,N1578)</f>
        <v>0</v>
      </c>
      <c r="P1578" s="8">
        <f t="shared" ca="1" si="88"/>
        <v>0</v>
      </c>
      <c r="Q1578" s="8">
        <f ca="1">CEILING(R1577*(IF(N1578&lt;=IF($B$2=0,0,OFFSET(Sheet2!$B$1,Sheet1!$B$2-1,0)),$B$1/(365*100),$B$3/(365*100)))*100,1)/100</f>
        <v>159.88999999999999</v>
      </c>
      <c r="R1578" s="9">
        <f t="shared" ca="1" si="89"/>
        <v>391830.8582982049</v>
      </c>
    </row>
    <row r="1579" spans="1:18" x14ac:dyDescent="0.25">
      <c r="A1579">
        <v>15</v>
      </c>
      <c r="B1579">
        <v>8.9</v>
      </c>
      <c r="C1579">
        <v>7</v>
      </c>
      <c r="D1579">
        <v>18.899999999999999</v>
      </c>
      <c r="E1579">
        <v>35</v>
      </c>
      <c r="F1579">
        <v>3.5565459738393243E-2</v>
      </c>
      <c r="G1579" t="str">
        <f t="shared" si="90"/>
        <v>Insert into BlueCreditTypeRainbow Values (15, 8.9, 7, 18.9, 35, 0.0355654597383932)</v>
      </c>
      <c r="N1579" s="4">
        <v>1576</v>
      </c>
      <c r="O1579" s="8">
        <f>$B$7*COUNTIF(Sheet2!$B$1:$B$132,N1579)</f>
        <v>0</v>
      </c>
      <c r="P1579" s="8">
        <f t="shared" ca="1" si="88"/>
        <v>0</v>
      </c>
      <c r="Q1579" s="8">
        <f ca="1">CEILING(R1578*(IF(N1579&lt;=IF($B$2=0,0,OFFSET(Sheet2!$B$1,Sheet1!$B$2-1,0)),$B$1/(365*100),$B$3/(365*100)))*100,1)/100</f>
        <v>159.96</v>
      </c>
      <c r="R1579" s="9">
        <f t="shared" ca="1" si="89"/>
        <v>391990.81829820492</v>
      </c>
    </row>
    <row r="1580" spans="1:18" x14ac:dyDescent="0.25">
      <c r="A1580">
        <v>15</v>
      </c>
      <c r="B1580">
        <v>8.9</v>
      </c>
      <c r="C1580">
        <v>7</v>
      </c>
      <c r="D1580">
        <v>18.899999999999999</v>
      </c>
      <c r="E1580">
        <v>36</v>
      </c>
      <c r="F1580">
        <v>3.4821259787848897E-2</v>
      </c>
      <c r="G1580" t="str">
        <f t="shared" si="90"/>
        <v>Insert into BlueCreditTypeRainbow Values (15, 8.9, 7, 18.9, 36, 0.0348212597878489)</v>
      </c>
      <c r="N1580" s="4">
        <v>1577</v>
      </c>
      <c r="O1580" s="8">
        <f>$B$7*COUNTIF(Sheet2!$B$1:$B$132,N1580)</f>
        <v>0</v>
      </c>
      <c r="P1580" s="8">
        <f t="shared" ca="1" si="88"/>
        <v>0</v>
      </c>
      <c r="Q1580" s="8">
        <f ca="1">CEILING(R1579*(IF(N1580&lt;=IF($B$2=0,0,OFFSET(Sheet2!$B$1,Sheet1!$B$2-1,0)),$B$1/(365*100),$B$3/(365*100)))*100,1)/100</f>
        <v>160.02000000000001</v>
      </c>
      <c r="R1580" s="9">
        <f t="shared" ca="1" si="89"/>
        <v>392150.83829820494</v>
      </c>
    </row>
    <row r="1581" spans="1:18" x14ac:dyDescent="0.25">
      <c r="A1581">
        <v>15</v>
      </c>
      <c r="B1581">
        <v>8.9</v>
      </c>
      <c r="C1581">
        <v>7</v>
      </c>
      <c r="D1581">
        <v>18.899999999999999</v>
      </c>
      <c r="E1581">
        <v>37</v>
      </c>
      <c r="F1581">
        <v>3.4118701101522458E-2</v>
      </c>
      <c r="G1581" t="str">
        <f t="shared" si="90"/>
        <v>Insert into BlueCreditTypeRainbow Values (15, 8.9, 7, 18.9, 37, 0.0341187011015225)</v>
      </c>
      <c r="N1581" s="4">
        <v>1578</v>
      </c>
      <c r="O1581" s="8">
        <f>$B$7*COUNTIF(Sheet2!$B$1:$B$132,N1581)</f>
        <v>0</v>
      </c>
      <c r="P1581" s="8">
        <f t="shared" ca="1" si="88"/>
        <v>0</v>
      </c>
      <c r="Q1581" s="8">
        <f ca="1">CEILING(R1580*(IF(N1581&lt;=IF($B$2=0,0,OFFSET(Sheet2!$B$1,Sheet1!$B$2-1,0)),$B$1/(365*100),$B$3/(365*100)))*100,1)/100</f>
        <v>160.09</v>
      </c>
      <c r="R1581" s="9">
        <f t="shared" ca="1" si="89"/>
        <v>392310.92829820496</v>
      </c>
    </row>
    <row r="1582" spans="1:18" x14ac:dyDescent="0.25">
      <c r="A1582">
        <v>15</v>
      </c>
      <c r="B1582">
        <v>8.9</v>
      </c>
      <c r="C1582">
        <v>7</v>
      </c>
      <c r="D1582">
        <v>18.899999999999999</v>
      </c>
      <c r="E1582">
        <v>38</v>
      </c>
      <c r="F1582">
        <v>3.345411842105267E-2</v>
      </c>
      <c r="G1582" t="str">
        <f t="shared" si="90"/>
        <v>Insert into BlueCreditTypeRainbow Values (15, 8.9, 7, 18.9, 38, 0.0334541184210527)</v>
      </c>
      <c r="N1582" s="4">
        <v>1579</v>
      </c>
      <c r="O1582" s="8">
        <f>$B$7*COUNTIF(Sheet2!$B$1:$B$132,N1582)</f>
        <v>0</v>
      </c>
      <c r="P1582" s="8">
        <f t="shared" ca="1" si="88"/>
        <v>0</v>
      </c>
      <c r="Q1582" s="8">
        <f ca="1">CEILING(R1581*(IF(N1582&lt;=IF($B$2=0,0,OFFSET(Sheet2!$B$1,Sheet1!$B$2-1,0)),$B$1/(365*100),$B$3/(365*100)))*100,1)/100</f>
        <v>160.15</v>
      </c>
      <c r="R1582" s="9">
        <f t="shared" ca="1" si="89"/>
        <v>392471.07829820499</v>
      </c>
    </row>
    <row r="1583" spans="1:18" x14ac:dyDescent="0.25">
      <c r="A1583">
        <v>15</v>
      </c>
      <c r="B1583">
        <v>8.9</v>
      </c>
      <c r="C1583">
        <v>7</v>
      </c>
      <c r="D1583">
        <v>18.899999999999999</v>
      </c>
      <c r="E1583">
        <v>39</v>
      </c>
      <c r="F1583">
        <v>3.2824922069451472E-2</v>
      </c>
      <c r="G1583" t="str">
        <f t="shared" si="90"/>
        <v>Insert into BlueCreditTypeRainbow Values (15, 8.9, 7, 18.9, 39, 0.0328249220694515)</v>
      </c>
      <c r="N1583" s="4">
        <v>1580</v>
      </c>
      <c r="O1583" s="8">
        <f>$B$7*COUNTIF(Sheet2!$B$1:$B$132,N1583)</f>
        <v>0</v>
      </c>
      <c r="P1583" s="8">
        <f t="shared" ca="1" si="88"/>
        <v>0</v>
      </c>
      <c r="Q1583" s="8">
        <f ca="1">CEILING(R1582*(IF(N1583&lt;=IF($B$2=0,0,OFFSET(Sheet2!$B$1,Sheet1!$B$2-1,0)),$B$1/(365*100),$B$3/(365*100)))*100,1)/100</f>
        <v>160.22</v>
      </c>
      <c r="R1583" s="9">
        <f t="shared" ca="1" si="89"/>
        <v>392631.29829820496</v>
      </c>
    </row>
    <row r="1584" spans="1:18" x14ac:dyDescent="0.25">
      <c r="A1584">
        <v>15</v>
      </c>
      <c r="B1584">
        <v>8.9</v>
      </c>
      <c r="C1584">
        <v>7</v>
      </c>
      <c r="D1584">
        <v>18.899999999999999</v>
      </c>
      <c r="E1584">
        <v>40</v>
      </c>
      <c r="F1584">
        <v>3.2228426273268752E-2</v>
      </c>
      <c r="G1584" t="str">
        <f t="shared" si="90"/>
        <v>Insert into BlueCreditTypeRainbow Values (15, 8.9, 7, 18.9, 40, 0.0322284262732688)</v>
      </c>
      <c r="N1584" s="4">
        <v>1581</v>
      </c>
      <c r="O1584" s="8">
        <f>$B$7*COUNTIF(Sheet2!$B$1:$B$132,N1584)</f>
        <v>0</v>
      </c>
      <c r="P1584" s="8">
        <f t="shared" ca="1" si="88"/>
        <v>0</v>
      </c>
      <c r="Q1584" s="8">
        <f ca="1">CEILING(R1583*(IF(N1584&lt;=IF($B$2=0,0,OFFSET(Sheet2!$B$1,Sheet1!$B$2-1,0)),$B$1/(365*100),$B$3/(365*100)))*100,1)/100</f>
        <v>160.28</v>
      </c>
      <c r="R1584" s="9">
        <f t="shared" ca="1" si="89"/>
        <v>392791.57829820499</v>
      </c>
    </row>
    <row r="1585" spans="1:18" x14ac:dyDescent="0.25">
      <c r="A1585">
        <v>15</v>
      </c>
      <c r="B1585">
        <v>8.9</v>
      </c>
      <c r="C1585">
        <v>7</v>
      </c>
      <c r="D1585">
        <v>18.899999999999999</v>
      </c>
      <c r="E1585">
        <v>41</v>
      </c>
      <c r="F1585">
        <v>3.166193026510522E-2</v>
      </c>
      <c r="G1585" t="str">
        <f t="shared" si="90"/>
        <v>Insert into BlueCreditTypeRainbow Values (15, 8.9, 7, 18.9, 41, 0.0316619302651052)</v>
      </c>
      <c r="N1585" s="4">
        <v>1582</v>
      </c>
      <c r="O1585" s="8">
        <f>$B$7*COUNTIF(Sheet2!$B$1:$B$132,N1585)</f>
        <v>0</v>
      </c>
      <c r="P1585" s="8">
        <f t="shared" ca="1" si="88"/>
        <v>0</v>
      </c>
      <c r="Q1585" s="8">
        <f ca="1">CEILING(R1584*(IF(N1585&lt;=IF($B$2=0,0,OFFSET(Sheet2!$B$1,Sheet1!$B$2-1,0)),$B$1/(365*100),$B$3/(365*100)))*100,1)/100</f>
        <v>160.35</v>
      </c>
      <c r="R1585" s="9">
        <f t="shared" ca="1" si="89"/>
        <v>392951.92829820496</v>
      </c>
    </row>
    <row r="1586" spans="1:18" x14ac:dyDescent="0.25">
      <c r="A1586">
        <v>15</v>
      </c>
      <c r="B1586">
        <v>8.9</v>
      </c>
      <c r="C1586">
        <v>7</v>
      </c>
      <c r="D1586">
        <v>18.899999999999999</v>
      </c>
      <c r="E1586">
        <v>42</v>
      </c>
      <c r="F1586">
        <v>3.1123561094643776E-2</v>
      </c>
      <c r="G1586" t="str">
        <f t="shared" si="90"/>
        <v>Insert into BlueCreditTypeRainbow Values (15, 8.9, 7, 18.9, 42, 0.0311235610946438)</v>
      </c>
      <c r="N1586" s="4">
        <v>1583</v>
      </c>
      <c r="O1586" s="8">
        <f>$B$7*COUNTIF(Sheet2!$B$1:$B$132,N1586)</f>
        <v>0</v>
      </c>
      <c r="P1586" s="8">
        <f t="shared" ca="1" si="88"/>
        <v>0</v>
      </c>
      <c r="Q1586" s="8">
        <f ca="1">CEILING(R1585*(IF(N1586&lt;=IF($B$2=0,0,OFFSET(Sheet2!$B$1,Sheet1!$B$2-1,0)),$B$1/(365*100),$B$3/(365*100)))*100,1)/100</f>
        <v>160.41999999999999</v>
      </c>
      <c r="R1586" s="9">
        <f t="shared" ca="1" si="89"/>
        <v>393112.34829820495</v>
      </c>
    </row>
    <row r="1587" spans="1:18" x14ac:dyDescent="0.25">
      <c r="A1587">
        <v>15</v>
      </c>
      <c r="B1587">
        <v>8.9</v>
      </c>
      <c r="C1587">
        <v>6</v>
      </c>
      <c r="D1587">
        <v>18.899999999999999</v>
      </c>
      <c r="E1587">
        <v>30</v>
      </c>
      <c r="F1587">
        <v>4.0314656000000046E-2</v>
      </c>
      <c r="G1587" t="str">
        <f t="shared" si="90"/>
        <v>Insert into BlueCreditTypeRainbow Values (15, 8.9, 6, 18.9, 30, 0.040314656)</v>
      </c>
      <c r="N1587" s="4">
        <v>1584</v>
      </c>
      <c r="O1587" s="8">
        <f>$B$7*COUNTIF(Sheet2!$B$1:$B$132,N1587)</f>
        <v>0</v>
      </c>
      <c r="P1587" s="8">
        <f t="shared" ca="1" si="88"/>
        <v>0</v>
      </c>
      <c r="Q1587" s="8">
        <f ca="1">CEILING(R1586*(IF(N1587&lt;=IF($B$2=0,0,OFFSET(Sheet2!$B$1,Sheet1!$B$2-1,0)),$B$1/(365*100),$B$3/(365*100)))*100,1)/100</f>
        <v>160.47999999999999</v>
      </c>
      <c r="R1587" s="9">
        <f t="shared" ca="1" si="89"/>
        <v>393272.82829820493</v>
      </c>
    </row>
    <row r="1588" spans="1:18" x14ac:dyDescent="0.25">
      <c r="A1588">
        <v>15</v>
      </c>
      <c r="B1588">
        <v>8.9</v>
      </c>
      <c r="C1588">
        <v>6</v>
      </c>
      <c r="D1588">
        <v>18.899999999999999</v>
      </c>
      <c r="E1588">
        <v>31</v>
      </c>
      <c r="F1588">
        <v>3.9293512924833782E-2</v>
      </c>
      <c r="G1588" t="str">
        <f t="shared" si="90"/>
        <v>Insert into BlueCreditTypeRainbow Values (15, 8.9, 6, 18.9, 31, 0.0392935129248338)</v>
      </c>
      <c r="N1588" s="4">
        <v>1585</v>
      </c>
      <c r="O1588" s="8">
        <f>$B$7*COUNTIF(Sheet2!$B$1:$B$132,N1588)</f>
        <v>0</v>
      </c>
      <c r="P1588" s="8">
        <f t="shared" ca="1" si="88"/>
        <v>0</v>
      </c>
      <c r="Q1588" s="8">
        <f ca="1">CEILING(R1587*(IF(N1588&lt;=IF($B$2=0,0,OFFSET(Sheet2!$B$1,Sheet1!$B$2-1,0)),$B$1/(365*100),$B$3/(365*100)))*100,1)/100</f>
        <v>160.55000000000001</v>
      </c>
      <c r="R1588" s="9">
        <f t="shared" ca="1" si="89"/>
        <v>393433.37829820492</v>
      </c>
    </row>
    <row r="1589" spans="1:18" x14ac:dyDescent="0.25">
      <c r="A1589">
        <v>15</v>
      </c>
      <c r="B1589">
        <v>8.9</v>
      </c>
      <c r="C1589">
        <v>6</v>
      </c>
      <c r="D1589">
        <v>18.899999999999999</v>
      </c>
      <c r="E1589">
        <v>32</v>
      </c>
      <c r="F1589">
        <v>3.8337411903836591E-2</v>
      </c>
      <c r="G1589" t="str">
        <f t="shared" si="90"/>
        <v>Insert into BlueCreditTypeRainbow Values (15, 8.9, 6, 18.9, 32, 0.0383374119038366)</v>
      </c>
      <c r="N1589" s="4">
        <v>1586</v>
      </c>
      <c r="O1589" s="8">
        <f>$B$7*COUNTIF(Sheet2!$B$1:$B$132,N1589)</f>
        <v>21157.10552356458</v>
      </c>
      <c r="P1589" s="8">
        <f t="shared" ca="1" si="88"/>
        <v>20996.495523564579</v>
      </c>
      <c r="Q1589" s="8">
        <f ca="1">CEILING(R1588*(IF(N1589&lt;=IF($B$2=0,0,OFFSET(Sheet2!$B$1,Sheet1!$B$2-1,0)),$B$1/(365*100),$B$3/(365*100)))*100,1)/100</f>
        <v>160.61000000000001</v>
      </c>
      <c r="R1589" s="9">
        <f t="shared" ca="1" si="89"/>
        <v>372436.88277464034</v>
      </c>
    </row>
    <row r="1590" spans="1:18" x14ac:dyDescent="0.25">
      <c r="A1590">
        <v>15</v>
      </c>
      <c r="B1590">
        <v>8.9</v>
      </c>
      <c r="C1590">
        <v>6</v>
      </c>
      <c r="D1590">
        <v>18.899999999999999</v>
      </c>
      <c r="E1590">
        <v>33</v>
      </c>
      <c r="F1590">
        <v>3.7440890303030321E-2</v>
      </c>
      <c r="G1590" t="str">
        <f t="shared" si="90"/>
        <v>Insert into BlueCreditTypeRainbow Values (15, 8.9, 6, 18.9, 33, 0.0374408903030303)</v>
      </c>
      <c r="N1590" s="4">
        <v>1587</v>
      </c>
      <c r="O1590" s="8">
        <f>$B$7*COUNTIF(Sheet2!$B$1:$B$132,N1590)</f>
        <v>0</v>
      </c>
      <c r="P1590" s="8">
        <f t="shared" ca="1" si="88"/>
        <v>0</v>
      </c>
      <c r="Q1590" s="8">
        <f ca="1">CEILING(R1589*(IF(N1590&lt;=IF($B$2=0,0,OFFSET(Sheet2!$B$1,Sheet1!$B$2-1,0)),$B$1/(365*100),$B$3/(365*100)))*100,1)/100</f>
        <v>152.04</v>
      </c>
      <c r="R1590" s="9">
        <f t="shared" ca="1" si="89"/>
        <v>372588.92277464032</v>
      </c>
    </row>
    <row r="1591" spans="1:18" x14ac:dyDescent="0.25">
      <c r="A1591">
        <v>15</v>
      </c>
      <c r="B1591">
        <v>8.9</v>
      </c>
      <c r="C1591">
        <v>6</v>
      </c>
      <c r="D1591">
        <v>18.899999999999999</v>
      </c>
      <c r="E1591">
        <v>34</v>
      </c>
      <c r="F1591">
        <v>3.6598234411764755E-2</v>
      </c>
      <c r="G1591" t="str">
        <f t="shared" si="90"/>
        <v>Insert into BlueCreditTypeRainbow Values (15, 8.9, 6, 18.9, 34, 0.0365982344117648)</v>
      </c>
      <c r="N1591" s="4">
        <v>1588</v>
      </c>
      <c r="O1591" s="8">
        <f>$B$7*COUNTIF(Sheet2!$B$1:$B$132,N1591)</f>
        <v>0</v>
      </c>
      <c r="P1591" s="8">
        <f t="shared" ca="1" si="88"/>
        <v>0</v>
      </c>
      <c r="Q1591" s="8">
        <f ca="1">CEILING(R1590*(IF(N1591&lt;=IF($B$2=0,0,OFFSET(Sheet2!$B$1,Sheet1!$B$2-1,0)),$B$1/(365*100),$B$3/(365*100)))*100,1)/100</f>
        <v>152.1</v>
      </c>
      <c r="R1591" s="9">
        <f t="shared" ca="1" si="89"/>
        <v>372741.0227746403</v>
      </c>
    </row>
    <row r="1592" spans="1:18" x14ac:dyDescent="0.25">
      <c r="A1592">
        <v>15</v>
      </c>
      <c r="B1592">
        <v>8.9</v>
      </c>
      <c r="C1592">
        <v>6</v>
      </c>
      <c r="D1592">
        <v>18.899999999999999</v>
      </c>
      <c r="E1592">
        <v>35</v>
      </c>
      <c r="F1592">
        <v>3.58052200283537E-2</v>
      </c>
      <c r="G1592" t="str">
        <f t="shared" si="90"/>
        <v>Insert into BlueCreditTypeRainbow Values (15, 8.9, 6, 18.9, 35, 0.0358052200283537)</v>
      </c>
      <c r="N1592" s="4">
        <v>1589</v>
      </c>
      <c r="O1592" s="8">
        <f>$B$7*COUNTIF(Sheet2!$B$1:$B$132,N1592)</f>
        <v>0</v>
      </c>
      <c r="P1592" s="8">
        <f t="shared" ca="1" si="88"/>
        <v>0</v>
      </c>
      <c r="Q1592" s="8">
        <f ca="1">CEILING(R1591*(IF(N1592&lt;=IF($B$2=0,0,OFFSET(Sheet2!$B$1,Sheet1!$B$2-1,0)),$B$1/(365*100),$B$3/(365*100)))*100,1)/100</f>
        <v>152.16999999999999</v>
      </c>
      <c r="R1592" s="9">
        <f t="shared" ca="1" si="89"/>
        <v>372893.19277464028</v>
      </c>
    </row>
    <row r="1593" spans="1:18" x14ac:dyDescent="0.25">
      <c r="A1593">
        <v>15</v>
      </c>
      <c r="B1593">
        <v>8.9</v>
      </c>
      <c r="C1593">
        <v>6</v>
      </c>
      <c r="D1593">
        <v>18.899999999999999</v>
      </c>
      <c r="E1593">
        <v>36</v>
      </c>
      <c r="F1593">
        <v>3.5057293319615858E-2</v>
      </c>
      <c r="G1593" t="str">
        <f t="shared" si="90"/>
        <v>Insert into BlueCreditTypeRainbow Values (15, 8.9, 6, 18.9, 36, 0.0350572933196159)</v>
      </c>
      <c r="N1593" s="4">
        <v>1590</v>
      </c>
      <c r="O1593" s="8">
        <f>$B$7*COUNTIF(Sheet2!$B$1:$B$132,N1593)</f>
        <v>0</v>
      </c>
      <c r="P1593" s="8">
        <f t="shared" ca="1" si="88"/>
        <v>0</v>
      </c>
      <c r="Q1593" s="8">
        <f ca="1">CEILING(R1592*(IF(N1593&lt;=IF($B$2=0,0,OFFSET(Sheet2!$B$1,Sheet1!$B$2-1,0)),$B$1/(365*100),$B$3/(365*100)))*100,1)/100</f>
        <v>152.22999999999999</v>
      </c>
      <c r="R1593" s="9">
        <f t="shared" ca="1" si="89"/>
        <v>373045.42277464026</v>
      </c>
    </row>
    <row r="1594" spans="1:18" x14ac:dyDescent="0.25">
      <c r="A1594">
        <v>15</v>
      </c>
      <c r="B1594">
        <v>8.9</v>
      </c>
      <c r="C1594">
        <v>6</v>
      </c>
      <c r="D1594">
        <v>18.899999999999999</v>
      </c>
      <c r="E1594">
        <v>37</v>
      </c>
      <c r="F1594">
        <v>3.435117054054055E-2</v>
      </c>
      <c r="G1594" t="str">
        <f t="shared" si="90"/>
        <v>Insert into BlueCreditTypeRainbow Values (15, 8.9, 6, 18.9, 37, 0.0343511705405406)</v>
      </c>
      <c r="N1594" s="4">
        <v>1591</v>
      </c>
      <c r="O1594" s="8">
        <f>$B$7*COUNTIF(Sheet2!$B$1:$B$132,N1594)</f>
        <v>0</v>
      </c>
      <c r="P1594" s="8">
        <f t="shared" ca="1" si="88"/>
        <v>0</v>
      </c>
      <c r="Q1594" s="8">
        <f ca="1">CEILING(R1593*(IF(N1594&lt;=IF($B$2=0,0,OFFSET(Sheet2!$B$1,Sheet1!$B$2-1,0)),$B$1/(365*100),$B$3/(365*100)))*100,1)/100</f>
        <v>152.29</v>
      </c>
      <c r="R1594" s="9">
        <f t="shared" ca="1" si="89"/>
        <v>373197.71277464024</v>
      </c>
    </row>
    <row r="1595" spans="1:18" x14ac:dyDescent="0.25">
      <c r="A1595">
        <v>15</v>
      </c>
      <c r="B1595">
        <v>8.9</v>
      </c>
      <c r="C1595">
        <v>6</v>
      </c>
      <c r="D1595">
        <v>18.899999999999999</v>
      </c>
      <c r="E1595">
        <v>38</v>
      </c>
      <c r="F1595">
        <v>3.3683177128792319E-2</v>
      </c>
      <c r="G1595" t="str">
        <f t="shared" si="90"/>
        <v>Insert into BlueCreditTypeRainbow Values (15, 8.9, 6, 18.9, 38, 0.0336831771287923)</v>
      </c>
      <c r="N1595" s="4">
        <v>1592</v>
      </c>
      <c r="O1595" s="8">
        <f>$B$7*COUNTIF(Sheet2!$B$1:$B$132,N1595)</f>
        <v>0</v>
      </c>
      <c r="P1595" s="8">
        <f t="shared" ca="1" si="88"/>
        <v>0</v>
      </c>
      <c r="Q1595" s="8">
        <f ca="1">CEILING(R1594*(IF(N1595&lt;=IF($B$2=0,0,OFFSET(Sheet2!$B$1,Sheet1!$B$2-1,0)),$B$1/(365*100),$B$3/(365*100)))*100,1)/100</f>
        <v>152.35</v>
      </c>
      <c r="R1595" s="9">
        <f t="shared" ca="1" si="89"/>
        <v>373350.06277464022</v>
      </c>
    </row>
    <row r="1596" spans="1:18" x14ac:dyDescent="0.25">
      <c r="A1596">
        <v>15</v>
      </c>
      <c r="B1596">
        <v>8.9</v>
      </c>
      <c r="C1596">
        <v>6</v>
      </c>
      <c r="D1596">
        <v>18.899999999999999</v>
      </c>
      <c r="E1596">
        <v>39</v>
      </c>
      <c r="F1596">
        <v>3.3050711062433832E-2</v>
      </c>
      <c r="G1596" t="str">
        <f t="shared" si="90"/>
        <v>Insert into BlueCreditTypeRainbow Values (15, 8.9, 6, 18.9, 39, 0.0330507110624338)</v>
      </c>
      <c r="N1596" s="4">
        <v>1593</v>
      </c>
      <c r="O1596" s="8">
        <f>$B$7*COUNTIF(Sheet2!$B$1:$B$132,N1596)</f>
        <v>0</v>
      </c>
      <c r="P1596" s="8">
        <f t="shared" ca="1" si="88"/>
        <v>0</v>
      </c>
      <c r="Q1596" s="8">
        <f ca="1">CEILING(R1595*(IF(N1596&lt;=IF($B$2=0,0,OFFSET(Sheet2!$B$1,Sheet1!$B$2-1,0)),$B$1/(365*100),$B$3/(365*100)))*100,1)/100</f>
        <v>152.41</v>
      </c>
      <c r="R1596" s="9">
        <f t="shared" ca="1" si="89"/>
        <v>373502.47277464019</v>
      </c>
    </row>
    <row r="1597" spans="1:18" x14ac:dyDescent="0.25">
      <c r="A1597">
        <v>15</v>
      </c>
      <c r="B1597">
        <v>8.9</v>
      </c>
      <c r="C1597">
        <v>6</v>
      </c>
      <c r="D1597">
        <v>18.899999999999999</v>
      </c>
      <c r="E1597">
        <v>40</v>
      </c>
      <c r="F1597">
        <v>3.2451067010476044E-2</v>
      </c>
      <c r="G1597" t="str">
        <f t="shared" si="90"/>
        <v>Insert into BlueCreditTypeRainbow Values (15, 8.9, 6, 18.9, 40, 0.032451067010476)</v>
      </c>
      <c r="N1597" s="4">
        <v>1594</v>
      </c>
      <c r="O1597" s="8">
        <f>$B$7*COUNTIF(Sheet2!$B$1:$B$132,N1597)</f>
        <v>0</v>
      </c>
      <c r="P1597" s="8">
        <f t="shared" ca="1" si="88"/>
        <v>0</v>
      </c>
      <c r="Q1597" s="8">
        <f ca="1">CEILING(R1596*(IF(N1597&lt;=IF($B$2=0,0,OFFSET(Sheet2!$B$1,Sheet1!$B$2-1,0)),$B$1/(365*100),$B$3/(365*100)))*100,1)/100</f>
        <v>152.47999999999999</v>
      </c>
      <c r="R1597" s="9">
        <f t="shared" ca="1" si="89"/>
        <v>373654.95277464017</v>
      </c>
    </row>
    <row r="1598" spans="1:18" x14ac:dyDescent="0.25">
      <c r="A1598">
        <v>15</v>
      </c>
      <c r="B1598">
        <v>8.9</v>
      </c>
      <c r="C1598">
        <v>6</v>
      </c>
      <c r="D1598">
        <v>18.899999999999999</v>
      </c>
      <c r="E1598">
        <v>41</v>
      </c>
      <c r="F1598">
        <v>3.188155845017128E-2</v>
      </c>
      <c r="G1598" t="str">
        <f t="shared" si="90"/>
        <v>Insert into BlueCreditTypeRainbow Values (15, 8.9, 6, 18.9, 41, 0.0318815584501713)</v>
      </c>
      <c r="N1598" s="4">
        <v>1595</v>
      </c>
      <c r="O1598" s="8">
        <f>$B$7*COUNTIF(Sheet2!$B$1:$B$132,N1598)</f>
        <v>0</v>
      </c>
      <c r="P1598" s="8">
        <f t="shared" ca="1" si="88"/>
        <v>0</v>
      </c>
      <c r="Q1598" s="8">
        <f ca="1">CEILING(R1597*(IF(N1598&lt;=IF($B$2=0,0,OFFSET(Sheet2!$B$1,Sheet1!$B$2-1,0)),$B$1/(365*100),$B$3/(365*100)))*100,1)/100</f>
        <v>152.54</v>
      </c>
      <c r="R1598" s="9">
        <f t="shared" ca="1" si="89"/>
        <v>373807.49277464015</v>
      </c>
    </row>
    <row r="1599" spans="1:18" x14ac:dyDescent="0.25">
      <c r="A1599">
        <v>15</v>
      </c>
      <c r="B1599">
        <v>8.9</v>
      </c>
      <c r="C1599">
        <v>6</v>
      </c>
      <c r="D1599">
        <v>18.899999999999999</v>
      </c>
      <c r="E1599">
        <v>42</v>
      </c>
      <c r="F1599">
        <v>3.1340300952381016E-2</v>
      </c>
      <c r="G1599" t="str">
        <f t="shared" si="90"/>
        <v>Insert into BlueCreditTypeRainbow Values (15, 8.9, 6, 18.9, 42, 0.031340300952381)</v>
      </c>
      <c r="N1599" s="4">
        <v>1596</v>
      </c>
      <c r="O1599" s="8">
        <f>$B$7*COUNTIF(Sheet2!$B$1:$B$132,N1599)</f>
        <v>0</v>
      </c>
      <c r="P1599" s="8">
        <f t="shared" ca="1" si="88"/>
        <v>0</v>
      </c>
      <c r="Q1599" s="8">
        <f ca="1">CEILING(R1598*(IF(N1599&lt;=IF($B$2=0,0,OFFSET(Sheet2!$B$1,Sheet1!$B$2-1,0)),$B$1/(365*100),$B$3/(365*100)))*100,1)/100</f>
        <v>152.6</v>
      </c>
      <c r="R1599" s="9">
        <f t="shared" ca="1" si="89"/>
        <v>373960.09277464013</v>
      </c>
    </row>
    <row r="1600" spans="1:18" x14ac:dyDescent="0.25">
      <c r="A1600">
        <v>15</v>
      </c>
      <c r="B1600">
        <v>8.9</v>
      </c>
      <c r="C1600">
        <v>5</v>
      </c>
      <c r="D1600">
        <v>18.899999999999999</v>
      </c>
      <c r="E1600">
        <v>30</v>
      </c>
      <c r="F1600">
        <v>4.0590160097680107E-2</v>
      </c>
      <c r="G1600" t="str">
        <f t="shared" si="90"/>
        <v>Insert into BlueCreditTypeRainbow Values (15, 8.9, 5, 18.9, 30, 0.0405901600976801)</v>
      </c>
      <c r="N1600" s="4">
        <v>1597</v>
      </c>
      <c r="O1600" s="8">
        <f>$B$7*COUNTIF(Sheet2!$B$1:$B$132,N1600)</f>
        <v>0</v>
      </c>
      <c r="P1600" s="8">
        <f t="shared" ca="1" si="88"/>
        <v>0</v>
      </c>
      <c r="Q1600" s="8">
        <f ca="1">CEILING(R1599*(IF(N1600&lt;=IF($B$2=0,0,OFFSET(Sheet2!$B$1,Sheet1!$B$2-1,0)),$B$1/(365*100),$B$3/(365*100)))*100,1)/100</f>
        <v>152.66</v>
      </c>
      <c r="R1600" s="9">
        <f t="shared" ca="1" si="89"/>
        <v>374112.7527746401</v>
      </c>
    </row>
    <row r="1601" spans="1:18" x14ac:dyDescent="0.25">
      <c r="A1601">
        <v>15</v>
      </c>
      <c r="B1601">
        <v>8.9</v>
      </c>
      <c r="C1601">
        <v>5</v>
      </c>
      <c r="D1601">
        <v>18.899999999999999</v>
      </c>
      <c r="E1601">
        <v>31</v>
      </c>
      <c r="F1601">
        <v>3.9563716480515307E-2</v>
      </c>
      <c r="G1601" t="str">
        <f t="shared" si="90"/>
        <v>Insert into BlueCreditTypeRainbow Values (15, 8.9, 5, 18.9, 31, 0.0395637164805153)</v>
      </c>
      <c r="N1601" s="4">
        <v>1598</v>
      </c>
      <c r="O1601" s="8">
        <f>$B$7*COUNTIF(Sheet2!$B$1:$B$132,N1601)</f>
        <v>0</v>
      </c>
      <c r="P1601" s="8">
        <f t="shared" ca="1" si="88"/>
        <v>0</v>
      </c>
      <c r="Q1601" s="8">
        <f ca="1">CEILING(R1600*(IF(N1601&lt;=IF($B$2=0,0,OFFSET(Sheet2!$B$1,Sheet1!$B$2-1,0)),$B$1/(365*100),$B$3/(365*100)))*100,1)/100</f>
        <v>152.72999999999999</v>
      </c>
      <c r="R1601" s="9">
        <f t="shared" ca="1" si="89"/>
        <v>374265.48277464008</v>
      </c>
    </row>
    <row r="1602" spans="1:18" x14ac:dyDescent="0.25">
      <c r="A1602">
        <v>15</v>
      </c>
      <c r="B1602">
        <v>8.9</v>
      </c>
      <c r="C1602">
        <v>5</v>
      </c>
      <c r="D1602">
        <v>18.899999999999999</v>
      </c>
      <c r="E1602">
        <v>32</v>
      </c>
      <c r="F1602">
        <v>3.8602579206349158E-2</v>
      </c>
      <c r="G1602" t="str">
        <f t="shared" si="90"/>
        <v>Insert into BlueCreditTypeRainbow Values (15, 8.9, 5, 18.9, 32, 0.0386025792063492)</v>
      </c>
      <c r="N1602" s="4">
        <v>1599</v>
      </c>
      <c r="O1602" s="8">
        <f>$B$7*COUNTIF(Sheet2!$B$1:$B$132,N1602)</f>
        <v>0</v>
      </c>
      <c r="P1602" s="8">
        <f t="shared" ca="1" si="88"/>
        <v>0</v>
      </c>
      <c r="Q1602" s="8">
        <f ca="1">CEILING(R1601*(IF(N1602&lt;=IF($B$2=0,0,OFFSET(Sheet2!$B$1,Sheet1!$B$2-1,0)),$B$1/(365*100),$B$3/(365*100)))*100,1)/100</f>
        <v>152.79</v>
      </c>
      <c r="R1602" s="9">
        <f t="shared" ca="1" si="89"/>
        <v>374418.27277464006</v>
      </c>
    </row>
    <row r="1603" spans="1:18" x14ac:dyDescent="0.25">
      <c r="A1603">
        <v>15</v>
      </c>
      <c r="B1603">
        <v>8.9</v>
      </c>
      <c r="C1603">
        <v>5</v>
      </c>
      <c r="D1603">
        <v>18.899999999999999</v>
      </c>
      <c r="E1603">
        <v>33</v>
      </c>
      <c r="F1603">
        <v>3.7701266666666677E-2</v>
      </c>
      <c r="G1603" t="str">
        <f t="shared" si="90"/>
        <v>Insert into BlueCreditTypeRainbow Values (15, 8.9, 5, 18.9, 33, 0.0377012666666667)</v>
      </c>
      <c r="N1603" s="4">
        <v>1600</v>
      </c>
      <c r="O1603" s="8">
        <f>$B$7*COUNTIF(Sheet2!$B$1:$B$132,N1603)</f>
        <v>0</v>
      </c>
      <c r="P1603" s="8">
        <f t="shared" ca="1" si="88"/>
        <v>0</v>
      </c>
      <c r="Q1603" s="8">
        <f ca="1">CEILING(R1602*(IF(N1603&lt;=IF($B$2=0,0,OFFSET(Sheet2!$B$1,Sheet1!$B$2-1,0)),$B$1/(365*100),$B$3/(365*100)))*100,1)/100</f>
        <v>152.85</v>
      </c>
      <c r="R1603" s="9">
        <f t="shared" ca="1" si="89"/>
        <v>374571.12277464004</v>
      </c>
    </row>
    <row r="1604" spans="1:18" x14ac:dyDescent="0.25">
      <c r="A1604">
        <v>15</v>
      </c>
      <c r="B1604">
        <v>8.9</v>
      </c>
      <c r="C1604">
        <v>5</v>
      </c>
      <c r="D1604">
        <v>18.899999999999999</v>
      </c>
      <c r="E1604">
        <v>34</v>
      </c>
      <c r="F1604">
        <v>3.6854034796411229E-2</v>
      </c>
      <c r="G1604" t="str">
        <f t="shared" si="90"/>
        <v>Insert into BlueCreditTypeRainbow Values (15, 8.9, 5, 18.9, 34, 0.0368540347964112)</v>
      </c>
      <c r="N1604" s="4">
        <v>1601</v>
      </c>
      <c r="O1604" s="8">
        <f>$B$7*COUNTIF(Sheet2!$B$1:$B$132,N1604)</f>
        <v>0</v>
      </c>
      <c r="P1604" s="8">
        <f t="shared" ca="1" si="88"/>
        <v>0</v>
      </c>
      <c r="Q1604" s="8">
        <f ca="1">CEILING(R1603*(IF(N1604&lt;=IF($B$2=0,0,OFFSET(Sheet2!$B$1,Sheet1!$B$2-1,0)),$B$1/(365*100),$B$3/(365*100)))*100,1)/100</f>
        <v>152.91</v>
      </c>
      <c r="R1604" s="9">
        <f t="shared" ca="1" si="89"/>
        <v>374724.03277464001</v>
      </c>
    </row>
    <row r="1605" spans="1:18" x14ac:dyDescent="0.25">
      <c r="A1605">
        <v>15</v>
      </c>
      <c r="B1605">
        <v>8.9</v>
      </c>
      <c r="C1605">
        <v>5</v>
      </c>
      <c r="D1605">
        <v>18.899999999999999</v>
      </c>
      <c r="E1605">
        <v>35</v>
      </c>
      <c r="F1605">
        <v>3.6056667164298249E-2</v>
      </c>
      <c r="G1605" t="str">
        <f t="shared" si="90"/>
        <v>Insert into BlueCreditTypeRainbow Values (15, 8.9, 5, 18.9, 35, 0.0360566671642982)</v>
      </c>
      <c r="N1605" s="4">
        <v>1602</v>
      </c>
      <c r="O1605" s="8">
        <f>$B$7*COUNTIF(Sheet2!$B$1:$B$132,N1605)</f>
        <v>0</v>
      </c>
      <c r="P1605" s="8">
        <f t="shared" ref="P1605:P1668" ca="1" si="91">IF(O1605-Q1605&gt; 0, O1605-Q1605, 0)</f>
        <v>0</v>
      </c>
      <c r="Q1605" s="8">
        <f ca="1">CEILING(R1604*(IF(N1605&lt;=IF($B$2=0,0,OFFSET(Sheet2!$B$1,Sheet1!$B$2-1,0)),$B$1/(365*100),$B$3/(365*100)))*100,1)/100</f>
        <v>152.97</v>
      </c>
      <c r="R1605" s="9">
        <f t="shared" ref="R1605:R1668" ca="1" si="92">R1604+Q1605-O1605</f>
        <v>374877.00277463999</v>
      </c>
    </row>
    <row r="1606" spans="1:18" x14ac:dyDescent="0.25">
      <c r="A1606">
        <v>15</v>
      </c>
      <c r="B1606">
        <v>8.9</v>
      </c>
      <c r="C1606">
        <v>5</v>
      </c>
      <c r="D1606">
        <v>18.899999999999999</v>
      </c>
      <c r="E1606">
        <v>36</v>
      </c>
      <c r="F1606">
        <v>3.5304594444444469E-2</v>
      </c>
      <c r="G1606" t="str">
        <f t="shared" si="90"/>
        <v>Insert into BlueCreditTypeRainbow Values (15, 8.9, 5, 18.9, 36, 0.0353045944444445)</v>
      </c>
      <c r="N1606" s="4">
        <v>1603</v>
      </c>
      <c r="O1606" s="8">
        <f>$B$7*COUNTIF(Sheet2!$B$1:$B$132,N1606)</f>
        <v>0</v>
      </c>
      <c r="P1606" s="8">
        <f t="shared" ca="1" si="91"/>
        <v>0</v>
      </c>
      <c r="Q1606" s="8">
        <f ca="1">CEILING(R1605*(IF(N1606&lt;=IF($B$2=0,0,OFFSET(Sheet2!$B$1,Sheet1!$B$2-1,0)),$B$1/(365*100),$B$3/(365*100)))*100,1)/100</f>
        <v>153.04</v>
      </c>
      <c r="R1606" s="9">
        <f t="shared" ca="1" si="92"/>
        <v>375030.04277463997</v>
      </c>
    </row>
    <row r="1607" spans="1:18" x14ac:dyDescent="0.25">
      <c r="A1607">
        <v>15</v>
      </c>
      <c r="B1607">
        <v>8.9</v>
      </c>
      <c r="C1607">
        <v>5</v>
      </c>
      <c r="D1607">
        <v>18.899999999999999</v>
      </c>
      <c r="E1607">
        <v>37</v>
      </c>
      <c r="F1607">
        <v>3.4594507297297308E-2</v>
      </c>
      <c r="G1607" t="str">
        <f t="shared" si="90"/>
        <v>Insert into BlueCreditTypeRainbow Values (15, 8.9, 5, 18.9, 37, 0.0345945072972973)</v>
      </c>
      <c r="N1607" s="4">
        <v>1604</v>
      </c>
      <c r="O1607" s="8">
        <f>$B$7*COUNTIF(Sheet2!$B$1:$B$132,N1607)</f>
        <v>0</v>
      </c>
      <c r="P1607" s="8">
        <f t="shared" ca="1" si="91"/>
        <v>0</v>
      </c>
      <c r="Q1607" s="8">
        <f ca="1">CEILING(R1606*(IF(N1607&lt;=IF($B$2=0,0,OFFSET(Sheet2!$B$1,Sheet1!$B$2-1,0)),$B$1/(365*100),$B$3/(365*100)))*100,1)/100</f>
        <v>153.1</v>
      </c>
      <c r="R1607" s="9">
        <f t="shared" ca="1" si="92"/>
        <v>375183.14277463994</v>
      </c>
    </row>
    <row r="1608" spans="1:18" x14ac:dyDescent="0.25">
      <c r="A1608">
        <v>15</v>
      </c>
      <c r="B1608">
        <v>8.9</v>
      </c>
      <c r="C1608">
        <v>5</v>
      </c>
      <c r="D1608">
        <v>18.899999999999999</v>
      </c>
      <c r="E1608">
        <v>38</v>
      </c>
      <c r="F1608">
        <v>3.3922723972930946E-2</v>
      </c>
      <c r="G1608" t="str">
        <f t="shared" si="90"/>
        <v>Insert into BlueCreditTypeRainbow Values (15, 8.9, 5, 18.9, 38, 0.0339227239729309)</v>
      </c>
      <c r="N1608" s="4">
        <v>1605</v>
      </c>
      <c r="O1608" s="8">
        <f>$B$7*COUNTIF(Sheet2!$B$1:$B$132,N1608)</f>
        <v>0</v>
      </c>
      <c r="P1608" s="8">
        <f t="shared" ca="1" si="91"/>
        <v>0</v>
      </c>
      <c r="Q1608" s="8">
        <f ca="1">CEILING(R1607*(IF(N1608&lt;=IF($B$2=0,0,OFFSET(Sheet2!$B$1,Sheet1!$B$2-1,0)),$B$1/(365*100),$B$3/(365*100)))*100,1)/100</f>
        <v>153.16</v>
      </c>
      <c r="R1608" s="9">
        <f t="shared" ca="1" si="92"/>
        <v>375336.30277463992</v>
      </c>
    </row>
    <row r="1609" spans="1:18" x14ac:dyDescent="0.25">
      <c r="A1609">
        <v>15</v>
      </c>
      <c r="B1609">
        <v>8.9</v>
      </c>
      <c r="C1609">
        <v>5</v>
      </c>
      <c r="D1609">
        <v>18.899999999999999</v>
      </c>
      <c r="E1609">
        <v>39</v>
      </c>
      <c r="F1609">
        <v>3.3286631214668835E-2</v>
      </c>
      <c r="G1609" t="str">
        <f t="shared" si="90"/>
        <v>Insert into BlueCreditTypeRainbow Values (15, 8.9, 5, 18.9, 39, 0.0332866312146688)</v>
      </c>
      <c r="N1609" s="4">
        <v>1606</v>
      </c>
      <c r="O1609" s="8">
        <f>$B$7*COUNTIF(Sheet2!$B$1:$B$132,N1609)</f>
        <v>0</v>
      </c>
      <c r="P1609" s="8">
        <f t="shared" ca="1" si="91"/>
        <v>0</v>
      </c>
      <c r="Q1609" s="8">
        <f ca="1">CEILING(R1608*(IF(N1609&lt;=IF($B$2=0,0,OFFSET(Sheet2!$B$1,Sheet1!$B$2-1,0)),$B$1/(365*100),$B$3/(365*100)))*100,1)/100</f>
        <v>153.22</v>
      </c>
      <c r="R1609" s="9">
        <f t="shared" ca="1" si="92"/>
        <v>375489.52277463989</v>
      </c>
    </row>
    <row r="1610" spans="1:18" x14ac:dyDescent="0.25">
      <c r="A1610">
        <v>15</v>
      </c>
      <c r="B1610">
        <v>8.9</v>
      </c>
      <c r="C1610">
        <v>5</v>
      </c>
      <c r="D1610">
        <v>18.899999999999999</v>
      </c>
      <c r="E1610">
        <v>40</v>
      </c>
      <c r="F1610">
        <v>3.2683532007748511E-2</v>
      </c>
      <c r="G1610" t="str">
        <f t="shared" si="90"/>
        <v>Insert into BlueCreditTypeRainbow Values (15, 8.9, 5, 18.9, 40, 0.0326835320077485)</v>
      </c>
      <c r="N1610" s="4">
        <v>1607</v>
      </c>
      <c r="O1610" s="8">
        <f>$B$7*COUNTIF(Sheet2!$B$1:$B$132,N1610)</f>
        <v>0</v>
      </c>
      <c r="P1610" s="8">
        <f t="shared" ca="1" si="91"/>
        <v>0</v>
      </c>
      <c r="Q1610" s="8">
        <f ca="1">CEILING(R1609*(IF(N1610&lt;=IF($B$2=0,0,OFFSET(Sheet2!$B$1,Sheet1!$B$2-1,0)),$B$1/(365*100),$B$3/(365*100)))*100,1)/100</f>
        <v>153.29</v>
      </c>
      <c r="R1610" s="9">
        <f t="shared" ca="1" si="92"/>
        <v>375642.81277463987</v>
      </c>
    </row>
    <row r="1611" spans="1:18" x14ac:dyDescent="0.25">
      <c r="A1611">
        <v>15</v>
      </c>
      <c r="B1611">
        <v>8.9</v>
      </c>
      <c r="C1611">
        <v>5</v>
      </c>
      <c r="D1611">
        <v>18.899999999999999</v>
      </c>
      <c r="E1611">
        <v>41</v>
      </c>
      <c r="F1611">
        <v>3.2110700570095727E-2</v>
      </c>
      <c r="G1611" t="str">
        <f t="shared" si="90"/>
        <v>Insert into BlueCreditTypeRainbow Values (15, 8.9, 5, 18.9, 41, 0.0321107005700957)</v>
      </c>
      <c r="N1611" s="4">
        <v>1608</v>
      </c>
      <c r="O1611" s="8">
        <f>$B$7*COUNTIF(Sheet2!$B$1:$B$132,N1611)</f>
        <v>0</v>
      </c>
      <c r="P1611" s="8">
        <f t="shared" ca="1" si="91"/>
        <v>0</v>
      </c>
      <c r="Q1611" s="8">
        <f ca="1">CEILING(R1610*(IF(N1611&lt;=IF($B$2=0,0,OFFSET(Sheet2!$B$1,Sheet1!$B$2-1,0)),$B$1/(365*100),$B$3/(365*100)))*100,1)/100</f>
        <v>153.35</v>
      </c>
      <c r="R1611" s="9">
        <f t="shared" ca="1" si="92"/>
        <v>375796.16277463984</v>
      </c>
    </row>
    <row r="1612" spans="1:18" x14ac:dyDescent="0.25">
      <c r="A1612">
        <v>15</v>
      </c>
      <c r="B1612">
        <v>8.9</v>
      </c>
      <c r="C1612">
        <v>5</v>
      </c>
      <c r="D1612">
        <v>18.899999999999999</v>
      </c>
      <c r="E1612">
        <v>42</v>
      </c>
      <c r="F1612">
        <v>3.1566263095238085E-2</v>
      </c>
      <c r="G1612" t="str">
        <f t="shared" si="90"/>
        <v>Insert into BlueCreditTypeRainbow Values (15, 8.9, 5, 18.9, 42, 0.0315662630952381)</v>
      </c>
      <c r="N1612" s="4">
        <v>1609</v>
      </c>
      <c r="O1612" s="8">
        <f>$B$7*COUNTIF(Sheet2!$B$1:$B$132,N1612)</f>
        <v>0</v>
      </c>
      <c r="P1612" s="8">
        <f t="shared" ca="1" si="91"/>
        <v>0</v>
      </c>
      <c r="Q1612" s="8">
        <f ca="1">CEILING(R1611*(IF(N1612&lt;=IF($B$2=0,0,OFFSET(Sheet2!$B$1,Sheet1!$B$2-1,0)),$B$1/(365*100),$B$3/(365*100)))*100,1)/100</f>
        <v>153.41</v>
      </c>
      <c r="R1612" s="9">
        <f t="shared" ca="1" si="92"/>
        <v>375949.57277463982</v>
      </c>
    </row>
    <row r="1613" spans="1:18" x14ac:dyDescent="0.25">
      <c r="A1613">
        <v>15</v>
      </c>
      <c r="B1613">
        <v>8.9</v>
      </c>
      <c r="C1613">
        <v>4</v>
      </c>
      <c r="D1613">
        <v>18.899999999999999</v>
      </c>
      <c r="E1613">
        <v>30</v>
      </c>
      <c r="F1613">
        <v>4.0871284697245033E-2</v>
      </c>
      <c r="G1613" t="str">
        <f t="shared" si="90"/>
        <v>Insert into BlueCreditTypeRainbow Values (15, 8.9, 4, 18.9, 30, 0.040871284697245)</v>
      </c>
      <c r="N1613" s="4">
        <v>1610</v>
      </c>
      <c r="O1613" s="8">
        <f>$B$7*COUNTIF(Sheet2!$B$1:$B$132,N1613)</f>
        <v>0</v>
      </c>
      <c r="P1613" s="8">
        <f t="shared" ca="1" si="91"/>
        <v>0</v>
      </c>
      <c r="Q1613" s="8">
        <f ca="1">CEILING(R1612*(IF(N1613&lt;=IF($B$2=0,0,OFFSET(Sheet2!$B$1,Sheet1!$B$2-1,0)),$B$1/(365*100),$B$3/(365*100)))*100,1)/100</f>
        <v>153.47</v>
      </c>
      <c r="R1613" s="9">
        <f t="shared" ca="1" si="92"/>
        <v>376103.04277463979</v>
      </c>
    </row>
    <row r="1614" spans="1:18" x14ac:dyDescent="0.25">
      <c r="A1614">
        <v>15</v>
      </c>
      <c r="B1614">
        <v>8.9</v>
      </c>
      <c r="C1614">
        <v>4</v>
      </c>
      <c r="D1614">
        <v>18.899999999999999</v>
      </c>
      <c r="E1614">
        <v>31</v>
      </c>
      <c r="F1614">
        <v>3.9839057106798505E-2</v>
      </c>
      <c r="G1614" t="str">
        <f t="shared" si="90"/>
        <v>Insert into BlueCreditTypeRainbow Values (15, 8.9, 4, 18.9, 31, 0.0398390571067985)</v>
      </c>
      <c r="N1614" s="4">
        <v>1611</v>
      </c>
      <c r="O1614" s="8">
        <f>$B$7*COUNTIF(Sheet2!$B$1:$B$132,N1614)</f>
        <v>0</v>
      </c>
      <c r="P1614" s="8">
        <f t="shared" ca="1" si="91"/>
        <v>0</v>
      </c>
      <c r="Q1614" s="8">
        <f ca="1">CEILING(R1613*(IF(N1614&lt;=IF($B$2=0,0,OFFSET(Sheet2!$B$1,Sheet1!$B$2-1,0)),$B$1/(365*100),$B$3/(365*100)))*100,1)/100</f>
        <v>153.54</v>
      </c>
      <c r="R1614" s="9">
        <f t="shared" ca="1" si="92"/>
        <v>376256.58277463977</v>
      </c>
    </row>
    <row r="1615" spans="1:18" x14ac:dyDescent="0.25">
      <c r="A1615">
        <v>15</v>
      </c>
      <c r="B1615">
        <v>8.9</v>
      </c>
      <c r="C1615">
        <v>4</v>
      </c>
      <c r="D1615">
        <v>18.899999999999999</v>
      </c>
      <c r="E1615">
        <v>32</v>
      </c>
      <c r="F1615">
        <v>3.8872436875000006E-2</v>
      </c>
      <c r="G1615" t="str">
        <f t="shared" ref="G1615:G1678" si="93">CONCATENATE("Insert into BlueCreditTypeRainbow Values (",A1615,", ",B1615,", ",C1615,", ",D1615,", ",E1615,", ",F1615,")")</f>
        <v>Insert into BlueCreditTypeRainbow Values (15, 8.9, 4, 18.9, 32, 0.038872436875)</v>
      </c>
      <c r="N1615" s="4">
        <v>1612</v>
      </c>
      <c r="O1615" s="8">
        <f>$B$7*COUNTIF(Sheet2!$B$1:$B$132,N1615)</f>
        <v>0</v>
      </c>
      <c r="P1615" s="8">
        <f t="shared" ca="1" si="91"/>
        <v>0</v>
      </c>
      <c r="Q1615" s="8">
        <f ca="1">CEILING(R1614*(IF(N1615&lt;=IF($B$2=0,0,OFFSET(Sheet2!$B$1,Sheet1!$B$2-1,0)),$B$1/(365*100),$B$3/(365*100)))*100,1)/100</f>
        <v>153.6</v>
      </c>
      <c r="R1615" s="9">
        <f t="shared" ca="1" si="92"/>
        <v>376410.18277463975</v>
      </c>
    </row>
    <row r="1616" spans="1:18" x14ac:dyDescent="0.25">
      <c r="A1616">
        <v>15</v>
      </c>
      <c r="B1616">
        <v>8.9</v>
      </c>
      <c r="C1616">
        <v>4</v>
      </c>
      <c r="D1616">
        <v>18.899999999999999</v>
      </c>
      <c r="E1616">
        <v>33</v>
      </c>
      <c r="F1616">
        <v>3.7965928484848484E-2</v>
      </c>
      <c r="G1616" t="str">
        <f t="shared" si="93"/>
        <v>Insert into BlueCreditTypeRainbow Values (15, 8.9, 4, 18.9, 33, 0.0379659284848485)</v>
      </c>
      <c r="N1616" s="4">
        <v>1613</v>
      </c>
      <c r="O1616" s="8">
        <f>$B$7*COUNTIF(Sheet2!$B$1:$B$132,N1616)</f>
        <v>0</v>
      </c>
      <c r="P1616" s="8">
        <f t="shared" ca="1" si="91"/>
        <v>0</v>
      </c>
      <c r="Q1616" s="8">
        <f ca="1">CEILING(R1615*(IF(N1616&lt;=IF($B$2=0,0,OFFSET(Sheet2!$B$1,Sheet1!$B$2-1,0)),$B$1/(365*100),$B$3/(365*100)))*100,1)/100</f>
        <v>153.66</v>
      </c>
      <c r="R1616" s="9">
        <f t="shared" ca="1" si="92"/>
        <v>376563.84277463972</v>
      </c>
    </row>
    <row r="1617" spans="1:18" x14ac:dyDescent="0.25">
      <c r="A1617">
        <v>15</v>
      </c>
      <c r="B1617">
        <v>8.9</v>
      </c>
      <c r="C1617">
        <v>4</v>
      </c>
      <c r="D1617">
        <v>18.899999999999999</v>
      </c>
      <c r="E1617">
        <v>34</v>
      </c>
      <c r="F1617">
        <v>3.711376885134212E-2</v>
      </c>
      <c r="G1617" t="str">
        <f t="shared" si="93"/>
        <v>Insert into BlueCreditTypeRainbow Values (15, 8.9, 4, 18.9, 34, 0.0371137688513421)</v>
      </c>
      <c r="N1617" s="4">
        <v>1614</v>
      </c>
      <c r="O1617" s="8">
        <f>$B$7*COUNTIF(Sheet2!$B$1:$B$132,N1617)</f>
        <v>0</v>
      </c>
      <c r="P1617" s="8">
        <f t="shared" ca="1" si="91"/>
        <v>0</v>
      </c>
      <c r="Q1617" s="8">
        <f ca="1">CEILING(R1616*(IF(N1617&lt;=IF($B$2=0,0,OFFSET(Sheet2!$B$1,Sheet1!$B$2-1,0)),$B$1/(365*100),$B$3/(365*100)))*100,1)/100</f>
        <v>153.72999999999999</v>
      </c>
      <c r="R1617" s="9">
        <f t="shared" ca="1" si="92"/>
        <v>376717.5727746397</v>
      </c>
    </row>
    <row r="1618" spans="1:18" x14ac:dyDescent="0.25">
      <c r="A1618">
        <v>15</v>
      </c>
      <c r="B1618">
        <v>8.9</v>
      </c>
      <c r="C1618">
        <v>4</v>
      </c>
      <c r="D1618">
        <v>18.899999999999999</v>
      </c>
      <c r="E1618">
        <v>35</v>
      </c>
      <c r="F1618">
        <v>3.6311723714285711E-2</v>
      </c>
      <c r="G1618" t="str">
        <f t="shared" si="93"/>
        <v>Insert into BlueCreditTypeRainbow Values (15, 8.9, 4, 18.9, 35, 0.0363117237142857)</v>
      </c>
      <c r="N1618" s="4">
        <v>1615</v>
      </c>
      <c r="O1618" s="8">
        <f>$B$7*COUNTIF(Sheet2!$B$1:$B$132,N1618)</f>
        <v>0</v>
      </c>
      <c r="P1618" s="8">
        <f t="shared" ca="1" si="91"/>
        <v>0</v>
      </c>
      <c r="Q1618" s="8">
        <f ca="1">CEILING(R1617*(IF(N1618&lt;=IF($B$2=0,0,OFFSET(Sheet2!$B$1,Sheet1!$B$2-1,0)),$B$1/(365*100),$B$3/(365*100)))*100,1)/100</f>
        <v>153.79</v>
      </c>
      <c r="R1618" s="9">
        <f t="shared" ca="1" si="92"/>
        <v>376871.36277463968</v>
      </c>
    </row>
    <row r="1619" spans="1:18" x14ac:dyDescent="0.25">
      <c r="A1619">
        <v>15</v>
      </c>
      <c r="B1619">
        <v>8.9</v>
      </c>
      <c r="C1619">
        <v>4</v>
      </c>
      <c r="D1619">
        <v>18.899999999999999</v>
      </c>
      <c r="E1619">
        <v>36</v>
      </c>
      <c r="F1619">
        <v>3.5555189722222227E-2</v>
      </c>
      <c r="G1619" t="str">
        <f t="shared" si="93"/>
        <v>Insert into BlueCreditTypeRainbow Values (15, 8.9, 4, 18.9, 36, 0.0355551897222222)</v>
      </c>
      <c r="N1619" s="4">
        <v>1616</v>
      </c>
      <c r="O1619" s="8">
        <f>$B$7*COUNTIF(Sheet2!$B$1:$B$132,N1619)</f>
        <v>21157.10552356458</v>
      </c>
      <c r="P1619" s="8">
        <f t="shared" ca="1" si="91"/>
        <v>21003.255523564581</v>
      </c>
      <c r="Q1619" s="8">
        <f ca="1">CEILING(R1618*(IF(N1619&lt;=IF($B$2=0,0,OFFSET(Sheet2!$B$1,Sheet1!$B$2-1,0)),$B$1/(365*100),$B$3/(365*100)))*100,1)/100</f>
        <v>153.85</v>
      </c>
      <c r="R1619" s="9">
        <f t="shared" ca="1" si="92"/>
        <v>355868.1072510751</v>
      </c>
    </row>
    <row r="1620" spans="1:18" x14ac:dyDescent="0.25">
      <c r="A1620">
        <v>15</v>
      </c>
      <c r="B1620">
        <v>8.9</v>
      </c>
      <c r="C1620">
        <v>4</v>
      </c>
      <c r="D1620">
        <v>18.899999999999999</v>
      </c>
      <c r="E1620">
        <v>37</v>
      </c>
      <c r="F1620">
        <v>3.484086299059793E-2</v>
      </c>
      <c r="G1620" t="str">
        <f t="shared" si="93"/>
        <v>Insert into BlueCreditTypeRainbow Values (15, 8.9, 4, 18.9, 37, 0.0348408629905979)</v>
      </c>
      <c r="N1620" s="4">
        <v>1617</v>
      </c>
      <c r="O1620" s="8">
        <f>$B$7*COUNTIF(Sheet2!$B$1:$B$132,N1620)</f>
        <v>0</v>
      </c>
      <c r="P1620" s="8">
        <f t="shared" ca="1" si="91"/>
        <v>0</v>
      </c>
      <c r="Q1620" s="8">
        <f ca="1">CEILING(R1619*(IF(N1620&lt;=IF($B$2=0,0,OFFSET(Sheet2!$B$1,Sheet1!$B$2-1,0)),$B$1/(365*100),$B$3/(365*100)))*100,1)/100</f>
        <v>145.28</v>
      </c>
      <c r="R1620" s="9">
        <f t="shared" ca="1" si="92"/>
        <v>356013.38725107512</v>
      </c>
    </row>
    <row r="1621" spans="1:18" x14ac:dyDescent="0.25">
      <c r="A1621">
        <v>15</v>
      </c>
      <c r="B1621">
        <v>8.9</v>
      </c>
      <c r="C1621">
        <v>4</v>
      </c>
      <c r="D1621">
        <v>18.899999999999999</v>
      </c>
      <c r="E1621">
        <v>38</v>
      </c>
      <c r="F1621">
        <v>3.4165042625661328E-2</v>
      </c>
      <c r="G1621" t="str">
        <f t="shared" si="93"/>
        <v>Insert into BlueCreditTypeRainbow Values (15, 8.9, 4, 18.9, 38, 0.0341650426256613)</v>
      </c>
      <c r="N1621" s="4">
        <v>1618</v>
      </c>
      <c r="O1621" s="8">
        <f>$B$7*COUNTIF(Sheet2!$B$1:$B$132,N1621)</f>
        <v>0</v>
      </c>
      <c r="P1621" s="8">
        <f t="shared" ca="1" si="91"/>
        <v>0</v>
      </c>
      <c r="Q1621" s="8">
        <f ca="1">CEILING(R1620*(IF(N1621&lt;=IF($B$2=0,0,OFFSET(Sheet2!$B$1,Sheet1!$B$2-1,0)),$B$1/(365*100),$B$3/(365*100)))*100,1)/100</f>
        <v>145.34</v>
      </c>
      <c r="R1621" s="9">
        <f t="shared" ca="1" si="92"/>
        <v>356158.72725107515</v>
      </c>
    </row>
    <row r="1622" spans="1:18" x14ac:dyDescent="0.25">
      <c r="A1622">
        <v>15</v>
      </c>
      <c r="B1622">
        <v>8.9</v>
      </c>
      <c r="C1622">
        <v>4</v>
      </c>
      <c r="D1622">
        <v>18.899999999999999</v>
      </c>
      <c r="E1622">
        <v>39</v>
      </c>
      <c r="F1622">
        <v>3.3525093101675355E-2</v>
      </c>
      <c r="G1622" t="str">
        <f t="shared" si="93"/>
        <v>Insert into BlueCreditTypeRainbow Values (15, 8.9, 4, 18.9, 39, 0.0335250931016754)</v>
      </c>
      <c r="N1622" s="4">
        <v>1619</v>
      </c>
      <c r="O1622" s="8">
        <f>$B$7*COUNTIF(Sheet2!$B$1:$B$132,N1622)</f>
        <v>0</v>
      </c>
      <c r="P1622" s="8">
        <f t="shared" ca="1" si="91"/>
        <v>0</v>
      </c>
      <c r="Q1622" s="8">
        <f ca="1">CEILING(R1621*(IF(N1622&lt;=IF($B$2=0,0,OFFSET(Sheet2!$B$1,Sheet1!$B$2-1,0)),$B$1/(365*100),$B$3/(365*100)))*100,1)/100</f>
        <v>145.4</v>
      </c>
      <c r="R1622" s="9">
        <f t="shared" ca="1" si="92"/>
        <v>356304.12725107517</v>
      </c>
    </row>
    <row r="1623" spans="1:18" x14ac:dyDescent="0.25">
      <c r="A1623">
        <v>15</v>
      </c>
      <c r="B1623">
        <v>8.9</v>
      </c>
      <c r="C1623">
        <v>4</v>
      </c>
      <c r="D1623">
        <v>18.899999999999999</v>
      </c>
      <c r="E1623">
        <v>40</v>
      </c>
      <c r="F1623">
        <v>3.2918312499999998E-2</v>
      </c>
      <c r="G1623" t="str">
        <f t="shared" si="93"/>
        <v>Insert into BlueCreditTypeRainbow Values (15, 8.9, 4, 18.9, 40, 0.0329183125)</v>
      </c>
      <c r="N1623" s="4">
        <v>1620</v>
      </c>
      <c r="O1623" s="8">
        <f>$B$7*COUNTIF(Sheet2!$B$1:$B$132,N1623)</f>
        <v>0</v>
      </c>
      <c r="P1623" s="8">
        <f t="shared" ca="1" si="91"/>
        <v>0</v>
      </c>
      <c r="Q1623" s="8">
        <f ca="1">CEILING(R1622*(IF(N1623&lt;=IF($B$2=0,0,OFFSET(Sheet2!$B$1,Sheet1!$B$2-1,0)),$B$1/(365*100),$B$3/(365*100)))*100,1)/100</f>
        <v>145.46</v>
      </c>
      <c r="R1623" s="9">
        <f t="shared" ca="1" si="92"/>
        <v>356449.58725107519</v>
      </c>
    </row>
    <row r="1624" spans="1:18" x14ac:dyDescent="0.25">
      <c r="A1624">
        <v>15</v>
      </c>
      <c r="B1624">
        <v>8.9</v>
      </c>
      <c r="C1624">
        <v>4</v>
      </c>
      <c r="D1624">
        <v>18.899999999999999</v>
      </c>
      <c r="E1624">
        <v>41</v>
      </c>
      <c r="F1624">
        <v>3.2341967339124235E-2</v>
      </c>
      <c r="G1624" t="str">
        <f t="shared" si="93"/>
        <v>Insert into BlueCreditTypeRainbow Values (15, 8.9, 4, 18.9, 41, 0.0323419673391242)</v>
      </c>
      <c r="N1624" s="4">
        <v>1621</v>
      </c>
      <c r="O1624" s="8">
        <f>$B$7*COUNTIF(Sheet2!$B$1:$B$132,N1624)</f>
        <v>0</v>
      </c>
      <c r="P1624" s="8">
        <f t="shared" ca="1" si="91"/>
        <v>0</v>
      </c>
      <c r="Q1624" s="8">
        <f ca="1">CEILING(R1623*(IF(N1624&lt;=IF($B$2=0,0,OFFSET(Sheet2!$B$1,Sheet1!$B$2-1,0)),$B$1/(365*100),$B$3/(365*100)))*100,1)/100</f>
        <v>145.51</v>
      </c>
      <c r="R1624" s="9">
        <f t="shared" ca="1" si="92"/>
        <v>356595.0972510752</v>
      </c>
    </row>
    <row r="1625" spans="1:18" x14ac:dyDescent="0.25">
      <c r="A1625">
        <v>15</v>
      </c>
      <c r="B1625">
        <v>8.9</v>
      </c>
      <c r="C1625">
        <v>4</v>
      </c>
      <c r="D1625">
        <v>18.899999999999999</v>
      </c>
      <c r="E1625">
        <v>42</v>
      </c>
      <c r="F1625">
        <v>3.1794170476190514E-2</v>
      </c>
      <c r="G1625" t="str">
        <f t="shared" si="93"/>
        <v>Insert into BlueCreditTypeRainbow Values (15, 8.9, 4, 18.9, 42, 0.0317941704761905)</v>
      </c>
      <c r="N1625" s="4">
        <v>1622</v>
      </c>
      <c r="O1625" s="8">
        <f>$B$7*COUNTIF(Sheet2!$B$1:$B$132,N1625)</f>
        <v>0</v>
      </c>
      <c r="P1625" s="8">
        <f t="shared" ca="1" si="91"/>
        <v>0</v>
      </c>
      <c r="Q1625" s="8">
        <f ca="1">CEILING(R1624*(IF(N1625&lt;=IF($B$2=0,0,OFFSET(Sheet2!$B$1,Sheet1!$B$2-1,0)),$B$1/(365*100),$B$3/(365*100)))*100,1)/100</f>
        <v>145.57</v>
      </c>
      <c r="R1625" s="9">
        <f t="shared" ca="1" si="92"/>
        <v>356740.66725107521</v>
      </c>
    </row>
    <row r="1626" spans="1:18" x14ac:dyDescent="0.25">
      <c r="A1626">
        <v>15</v>
      </c>
      <c r="B1626">
        <v>8.9</v>
      </c>
      <c r="C1626">
        <v>3</v>
      </c>
      <c r="D1626">
        <v>18.899999999999999</v>
      </c>
      <c r="E1626">
        <v>30</v>
      </c>
      <c r="F1626">
        <v>4.117734666666667E-2</v>
      </c>
      <c r="G1626" t="str">
        <f t="shared" si="93"/>
        <v>Insert into BlueCreditTypeRainbow Values (15, 8.9, 3, 18.9, 30, 0.0411773466666667)</v>
      </c>
      <c r="N1626" s="4">
        <v>1623</v>
      </c>
      <c r="O1626" s="8">
        <f>$B$7*COUNTIF(Sheet2!$B$1:$B$132,N1626)</f>
        <v>0</v>
      </c>
      <c r="P1626" s="8">
        <f t="shared" ca="1" si="91"/>
        <v>0</v>
      </c>
      <c r="Q1626" s="8">
        <f ca="1">CEILING(R1625*(IF(N1626&lt;=IF($B$2=0,0,OFFSET(Sheet2!$B$1,Sheet1!$B$2-1,0)),$B$1/(365*100),$B$3/(365*100)))*100,1)/100</f>
        <v>145.63</v>
      </c>
      <c r="R1626" s="9">
        <f t="shared" ca="1" si="92"/>
        <v>356886.29725107522</v>
      </c>
    </row>
    <row r="1627" spans="1:18" x14ac:dyDescent="0.25">
      <c r="A1627">
        <v>15</v>
      </c>
      <c r="B1627">
        <v>8.9</v>
      </c>
      <c r="C1627">
        <v>3</v>
      </c>
      <c r="D1627">
        <v>18.899999999999999</v>
      </c>
      <c r="E1627">
        <v>31</v>
      </c>
      <c r="F1627">
        <v>4.0138422904125379E-2</v>
      </c>
      <c r="G1627" t="str">
        <f t="shared" si="93"/>
        <v>Insert into BlueCreditTypeRainbow Values (15, 8.9, 3, 18.9, 31, 0.0401384229041254)</v>
      </c>
      <c r="N1627" s="4">
        <v>1624</v>
      </c>
      <c r="O1627" s="8">
        <f>$B$7*COUNTIF(Sheet2!$B$1:$B$132,N1627)</f>
        <v>0</v>
      </c>
      <c r="P1627" s="8">
        <f t="shared" ca="1" si="91"/>
        <v>0</v>
      </c>
      <c r="Q1627" s="8">
        <f ca="1">CEILING(R1626*(IF(N1627&lt;=IF($B$2=0,0,OFFSET(Sheet2!$B$1,Sheet1!$B$2-1,0)),$B$1/(365*100),$B$3/(365*100)))*100,1)/100</f>
        <v>145.69</v>
      </c>
      <c r="R1627" s="9">
        <f t="shared" ca="1" si="92"/>
        <v>357031.98725107522</v>
      </c>
    </row>
    <row r="1628" spans="1:18" x14ac:dyDescent="0.25">
      <c r="A1628">
        <v>15</v>
      </c>
      <c r="B1628">
        <v>8.9</v>
      </c>
      <c r="C1628">
        <v>3</v>
      </c>
      <c r="D1628">
        <v>18.899999999999999</v>
      </c>
      <c r="E1628">
        <v>32</v>
      </c>
      <c r="F1628">
        <v>3.9165492209216293E-2</v>
      </c>
      <c r="G1628" t="str">
        <f t="shared" si="93"/>
        <v>Insert into BlueCreditTypeRainbow Values (15, 8.9, 3, 18.9, 32, 0.0391654922092163)</v>
      </c>
      <c r="N1628" s="4">
        <v>1625</v>
      </c>
      <c r="O1628" s="8">
        <f>$B$7*COUNTIF(Sheet2!$B$1:$B$132,N1628)</f>
        <v>0</v>
      </c>
      <c r="P1628" s="8">
        <f t="shared" ca="1" si="91"/>
        <v>0</v>
      </c>
      <c r="Q1628" s="8">
        <f ca="1">CEILING(R1627*(IF(N1628&lt;=IF($B$2=0,0,OFFSET(Sheet2!$B$1,Sheet1!$B$2-1,0)),$B$1/(365*100),$B$3/(365*100)))*100,1)/100</f>
        <v>145.75</v>
      </c>
      <c r="R1628" s="9">
        <f t="shared" ca="1" si="92"/>
        <v>357177.73725107522</v>
      </c>
    </row>
    <row r="1629" spans="1:18" x14ac:dyDescent="0.25">
      <c r="A1629">
        <v>15</v>
      </c>
      <c r="B1629">
        <v>8.9</v>
      </c>
      <c r="C1629">
        <v>3</v>
      </c>
      <c r="D1629">
        <v>18.899999999999999</v>
      </c>
      <c r="E1629">
        <v>33</v>
      </c>
      <c r="F1629">
        <v>3.8253027342589618E-2</v>
      </c>
      <c r="G1629" t="str">
        <f t="shared" si="93"/>
        <v>Insert into BlueCreditTypeRainbow Values (15, 8.9, 3, 18.9, 33, 0.0382530273425896)</v>
      </c>
      <c r="N1629" s="4">
        <v>1626</v>
      </c>
      <c r="O1629" s="8">
        <f>$B$7*COUNTIF(Sheet2!$B$1:$B$132,N1629)</f>
        <v>0</v>
      </c>
      <c r="P1629" s="8">
        <f t="shared" ca="1" si="91"/>
        <v>0</v>
      </c>
      <c r="Q1629" s="8">
        <f ca="1">CEILING(R1628*(IF(N1629&lt;=IF($B$2=0,0,OFFSET(Sheet2!$B$1,Sheet1!$B$2-1,0)),$B$1/(365*100),$B$3/(365*100)))*100,1)/100</f>
        <v>145.81</v>
      </c>
      <c r="R1629" s="9">
        <f t="shared" ca="1" si="92"/>
        <v>357323.54725107522</v>
      </c>
    </row>
    <row r="1630" spans="1:18" x14ac:dyDescent="0.25">
      <c r="A1630">
        <v>15</v>
      </c>
      <c r="B1630">
        <v>8.9</v>
      </c>
      <c r="C1630">
        <v>3</v>
      </c>
      <c r="D1630">
        <v>18.899999999999999</v>
      </c>
      <c r="E1630">
        <v>34</v>
      </c>
      <c r="F1630">
        <v>3.7395230588235337E-2</v>
      </c>
      <c r="G1630" t="str">
        <f t="shared" si="93"/>
        <v>Insert into BlueCreditTypeRainbow Values (15, 8.9, 3, 18.9, 34, 0.0373952305882353)</v>
      </c>
      <c r="N1630" s="4">
        <v>1627</v>
      </c>
      <c r="O1630" s="8">
        <f>$B$7*COUNTIF(Sheet2!$B$1:$B$132,N1630)</f>
        <v>0</v>
      </c>
      <c r="P1630" s="8">
        <f t="shared" ca="1" si="91"/>
        <v>0</v>
      </c>
      <c r="Q1630" s="8">
        <f ca="1">CEILING(R1629*(IF(N1630&lt;=IF($B$2=0,0,OFFSET(Sheet2!$B$1,Sheet1!$B$2-1,0)),$B$1/(365*100),$B$3/(365*100)))*100,1)/100</f>
        <v>145.87</v>
      </c>
      <c r="R1630" s="9">
        <f t="shared" ca="1" si="92"/>
        <v>357469.41725107521</v>
      </c>
    </row>
    <row r="1631" spans="1:18" x14ac:dyDescent="0.25">
      <c r="A1631">
        <v>15</v>
      </c>
      <c r="B1631">
        <v>8.9</v>
      </c>
      <c r="C1631">
        <v>3</v>
      </c>
      <c r="D1631">
        <v>18.899999999999999</v>
      </c>
      <c r="E1631">
        <v>35</v>
      </c>
      <c r="F1631">
        <v>3.6587830636955601E-2</v>
      </c>
      <c r="G1631" t="str">
        <f t="shared" si="93"/>
        <v>Insert into BlueCreditTypeRainbow Values (15, 8.9, 3, 18.9, 35, 0.0365878306369556)</v>
      </c>
      <c r="N1631" s="4">
        <v>1628</v>
      </c>
      <c r="O1631" s="8">
        <f>$B$7*COUNTIF(Sheet2!$B$1:$B$132,N1631)</f>
        <v>0</v>
      </c>
      <c r="P1631" s="8">
        <f t="shared" ca="1" si="91"/>
        <v>0</v>
      </c>
      <c r="Q1631" s="8">
        <f ca="1">CEILING(R1630*(IF(N1631&lt;=IF($B$2=0,0,OFFSET(Sheet2!$B$1,Sheet1!$B$2-1,0)),$B$1/(365*100),$B$3/(365*100)))*100,1)/100</f>
        <v>145.93</v>
      </c>
      <c r="R1631" s="9">
        <f t="shared" ca="1" si="92"/>
        <v>357615.3472510752</v>
      </c>
    </row>
    <row r="1632" spans="1:18" x14ac:dyDescent="0.25">
      <c r="A1632">
        <v>15</v>
      </c>
      <c r="B1632">
        <v>8.9</v>
      </c>
      <c r="C1632">
        <v>3</v>
      </c>
      <c r="D1632">
        <v>18.899999999999999</v>
      </c>
      <c r="E1632">
        <v>36</v>
      </c>
      <c r="F1632">
        <v>3.5826232777777842E-2</v>
      </c>
      <c r="G1632" t="str">
        <f t="shared" si="93"/>
        <v>Insert into BlueCreditTypeRainbow Values (15, 8.9, 3, 18.9, 36, 0.0358262327777778)</v>
      </c>
      <c r="N1632" s="4">
        <v>1629</v>
      </c>
      <c r="O1632" s="8">
        <f>$B$7*COUNTIF(Sheet2!$B$1:$B$132,N1632)</f>
        <v>0</v>
      </c>
      <c r="P1632" s="8">
        <f t="shared" ca="1" si="91"/>
        <v>0</v>
      </c>
      <c r="Q1632" s="8">
        <f ca="1">CEILING(R1631*(IF(N1632&lt;=IF($B$2=0,0,OFFSET(Sheet2!$B$1,Sheet1!$B$2-1,0)),$B$1/(365*100),$B$3/(365*100)))*100,1)/100</f>
        <v>145.99</v>
      </c>
      <c r="R1632" s="9">
        <f t="shared" ca="1" si="92"/>
        <v>357761.33725107519</v>
      </c>
    </row>
    <row r="1633" spans="1:18" x14ac:dyDescent="0.25">
      <c r="A1633">
        <v>15</v>
      </c>
      <c r="B1633">
        <v>8.9</v>
      </c>
      <c r="C1633">
        <v>3</v>
      </c>
      <c r="D1633">
        <v>18.899999999999999</v>
      </c>
      <c r="E1633">
        <v>37</v>
      </c>
      <c r="F1633">
        <v>3.5107088945421319E-2</v>
      </c>
      <c r="G1633" t="str">
        <f t="shared" si="93"/>
        <v>Insert into BlueCreditTypeRainbow Values (15, 8.9, 3, 18.9, 37, 0.0351070889454213)</v>
      </c>
      <c r="N1633" s="4">
        <v>1630</v>
      </c>
      <c r="O1633" s="8">
        <f>$B$7*COUNTIF(Sheet2!$B$1:$B$132,N1633)</f>
        <v>0</v>
      </c>
      <c r="P1633" s="8">
        <f t="shared" ca="1" si="91"/>
        <v>0</v>
      </c>
      <c r="Q1633" s="8">
        <f ca="1">CEILING(R1632*(IF(N1633&lt;=IF($B$2=0,0,OFFSET(Sheet2!$B$1,Sheet1!$B$2-1,0)),$B$1/(365*100),$B$3/(365*100)))*100,1)/100</f>
        <v>146.05000000000001</v>
      </c>
      <c r="R1633" s="9">
        <f t="shared" ca="1" si="92"/>
        <v>357907.38725107518</v>
      </c>
    </row>
    <row r="1634" spans="1:18" x14ac:dyDescent="0.25">
      <c r="A1634">
        <v>15</v>
      </c>
      <c r="B1634">
        <v>8.9</v>
      </c>
      <c r="C1634">
        <v>3</v>
      </c>
      <c r="D1634">
        <v>18.899999999999999</v>
      </c>
      <c r="E1634">
        <v>38</v>
      </c>
      <c r="F1634">
        <v>3.4426690526315792E-2</v>
      </c>
      <c r="G1634" t="str">
        <f t="shared" si="93"/>
        <v>Insert into BlueCreditTypeRainbow Values (15, 8.9, 3, 18.9, 38, 0.0344266905263158)</v>
      </c>
      <c r="N1634" s="4">
        <v>1631</v>
      </c>
      <c r="O1634" s="8">
        <f>$B$7*COUNTIF(Sheet2!$B$1:$B$132,N1634)</f>
        <v>0</v>
      </c>
      <c r="P1634" s="8">
        <f t="shared" ca="1" si="91"/>
        <v>0</v>
      </c>
      <c r="Q1634" s="8">
        <f ca="1">CEILING(R1633*(IF(N1634&lt;=IF($B$2=0,0,OFFSET(Sheet2!$B$1,Sheet1!$B$2-1,0)),$B$1/(365*100),$B$3/(365*100)))*100,1)/100</f>
        <v>146.11000000000001</v>
      </c>
      <c r="R1634" s="9">
        <f t="shared" ca="1" si="92"/>
        <v>358053.49725107517</v>
      </c>
    </row>
    <row r="1635" spans="1:18" x14ac:dyDescent="0.25">
      <c r="A1635">
        <v>15</v>
      </c>
      <c r="B1635">
        <v>8.9</v>
      </c>
      <c r="C1635">
        <v>3</v>
      </c>
      <c r="D1635">
        <v>18.899999999999999</v>
      </c>
      <c r="E1635">
        <v>39</v>
      </c>
      <c r="F1635">
        <v>3.3782386154832054E-2</v>
      </c>
      <c r="G1635" t="str">
        <f t="shared" si="93"/>
        <v>Insert into BlueCreditTypeRainbow Values (15, 8.9, 3, 18.9, 39, 0.0337823861548321)</v>
      </c>
      <c r="N1635" s="4">
        <v>1632</v>
      </c>
      <c r="O1635" s="8">
        <f>$B$7*COUNTIF(Sheet2!$B$1:$B$132,N1635)</f>
        <v>0</v>
      </c>
      <c r="P1635" s="8">
        <f t="shared" ca="1" si="91"/>
        <v>0</v>
      </c>
      <c r="Q1635" s="8">
        <f ca="1">CEILING(R1634*(IF(N1635&lt;=IF($B$2=0,0,OFFSET(Sheet2!$B$1,Sheet1!$B$2-1,0)),$B$1/(365*100),$B$3/(365*100)))*100,1)/100</f>
        <v>146.16999999999999</v>
      </c>
      <c r="R1635" s="9">
        <f t="shared" ca="1" si="92"/>
        <v>358199.66725107515</v>
      </c>
    </row>
    <row r="1636" spans="1:18" x14ac:dyDescent="0.25">
      <c r="A1636">
        <v>15</v>
      </c>
      <c r="B1636">
        <v>8.9</v>
      </c>
      <c r="C1636">
        <v>3</v>
      </c>
      <c r="D1636">
        <v>18.899999999999999</v>
      </c>
      <c r="E1636">
        <v>40</v>
      </c>
      <c r="F1636">
        <v>3.3171462022782414E-2</v>
      </c>
      <c r="G1636" t="str">
        <f t="shared" si="93"/>
        <v>Insert into BlueCreditTypeRainbow Values (15, 8.9, 3, 18.9, 40, 0.0331714620227824)</v>
      </c>
      <c r="N1636" s="4">
        <v>1633</v>
      </c>
      <c r="O1636" s="8">
        <f>$B$7*COUNTIF(Sheet2!$B$1:$B$132,N1636)</f>
        <v>0</v>
      </c>
      <c r="P1636" s="8">
        <f t="shared" ca="1" si="91"/>
        <v>0</v>
      </c>
      <c r="Q1636" s="8">
        <f ca="1">CEILING(R1635*(IF(N1636&lt;=IF($B$2=0,0,OFFSET(Sheet2!$B$1,Sheet1!$B$2-1,0)),$B$1/(365*100),$B$3/(365*100)))*100,1)/100</f>
        <v>146.22999999999999</v>
      </c>
      <c r="R1636" s="9">
        <f t="shared" ca="1" si="92"/>
        <v>358345.89725107513</v>
      </c>
    </row>
    <row r="1637" spans="1:18" x14ac:dyDescent="0.25">
      <c r="A1637">
        <v>15</v>
      </c>
      <c r="B1637">
        <v>8.9</v>
      </c>
      <c r="C1637">
        <v>3</v>
      </c>
      <c r="D1637">
        <v>18.899999999999999</v>
      </c>
      <c r="E1637">
        <v>41</v>
      </c>
      <c r="F1637">
        <v>3.2591152465608494E-2</v>
      </c>
      <c r="G1637" t="str">
        <f t="shared" si="93"/>
        <v>Insert into BlueCreditTypeRainbow Values (15, 8.9, 3, 18.9, 41, 0.0325911524656085)</v>
      </c>
      <c r="N1637" s="4">
        <v>1634</v>
      </c>
      <c r="O1637" s="8">
        <f>$B$7*COUNTIF(Sheet2!$B$1:$B$132,N1637)</f>
        <v>0</v>
      </c>
      <c r="P1637" s="8">
        <f t="shared" ca="1" si="91"/>
        <v>0</v>
      </c>
      <c r="Q1637" s="8">
        <f ca="1">CEILING(R1636*(IF(N1637&lt;=IF($B$2=0,0,OFFSET(Sheet2!$B$1,Sheet1!$B$2-1,0)),$B$1/(365*100),$B$3/(365*100)))*100,1)/100</f>
        <v>146.29</v>
      </c>
      <c r="R1637" s="9">
        <f t="shared" ca="1" si="92"/>
        <v>358492.18725107511</v>
      </c>
    </row>
    <row r="1638" spans="1:18" x14ac:dyDescent="0.25">
      <c r="A1638">
        <v>15</v>
      </c>
      <c r="B1638">
        <v>8.9</v>
      </c>
      <c r="C1638">
        <v>3</v>
      </c>
      <c r="D1638">
        <v>18.899999999999999</v>
      </c>
      <c r="E1638">
        <v>42</v>
      </c>
      <c r="F1638">
        <v>3.2039575011525954E-2</v>
      </c>
      <c r="G1638" t="str">
        <f t="shared" si="93"/>
        <v>Insert into BlueCreditTypeRainbow Values (15, 8.9, 3, 18.9, 42, 0.032039575011526)</v>
      </c>
      <c r="N1638" s="4">
        <v>1635</v>
      </c>
      <c r="O1638" s="8">
        <f>$B$7*COUNTIF(Sheet2!$B$1:$B$132,N1638)</f>
        <v>0</v>
      </c>
      <c r="P1638" s="8">
        <f t="shared" ca="1" si="91"/>
        <v>0</v>
      </c>
      <c r="Q1638" s="8">
        <f ca="1">CEILING(R1637*(IF(N1638&lt;=IF($B$2=0,0,OFFSET(Sheet2!$B$1,Sheet1!$B$2-1,0)),$B$1/(365*100),$B$3/(365*100)))*100,1)/100</f>
        <v>146.35</v>
      </c>
      <c r="R1638" s="9">
        <f t="shared" ca="1" si="92"/>
        <v>358638.53725107509</v>
      </c>
    </row>
    <row r="1639" spans="1:18" x14ac:dyDescent="0.25">
      <c r="A1639">
        <v>15</v>
      </c>
      <c r="B1639">
        <v>8.9</v>
      </c>
      <c r="C1639">
        <v>2</v>
      </c>
      <c r="D1639">
        <v>18.899999999999999</v>
      </c>
      <c r="E1639">
        <v>30</v>
      </c>
      <c r="F1639">
        <v>4.1489179999999917E-2</v>
      </c>
      <c r="G1639" t="str">
        <f t="shared" si="93"/>
        <v>Insert into BlueCreditTypeRainbow Values (15, 8.9, 2, 18.9, 30, 0.0414891799999999)</v>
      </c>
      <c r="N1639" s="4">
        <v>1636</v>
      </c>
      <c r="O1639" s="8">
        <f>$B$7*COUNTIF(Sheet2!$B$1:$B$132,N1639)</f>
        <v>0</v>
      </c>
      <c r="P1639" s="8">
        <f t="shared" ca="1" si="91"/>
        <v>0</v>
      </c>
      <c r="Q1639" s="8">
        <f ca="1">CEILING(R1638*(IF(N1639&lt;=IF($B$2=0,0,OFFSET(Sheet2!$B$1,Sheet1!$B$2-1,0)),$B$1/(365*100),$B$3/(365*100)))*100,1)/100</f>
        <v>146.41</v>
      </c>
      <c r="R1639" s="9">
        <f t="shared" ca="1" si="92"/>
        <v>358784.94725107506</v>
      </c>
    </row>
    <row r="1640" spans="1:18" x14ac:dyDescent="0.25">
      <c r="A1640">
        <v>15</v>
      </c>
      <c r="B1640">
        <v>8.9</v>
      </c>
      <c r="C1640">
        <v>2</v>
      </c>
      <c r="D1640">
        <v>18.899999999999999</v>
      </c>
      <c r="E1640">
        <v>31</v>
      </c>
      <c r="F1640">
        <v>4.0443075508607915E-2</v>
      </c>
      <c r="G1640" t="str">
        <f t="shared" si="93"/>
        <v>Insert into BlueCreditTypeRainbow Values (15, 8.9, 2, 18.9, 31, 0.0404430755086079)</v>
      </c>
      <c r="N1640" s="4">
        <v>1637</v>
      </c>
      <c r="O1640" s="8">
        <f>$B$7*COUNTIF(Sheet2!$B$1:$B$132,N1640)</f>
        <v>0</v>
      </c>
      <c r="P1640" s="8">
        <f t="shared" ca="1" si="91"/>
        <v>0</v>
      </c>
      <c r="Q1640" s="8">
        <f ca="1">CEILING(R1639*(IF(N1640&lt;=IF($B$2=0,0,OFFSET(Sheet2!$B$1,Sheet1!$B$2-1,0)),$B$1/(365*100),$B$3/(365*100)))*100,1)/100</f>
        <v>146.47</v>
      </c>
      <c r="R1640" s="9">
        <f t="shared" ca="1" si="92"/>
        <v>358931.41725107504</v>
      </c>
    </row>
    <row r="1641" spans="1:18" x14ac:dyDescent="0.25">
      <c r="A1641">
        <v>15</v>
      </c>
      <c r="B1641">
        <v>8.9</v>
      </c>
      <c r="C1641">
        <v>2</v>
      </c>
      <c r="D1641">
        <v>18.899999999999999</v>
      </c>
      <c r="E1641">
        <v>32</v>
      </c>
      <c r="F1641">
        <v>3.9463390000000001E-2</v>
      </c>
      <c r="G1641" t="str">
        <f t="shared" si="93"/>
        <v>Insert into BlueCreditTypeRainbow Values (15, 8.9, 2, 18.9, 32, 0.03946339)</v>
      </c>
      <c r="N1641" s="4">
        <v>1638</v>
      </c>
      <c r="O1641" s="8">
        <f>$B$7*COUNTIF(Sheet2!$B$1:$B$132,N1641)</f>
        <v>0</v>
      </c>
      <c r="P1641" s="8">
        <f t="shared" ca="1" si="91"/>
        <v>0</v>
      </c>
      <c r="Q1641" s="8">
        <f ca="1">CEILING(R1640*(IF(N1641&lt;=IF($B$2=0,0,OFFSET(Sheet2!$B$1,Sheet1!$B$2-1,0)),$B$1/(365*100),$B$3/(365*100)))*100,1)/100</f>
        <v>146.53</v>
      </c>
      <c r="R1641" s="9">
        <f t="shared" ca="1" si="92"/>
        <v>359077.94725107506</v>
      </c>
    </row>
    <row r="1642" spans="1:18" x14ac:dyDescent="0.25">
      <c r="A1642">
        <v>15</v>
      </c>
      <c r="B1642">
        <v>8.9</v>
      </c>
      <c r="C1642">
        <v>2</v>
      </c>
      <c r="D1642">
        <v>18.899999999999999</v>
      </c>
      <c r="E1642">
        <v>33</v>
      </c>
      <c r="F1642">
        <v>3.8544556969696969E-2</v>
      </c>
      <c r="G1642" t="str">
        <f t="shared" si="93"/>
        <v>Insert into BlueCreditTypeRainbow Values (15, 8.9, 2, 18.9, 33, 0.038544556969697)</v>
      </c>
      <c r="N1642" s="4">
        <v>1639</v>
      </c>
      <c r="O1642" s="8">
        <f>$B$7*COUNTIF(Sheet2!$B$1:$B$132,N1642)</f>
        <v>0</v>
      </c>
      <c r="P1642" s="8">
        <f t="shared" ca="1" si="91"/>
        <v>0</v>
      </c>
      <c r="Q1642" s="8">
        <f ca="1">CEILING(R1641*(IF(N1642&lt;=IF($B$2=0,0,OFFSET(Sheet2!$B$1,Sheet1!$B$2-1,0)),$B$1/(365*100),$B$3/(365*100)))*100,1)/100</f>
        <v>146.59</v>
      </c>
      <c r="R1642" s="9">
        <f t="shared" ca="1" si="92"/>
        <v>359224.53725107509</v>
      </c>
    </row>
    <row r="1643" spans="1:18" x14ac:dyDescent="0.25">
      <c r="A1643">
        <v>15</v>
      </c>
      <c r="B1643">
        <v>8.9</v>
      </c>
      <c r="C1643">
        <v>2</v>
      </c>
      <c r="D1643">
        <v>18.899999999999999</v>
      </c>
      <c r="E1643">
        <v>34</v>
      </c>
      <c r="F1643">
        <v>3.7680745027584485E-2</v>
      </c>
      <c r="G1643" t="str">
        <f t="shared" si="93"/>
        <v>Insert into BlueCreditTypeRainbow Values (15, 8.9, 2, 18.9, 34, 0.0376807450275845)</v>
      </c>
      <c r="N1643" s="4">
        <v>1640</v>
      </c>
      <c r="O1643" s="8">
        <f>$B$7*COUNTIF(Sheet2!$B$1:$B$132,N1643)</f>
        <v>0</v>
      </c>
      <c r="P1643" s="8">
        <f t="shared" ca="1" si="91"/>
        <v>0</v>
      </c>
      <c r="Q1643" s="8">
        <f ca="1">CEILING(R1642*(IF(N1643&lt;=IF($B$2=0,0,OFFSET(Sheet2!$B$1,Sheet1!$B$2-1,0)),$B$1/(365*100),$B$3/(365*100)))*100,1)/100</f>
        <v>146.65</v>
      </c>
      <c r="R1643" s="9">
        <f t="shared" ca="1" si="92"/>
        <v>359371.18725107511</v>
      </c>
    </row>
    <row r="1644" spans="1:18" x14ac:dyDescent="0.25">
      <c r="A1644">
        <v>15</v>
      </c>
      <c r="B1644">
        <v>8.9</v>
      </c>
      <c r="C1644">
        <v>2</v>
      </c>
      <c r="D1644">
        <v>18.899999999999999</v>
      </c>
      <c r="E1644">
        <v>35</v>
      </c>
      <c r="F1644">
        <v>3.6867666028214931E-2</v>
      </c>
      <c r="G1644" t="str">
        <f t="shared" si="93"/>
        <v>Insert into BlueCreditTypeRainbow Values (15, 8.9, 2, 18.9, 35, 0.0368676660282149)</v>
      </c>
      <c r="N1644" s="4">
        <v>1641</v>
      </c>
      <c r="O1644" s="8">
        <f>$B$7*COUNTIF(Sheet2!$B$1:$B$132,N1644)</f>
        <v>0</v>
      </c>
      <c r="P1644" s="8">
        <f t="shared" ca="1" si="91"/>
        <v>0</v>
      </c>
      <c r="Q1644" s="8">
        <f ca="1">CEILING(R1643*(IF(N1644&lt;=IF($B$2=0,0,OFFSET(Sheet2!$B$1,Sheet1!$B$2-1,0)),$B$1/(365*100),$B$3/(365*100)))*100,1)/100</f>
        <v>146.71</v>
      </c>
      <c r="R1644" s="9">
        <f t="shared" ca="1" si="92"/>
        <v>359517.89725107513</v>
      </c>
    </row>
    <row r="1645" spans="1:18" x14ac:dyDescent="0.25">
      <c r="A1645">
        <v>15</v>
      </c>
      <c r="B1645">
        <v>8.9</v>
      </c>
      <c r="C1645">
        <v>2</v>
      </c>
      <c r="D1645">
        <v>18.899999999999999</v>
      </c>
      <c r="E1645">
        <v>36</v>
      </c>
      <c r="F1645">
        <v>3.6100694722222201E-2</v>
      </c>
      <c r="G1645" t="str">
        <f t="shared" si="93"/>
        <v>Insert into BlueCreditTypeRainbow Values (15, 8.9, 2, 18.9, 36, 0.0361006947222222)</v>
      </c>
      <c r="N1645" s="4">
        <v>1642</v>
      </c>
      <c r="O1645" s="8">
        <f>$B$7*COUNTIF(Sheet2!$B$1:$B$132,N1645)</f>
        <v>0</v>
      </c>
      <c r="P1645" s="8">
        <f t="shared" ca="1" si="91"/>
        <v>0</v>
      </c>
      <c r="Q1645" s="8">
        <f ca="1">CEILING(R1644*(IF(N1645&lt;=IF($B$2=0,0,OFFSET(Sheet2!$B$1,Sheet1!$B$2-1,0)),$B$1/(365*100),$B$3/(365*100)))*100,1)/100</f>
        <v>146.77000000000001</v>
      </c>
      <c r="R1645" s="9">
        <f t="shared" ca="1" si="92"/>
        <v>359664.66725107515</v>
      </c>
    </row>
    <row r="1646" spans="1:18" x14ac:dyDescent="0.25">
      <c r="A1646">
        <v>15</v>
      </c>
      <c r="B1646">
        <v>8.9</v>
      </c>
      <c r="C1646">
        <v>2</v>
      </c>
      <c r="D1646">
        <v>18.899999999999999</v>
      </c>
      <c r="E1646">
        <v>37</v>
      </c>
      <c r="F1646">
        <v>3.5376459185325948E-2</v>
      </c>
      <c r="G1646" t="str">
        <f t="shared" si="93"/>
        <v>Insert into BlueCreditTypeRainbow Values (15, 8.9, 2, 18.9, 37, 0.0353764591853259)</v>
      </c>
      <c r="N1646" s="4">
        <v>1643</v>
      </c>
      <c r="O1646" s="8">
        <f>$B$7*COUNTIF(Sheet2!$B$1:$B$132,N1646)</f>
        <v>0</v>
      </c>
      <c r="P1646" s="8">
        <f t="shared" ca="1" si="91"/>
        <v>0</v>
      </c>
      <c r="Q1646" s="8">
        <f ca="1">CEILING(R1645*(IF(N1646&lt;=IF($B$2=0,0,OFFSET(Sheet2!$B$1,Sheet1!$B$2-1,0)),$B$1/(365*100),$B$3/(365*100)))*100,1)/100</f>
        <v>146.83000000000001</v>
      </c>
      <c r="R1646" s="9">
        <f t="shared" ca="1" si="92"/>
        <v>359811.49725107517</v>
      </c>
    </row>
    <row r="1647" spans="1:18" x14ac:dyDescent="0.25">
      <c r="A1647">
        <v>15</v>
      </c>
      <c r="B1647">
        <v>8.9</v>
      </c>
      <c r="C1647">
        <v>2</v>
      </c>
      <c r="D1647">
        <v>18.899999999999999</v>
      </c>
      <c r="E1647">
        <v>38</v>
      </c>
      <c r="F1647">
        <v>3.4691218246968573E-2</v>
      </c>
      <c r="G1647" t="str">
        <f t="shared" si="93"/>
        <v>Insert into BlueCreditTypeRainbow Values (15, 8.9, 2, 18.9, 38, 0.0346912182469686)</v>
      </c>
      <c r="N1647" s="4">
        <v>1644</v>
      </c>
      <c r="O1647" s="8">
        <f>$B$7*COUNTIF(Sheet2!$B$1:$B$132,N1647)</f>
        <v>0</v>
      </c>
      <c r="P1647" s="8">
        <f t="shared" ca="1" si="91"/>
        <v>0</v>
      </c>
      <c r="Q1647" s="8">
        <f ca="1">CEILING(R1646*(IF(N1647&lt;=IF($B$2=0,0,OFFSET(Sheet2!$B$1,Sheet1!$B$2-1,0)),$B$1/(365*100),$B$3/(365*100)))*100,1)/100</f>
        <v>146.88999999999999</v>
      </c>
      <c r="R1647" s="9">
        <f t="shared" ca="1" si="92"/>
        <v>359958.38725107518</v>
      </c>
    </row>
    <row r="1648" spans="1:18" x14ac:dyDescent="0.25">
      <c r="A1648">
        <v>15</v>
      </c>
      <c r="B1648">
        <v>8.9</v>
      </c>
      <c r="C1648">
        <v>2</v>
      </c>
      <c r="D1648">
        <v>18.899999999999999</v>
      </c>
      <c r="E1648">
        <v>39</v>
      </c>
      <c r="F1648">
        <v>3.4042321025641017E-2</v>
      </c>
      <c r="G1648" t="str">
        <f t="shared" si="93"/>
        <v>Insert into BlueCreditTypeRainbow Values (15, 8.9, 2, 18.9, 39, 0.034042321025641)</v>
      </c>
      <c r="N1648" s="4">
        <v>1645</v>
      </c>
      <c r="O1648" s="8">
        <f>$B$7*COUNTIF(Sheet2!$B$1:$B$132,N1648)</f>
        <v>0</v>
      </c>
      <c r="P1648" s="8">
        <f t="shared" ca="1" si="91"/>
        <v>0</v>
      </c>
      <c r="Q1648" s="8">
        <f ca="1">CEILING(R1647*(IF(N1648&lt;=IF($B$2=0,0,OFFSET(Sheet2!$B$1,Sheet1!$B$2-1,0)),$B$1/(365*100),$B$3/(365*100)))*100,1)/100</f>
        <v>146.94999999999999</v>
      </c>
      <c r="R1648" s="9">
        <f t="shared" ca="1" si="92"/>
        <v>360105.33725107519</v>
      </c>
    </row>
    <row r="1649" spans="1:18" x14ac:dyDescent="0.25">
      <c r="A1649">
        <v>15</v>
      </c>
      <c r="B1649">
        <v>8.9</v>
      </c>
      <c r="C1649">
        <v>2</v>
      </c>
      <c r="D1649">
        <v>18.899999999999999</v>
      </c>
      <c r="E1649">
        <v>40</v>
      </c>
      <c r="F1649">
        <v>3.3427033446115258E-2</v>
      </c>
      <c r="G1649" t="str">
        <f t="shared" si="93"/>
        <v>Insert into BlueCreditTypeRainbow Values (15, 8.9, 2, 18.9, 40, 0.0334270334461153)</v>
      </c>
      <c r="N1649" s="4">
        <v>1646</v>
      </c>
      <c r="O1649" s="8">
        <f>$B$7*COUNTIF(Sheet2!$B$1:$B$132,N1649)</f>
        <v>21157.10552356458</v>
      </c>
      <c r="P1649" s="8">
        <f t="shared" ca="1" si="91"/>
        <v>21010.095523564582</v>
      </c>
      <c r="Q1649" s="8">
        <f ca="1">CEILING(R1648*(IF(N1649&lt;=IF($B$2=0,0,OFFSET(Sheet2!$B$1,Sheet1!$B$2-1,0)),$B$1/(365*100),$B$3/(365*100)))*100,1)/100</f>
        <v>147.01</v>
      </c>
      <c r="R1649" s="9">
        <f t="shared" ca="1" si="92"/>
        <v>339095.24172751064</v>
      </c>
    </row>
    <row r="1650" spans="1:18" x14ac:dyDescent="0.25">
      <c r="A1650">
        <v>15</v>
      </c>
      <c r="B1650">
        <v>8.9</v>
      </c>
      <c r="C1650">
        <v>2</v>
      </c>
      <c r="D1650">
        <v>18.899999999999999</v>
      </c>
      <c r="E1650">
        <v>41</v>
      </c>
      <c r="F1650">
        <v>3.2842562463247259E-2</v>
      </c>
      <c r="G1650" t="str">
        <f t="shared" si="93"/>
        <v>Insert into BlueCreditTypeRainbow Values (15, 8.9, 2, 18.9, 41, 0.0328425624632473)</v>
      </c>
      <c r="N1650" s="4">
        <v>1647</v>
      </c>
      <c r="O1650" s="8">
        <f>$B$7*COUNTIF(Sheet2!$B$1:$B$132,N1650)</f>
        <v>0</v>
      </c>
      <c r="P1650" s="8">
        <f t="shared" ca="1" si="91"/>
        <v>0</v>
      </c>
      <c r="Q1650" s="8">
        <f ca="1">CEILING(R1649*(IF(N1650&lt;=IF($B$2=0,0,OFFSET(Sheet2!$B$1,Sheet1!$B$2-1,0)),$B$1/(365*100),$B$3/(365*100)))*100,1)/100</f>
        <v>138.43</v>
      </c>
      <c r="R1650" s="9">
        <f t="shared" ca="1" si="92"/>
        <v>339233.67172751063</v>
      </c>
    </row>
    <row r="1651" spans="1:18" x14ac:dyDescent="0.25">
      <c r="A1651">
        <v>15</v>
      </c>
      <c r="B1651">
        <v>8.9</v>
      </c>
      <c r="C1651">
        <v>2</v>
      </c>
      <c r="D1651">
        <v>18.899999999999999</v>
      </c>
      <c r="E1651">
        <v>42</v>
      </c>
      <c r="F1651">
        <v>3.228702000000002E-2</v>
      </c>
      <c r="G1651" t="str">
        <f t="shared" si="93"/>
        <v>Insert into BlueCreditTypeRainbow Values (15, 8.9, 2, 18.9, 42, 0.03228702)</v>
      </c>
      <c r="N1651" s="4">
        <v>1648</v>
      </c>
      <c r="O1651" s="8">
        <f>$B$7*COUNTIF(Sheet2!$B$1:$B$132,N1651)</f>
        <v>0</v>
      </c>
      <c r="P1651" s="8">
        <f t="shared" ca="1" si="91"/>
        <v>0</v>
      </c>
      <c r="Q1651" s="8">
        <f ca="1">CEILING(R1650*(IF(N1651&lt;=IF($B$2=0,0,OFFSET(Sheet2!$B$1,Sheet1!$B$2-1,0)),$B$1/(365*100),$B$3/(365*100)))*100,1)/100</f>
        <v>138.49</v>
      </c>
      <c r="R1651" s="9">
        <f t="shared" ca="1" si="92"/>
        <v>339372.16172751063</v>
      </c>
    </row>
    <row r="1652" spans="1:18" x14ac:dyDescent="0.25">
      <c r="A1652">
        <v>15</v>
      </c>
      <c r="B1652">
        <v>8.9</v>
      </c>
      <c r="C1652">
        <v>1</v>
      </c>
      <c r="D1652">
        <v>18.899999999999999</v>
      </c>
      <c r="E1652">
        <v>30</v>
      </c>
      <c r="F1652">
        <v>4.1817253000000006E-2</v>
      </c>
      <c r="G1652" t="str">
        <f t="shared" si="93"/>
        <v>Insert into BlueCreditTypeRainbow Values (15, 8.9, 1, 18.9, 30, 0.041817253)</v>
      </c>
      <c r="N1652" s="4">
        <v>1649</v>
      </c>
      <c r="O1652" s="8">
        <f>$B$7*COUNTIF(Sheet2!$B$1:$B$132,N1652)</f>
        <v>0</v>
      </c>
      <c r="P1652" s="8">
        <f t="shared" ca="1" si="91"/>
        <v>0</v>
      </c>
      <c r="Q1652" s="8">
        <f ca="1">CEILING(R1651*(IF(N1652&lt;=IF($B$2=0,0,OFFSET(Sheet2!$B$1,Sheet1!$B$2-1,0)),$B$1/(365*100),$B$3/(365*100)))*100,1)/100</f>
        <v>138.54</v>
      </c>
      <c r="R1652" s="9">
        <f t="shared" ca="1" si="92"/>
        <v>339510.7017275106</v>
      </c>
    </row>
    <row r="1653" spans="1:18" x14ac:dyDescent="0.25">
      <c r="A1653">
        <v>15</v>
      </c>
      <c r="B1653">
        <v>8.9</v>
      </c>
      <c r="C1653">
        <v>1</v>
      </c>
      <c r="D1653">
        <v>18.899999999999999</v>
      </c>
      <c r="E1653">
        <v>31</v>
      </c>
      <c r="F1653">
        <v>4.0763223256426277E-2</v>
      </c>
      <c r="G1653" t="str">
        <f t="shared" si="93"/>
        <v>Insert into BlueCreditTypeRainbow Values (15, 8.9, 1, 18.9, 31, 0.0407632232564263)</v>
      </c>
      <c r="N1653" s="4">
        <v>1650</v>
      </c>
      <c r="O1653" s="8">
        <f>$B$7*COUNTIF(Sheet2!$B$1:$B$132,N1653)</f>
        <v>0</v>
      </c>
      <c r="P1653" s="8">
        <f t="shared" ca="1" si="91"/>
        <v>0</v>
      </c>
      <c r="Q1653" s="8">
        <f ca="1">CEILING(R1652*(IF(N1653&lt;=IF($B$2=0,0,OFFSET(Sheet2!$B$1,Sheet1!$B$2-1,0)),$B$1/(365*100),$B$3/(365*100)))*100,1)/100</f>
        <v>138.6</v>
      </c>
      <c r="R1653" s="9">
        <f t="shared" ca="1" si="92"/>
        <v>339649.30172751058</v>
      </c>
    </row>
    <row r="1654" spans="1:18" x14ac:dyDescent="0.25">
      <c r="A1654">
        <v>15</v>
      </c>
      <c r="B1654">
        <v>8.9</v>
      </c>
      <c r="C1654">
        <v>1</v>
      </c>
      <c r="D1654">
        <v>18.899999999999999</v>
      </c>
      <c r="E1654">
        <v>32</v>
      </c>
      <c r="F1654">
        <v>3.9776102499999993E-2</v>
      </c>
      <c r="G1654" t="str">
        <f t="shared" si="93"/>
        <v>Insert into BlueCreditTypeRainbow Values (15, 8.9, 1, 18.9, 32, 0.0397761025)</v>
      </c>
      <c r="N1654" s="4">
        <v>1651</v>
      </c>
      <c r="O1654" s="8">
        <f>$B$7*COUNTIF(Sheet2!$B$1:$B$132,N1654)</f>
        <v>0</v>
      </c>
      <c r="P1654" s="8">
        <f t="shared" ca="1" si="91"/>
        <v>0</v>
      </c>
      <c r="Q1654" s="8">
        <f ca="1">CEILING(R1653*(IF(N1654&lt;=IF($B$2=0,0,OFFSET(Sheet2!$B$1,Sheet1!$B$2-1,0)),$B$1/(365*100),$B$3/(365*100)))*100,1)/100</f>
        <v>138.66</v>
      </c>
      <c r="R1654" s="9">
        <f t="shared" ca="1" si="92"/>
        <v>339787.96172751056</v>
      </c>
    </row>
    <row r="1655" spans="1:18" x14ac:dyDescent="0.25">
      <c r="A1655">
        <v>15</v>
      </c>
      <c r="B1655">
        <v>8.9</v>
      </c>
      <c r="C1655">
        <v>1</v>
      </c>
      <c r="D1655">
        <v>18.899999999999999</v>
      </c>
      <c r="E1655">
        <v>33</v>
      </c>
      <c r="F1655">
        <v>3.8850274857096176E-2</v>
      </c>
      <c r="G1655" t="str">
        <f t="shared" si="93"/>
        <v>Insert into BlueCreditTypeRainbow Values (15, 8.9, 1, 18.9, 33, 0.0388502748570962)</v>
      </c>
      <c r="N1655" s="4">
        <v>1652</v>
      </c>
      <c r="O1655" s="8">
        <f>$B$7*COUNTIF(Sheet2!$B$1:$B$132,N1655)</f>
        <v>0</v>
      </c>
      <c r="P1655" s="8">
        <f t="shared" ca="1" si="91"/>
        <v>0</v>
      </c>
      <c r="Q1655" s="8">
        <f ca="1">CEILING(R1654*(IF(N1655&lt;=IF($B$2=0,0,OFFSET(Sheet2!$B$1,Sheet1!$B$2-1,0)),$B$1/(365*100),$B$3/(365*100)))*100,1)/100</f>
        <v>138.71</v>
      </c>
      <c r="R1655" s="9">
        <f t="shared" ca="1" si="92"/>
        <v>339926.67172751058</v>
      </c>
    </row>
    <row r="1656" spans="1:18" x14ac:dyDescent="0.25">
      <c r="A1656">
        <v>15</v>
      </c>
      <c r="B1656">
        <v>8.9</v>
      </c>
      <c r="C1656">
        <v>1</v>
      </c>
      <c r="D1656">
        <v>18.899999999999999</v>
      </c>
      <c r="E1656">
        <v>34</v>
      </c>
      <c r="F1656">
        <v>3.7979888670899416E-2</v>
      </c>
      <c r="G1656" t="str">
        <f t="shared" si="93"/>
        <v>Insert into BlueCreditTypeRainbow Values (15, 8.9, 1, 18.9, 34, 0.0379798886708994)</v>
      </c>
      <c r="N1656" s="4">
        <v>1653</v>
      </c>
      <c r="O1656" s="8">
        <f>$B$7*COUNTIF(Sheet2!$B$1:$B$132,N1656)</f>
        <v>0</v>
      </c>
      <c r="P1656" s="8">
        <f t="shared" ca="1" si="91"/>
        <v>0</v>
      </c>
      <c r="Q1656" s="8">
        <f ca="1">CEILING(R1655*(IF(N1656&lt;=IF($B$2=0,0,OFFSET(Sheet2!$B$1,Sheet1!$B$2-1,0)),$B$1/(365*100),$B$3/(365*100)))*100,1)/100</f>
        <v>138.77000000000001</v>
      </c>
      <c r="R1656" s="9">
        <f t="shared" ca="1" si="92"/>
        <v>340065.4417275106</v>
      </c>
    </row>
    <row r="1657" spans="1:18" x14ac:dyDescent="0.25">
      <c r="A1657">
        <v>15</v>
      </c>
      <c r="B1657">
        <v>8.9</v>
      </c>
      <c r="C1657">
        <v>1</v>
      </c>
      <c r="D1657">
        <v>18.899999999999999</v>
      </c>
      <c r="E1657">
        <v>35</v>
      </c>
      <c r="F1657">
        <v>3.716060457142862E-2</v>
      </c>
      <c r="G1657" t="str">
        <f t="shared" si="93"/>
        <v>Insert into BlueCreditTypeRainbow Values (15, 8.9, 1, 18.9, 35, 0.0371606045714286)</v>
      </c>
      <c r="N1657" s="4">
        <v>1654</v>
      </c>
      <c r="O1657" s="8">
        <f>$B$7*COUNTIF(Sheet2!$B$1:$B$132,N1657)</f>
        <v>0</v>
      </c>
      <c r="P1657" s="8">
        <f t="shared" ca="1" si="91"/>
        <v>0</v>
      </c>
      <c r="Q1657" s="8">
        <f ca="1">CEILING(R1656*(IF(N1657&lt;=IF($B$2=0,0,OFFSET(Sheet2!$B$1,Sheet1!$B$2-1,0)),$B$1/(365*100),$B$3/(365*100)))*100,1)/100</f>
        <v>138.83000000000001</v>
      </c>
      <c r="R1657" s="9">
        <f t="shared" ca="1" si="92"/>
        <v>340204.27172751061</v>
      </c>
    </row>
    <row r="1658" spans="1:18" x14ac:dyDescent="0.25">
      <c r="A1658">
        <v>15</v>
      </c>
      <c r="B1658">
        <v>8.9</v>
      </c>
      <c r="C1658">
        <v>1</v>
      </c>
      <c r="D1658">
        <v>18.899999999999999</v>
      </c>
      <c r="E1658">
        <v>36</v>
      </c>
      <c r="F1658">
        <v>3.6387766965812036E-2</v>
      </c>
      <c r="G1658" t="str">
        <f t="shared" si="93"/>
        <v>Insert into BlueCreditTypeRainbow Values (15, 8.9, 1, 18.9, 36, 0.036387766965812)</v>
      </c>
      <c r="N1658" s="4">
        <v>1655</v>
      </c>
      <c r="O1658" s="8">
        <f>$B$7*COUNTIF(Sheet2!$B$1:$B$132,N1658)</f>
        <v>0</v>
      </c>
      <c r="P1658" s="8">
        <f t="shared" ca="1" si="91"/>
        <v>0</v>
      </c>
      <c r="Q1658" s="8">
        <f ca="1">CEILING(R1657*(IF(N1658&lt;=IF($B$2=0,0,OFFSET(Sheet2!$B$1,Sheet1!$B$2-1,0)),$B$1/(365*100),$B$3/(365*100)))*100,1)/100</f>
        <v>138.88</v>
      </c>
      <c r="R1658" s="9">
        <f t="shared" ca="1" si="92"/>
        <v>340343.15172751062</v>
      </c>
    </row>
    <row r="1659" spans="1:18" x14ac:dyDescent="0.25">
      <c r="A1659">
        <v>15</v>
      </c>
      <c r="B1659">
        <v>8.9</v>
      </c>
      <c r="C1659">
        <v>1</v>
      </c>
      <c r="D1659">
        <v>18.899999999999999</v>
      </c>
      <c r="E1659">
        <v>37</v>
      </c>
      <c r="F1659">
        <v>3.5657975795118133E-2</v>
      </c>
      <c r="G1659" t="str">
        <f t="shared" si="93"/>
        <v>Insert into BlueCreditTypeRainbow Values (15, 8.9, 1, 18.9, 37, 0.0356579757951181)</v>
      </c>
      <c r="N1659" s="4">
        <v>1656</v>
      </c>
      <c r="O1659" s="8">
        <f>$B$7*COUNTIF(Sheet2!$B$1:$B$132,N1659)</f>
        <v>0</v>
      </c>
      <c r="P1659" s="8">
        <f t="shared" ca="1" si="91"/>
        <v>0</v>
      </c>
      <c r="Q1659" s="8">
        <f ca="1">CEILING(R1658*(IF(N1659&lt;=IF($B$2=0,0,OFFSET(Sheet2!$B$1,Sheet1!$B$2-1,0)),$B$1/(365*100),$B$3/(365*100)))*100,1)/100</f>
        <v>138.94</v>
      </c>
      <c r="R1659" s="9">
        <f t="shared" ca="1" si="92"/>
        <v>340482.09172751062</v>
      </c>
    </row>
    <row r="1660" spans="1:18" x14ac:dyDescent="0.25">
      <c r="A1660">
        <v>15</v>
      </c>
      <c r="B1660">
        <v>8.9</v>
      </c>
      <c r="C1660">
        <v>1</v>
      </c>
      <c r="D1660">
        <v>18.899999999999999</v>
      </c>
      <c r="E1660">
        <v>38</v>
      </c>
      <c r="F1660">
        <v>3.4967489210526323E-2</v>
      </c>
      <c r="G1660" t="str">
        <f t="shared" si="93"/>
        <v>Insert into BlueCreditTypeRainbow Values (15, 8.9, 1, 18.9, 38, 0.0349674892105263)</v>
      </c>
      <c r="N1660" s="4">
        <v>1657</v>
      </c>
      <c r="O1660" s="8">
        <f>$B$7*COUNTIF(Sheet2!$B$1:$B$132,N1660)</f>
        <v>0</v>
      </c>
      <c r="P1660" s="8">
        <f t="shared" ca="1" si="91"/>
        <v>0</v>
      </c>
      <c r="Q1660" s="8">
        <f ca="1">CEILING(R1659*(IF(N1660&lt;=IF($B$2=0,0,OFFSET(Sheet2!$B$1,Sheet1!$B$2-1,0)),$B$1/(365*100),$B$3/(365*100)))*100,1)/100</f>
        <v>139</v>
      </c>
      <c r="R1660" s="9">
        <f t="shared" ca="1" si="92"/>
        <v>340621.09172751062</v>
      </c>
    </row>
    <row r="1661" spans="1:18" x14ac:dyDescent="0.25">
      <c r="A1661">
        <v>15</v>
      </c>
      <c r="B1661">
        <v>8.9</v>
      </c>
      <c r="C1661">
        <v>1</v>
      </c>
      <c r="D1661">
        <v>18.899999999999999</v>
      </c>
      <c r="E1661">
        <v>39</v>
      </c>
      <c r="F1661">
        <v>3.4313604358974369E-2</v>
      </c>
      <c r="G1661" t="str">
        <f t="shared" si="93"/>
        <v>Insert into BlueCreditTypeRainbow Values (15, 8.9, 1, 18.9, 39, 0.0343136043589744)</v>
      </c>
      <c r="N1661" s="4">
        <v>1658</v>
      </c>
      <c r="O1661" s="8">
        <f>$B$7*COUNTIF(Sheet2!$B$1:$B$132,N1661)</f>
        <v>0</v>
      </c>
      <c r="P1661" s="8">
        <f t="shared" ca="1" si="91"/>
        <v>0</v>
      </c>
      <c r="Q1661" s="8">
        <f ca="1">CEILING(R1660*(IF(N1661&lt;=IF($B$2=0,0,OFFSET(Sheet2!$B$1,Sheet1!$B$2-1,0)),$B$1/(365*100),$B$3/(365*100)))*100,1)/100</f>
        <v>139.05000000000001</v>
      </c>
      <c r="R1661" s="9">
        <f t="shared" ca="1" si="92"/>
        <v>340760.14172751061</v>
      </c>
    </row>
    <row r="1662" spans="1:18" x14ac:dyDescent="0.25">
      <c r="A1662">
        <v>15</v>
      </c>
      <c r="B1662">
        <v>8.9</v>
      </c>
      <c r="C1662">
        <v>1</v>
      </c>
      <c r="D1662">
        <v>18.899999999999999</v>
      </c>
      <c r="E1662">
        <v>40</v>
      </c>
      <c r="F1662">
        <v>3.3693571773835203E-2</v>
      </c>
      <c r="G1662" t="str">
        <f t="shared" si="93"/>
        <v>Insert into BlueCreditTypeRainbow Values (15, 8.9, 1, 18.9, 40, 0.0336935717738352)</v>
      </c>
      <c r="N1662" s="4">
        <v>1659</v>
      </c>
      <c r="O1662" s="8">
        <f>$B$7*COUNTIF(Sheet2!$B$1:$B$132,N1662)</f>
        <v>0</v>
      </c>
      <c r="P1662" s="8">
        <f t="shared" ca="1" si="91"/>
        <v>0</v>
      </c>
      <c r="Q1662" s="8">
        <f ca="1">CEILING(R1661*(IF(N1662&lt;=IF($B$2=0,0,OFFSET(Sheet2!$B$1,Sheet1!$B$2-1,0)),$B$1/(365*100),$B$3/(365*100)))*100,1)/100</f>
        <v>139.11000000000001</v>
      </c>
      <c r="R1662" s="9">
        <f t="shared" ca="1" si="92"/>
        <v>340899.25172751059</v>
      </c>
    </row>
    <row r="1663" spans="1:18" x14ac:dyDescent="0.25">
      <c r="A1663">
        <v>15</v>
      </c>
      <c r="B1663">
        <v>8.9</v>
      </c>
      <c r="C1663">
        <v>1</v>
      </c>
      <c r="D1663">
        <v>18.899999999999999</v>
      </c>
      <c r="E1663">
        <v>41</v>
      </c>
      <c r="F1663">
        <v>3.3104608536585395E-2</v>
      </c>
      <c r="G1663" t="str">
        <f t="shared" si="93"/>
        <v>Insert into BlueCreditTypeRainbow Values (15, 8.9, 1, 18.9, 41, 0.0331046085365854)</v>
      </c>
      <c r="N1663" s="4">
        <v>1660</v>
      </c>
      <c r="O1663" s="8">
        <f>$B$7*COUNTIF(Sheet2!$B$1:$B$132,N1663)</f>
        <v>0</v>
      </c>
      <c r="P1663" s="8">
        <f t="shared" ca="1" si="91"/>
        <v>0</v>
      </c>
      <c r="Q1663" s="8">
        <f ca="1">CEILING(R1662*(IF(N1663&lt;=IF($B$2=0,0,OFFSET(Sheet2!$B$1,Sheet1!$B$2-1,0)),$B$1/(365*100),$B$3/(365*100)))*100,1)/100</f>
        <v>139.16999999999999</v>
      </c>
      <c r="R1663" s="9">
        <f t="shared" ca="1" si="92"/>
        <v>341038.42172751058</v>
      </c>
    </row>
    <row r="1664" spans="1:18" x14ac:dyDescent="0.25">
      <c r="A1664">
        <v>15</v>
      </c>
      <c r="B1664">
        <v>8.9</v>
      </c>
      <c r="C1664">
        <v>1</v>
      </c>
      <c r="D1664">
        <v>18.899999999999999</v>
      </c>
      <c r="E1664">
        <v>42</v>
      </c>
      <c r="F1664">
        <v>3.2544776209180906E-2</v>
      </c>
      <c r="G1664" t="str">
        <f t="shared" si="93"/>
        <v>Insert into BlueCreditTypeRainbow Values (15, 8.9, 1, 18.9, 42, 0.0325447762091809)</v>
      </c>
      <c r="N1664" s="4">
        <v>1661</v>
      </c>
      <c r="O1664" s="8">
        <f>$B$7*COUNTIF(Sheet2!$B$1:$B$132,N1664)</f>
        <v>0</v>
      </c>
      <c r="P1664" s="8">
        <f t="shared" ca="1" si="91"/>
        <v>0</v>
      </c>
      <c r="Q1664" s="8">
        <f ca="1">CEILING(R1663*(IF(N1664&lt;=IF($B$2=0,0,OFFSET(Sheet2!$B$1,Sheet1!$B$2-1,0)),$B$1/(365*100),$B$3/(365*100)))*100,1)/100</f>
        <v>139.22</v>
      </c>
      <c r="R1664" s="9">
        <f t="shared" ca="1" si="92"/>
        <v>341177.64172751055</v>
      </c>
    </row>
    <row r="1665" spans="1:18" x14ac:dyDescent="0.25">
      <c r="A1665">
        <v>15</v>
      </c>
      <c r="B1665">
        <v>8.9</v>
      </c>
      <c r="C1665">
        <v>0</v>
      </c>
      <c r="D1665">
        <v>18.899999999999999</v>
      </c>
      <c r="E1665">
        <v>30</v>
      </c>
      <c r="F1665">
        <v>4.2173790673958995E-2</v>
      </c>
      <c r="G1665" t="str">
        <f t="shared" si="93"/>
        <v>Insert into BlueCreditTypeRainbow Values (15, 8.9, 0, 18.9, 30, 0.042173790673959)</v>
      </c>
      <c r="N1665" s="4">
        <v>1662</v>
      </c>
      <c r="O1665" s="8">
        <f>$B$7*COUNTIF(Sheet2!$B$1:$B$132,N1665)</f>
        <v>0</v>
      </c>
      <c r="P1665" s="8">
        <f t="shared" ca="1" si="91"/>
        <v>0</v>
      </c>
      <c r="Q1665" s="8">
        <f ca="1">CEILING(R1664*(IF(N1665&lt;=IF($B$2=0,0,OFFSET(Sheet2!$B$1,Sheet1!$B$2-1,0)),$B$1/(365*100),$B$3/(365*100)))*100,1)/100</f>
        <v>139.28</v>
      </c>
      <c r="R1665" s="9">
        <f t="shared" ca="1" si="92"/>
        <v>341316.92172751058</v>
      </c>
    </row>
    <row r="1666" spans="1:18" x14ac:dyDescent="0.25">
      <c r="A1666">
        <v>15</v>
      </c>
      <c r="B1666">
        <v>8.9</v>
      </c>
      <c r="C1666">
        <v>0</v>
      </c>
      <c r="D1666">
        <v>18.899999999999999</v>
      </c>
      <c r="E1666">
        <v>31</v>
      </c>
      <c r="F1666">
        <v>4.1110778096049738E-2</v>
      </c>
      <c r="G1666" t="str">
        <f t="shared" si="93"/>
        <v>Insert into BlueCreditTypeRainbow Values (15, 8.9, 0, 18.9, 31, 0.0411107780960497)</v>
      </c>
      <c r="N1666" s="4">
        <v>1663</v>
      </c>
      <c r="O1666" s="8">
        <f>$B$7*COUNTIF(Sheet2!$B$1:$B$132,N1666)</f>
        <v>0</v>
      </c>
      <c r="P1666" s="8">
        <f t="shared" ca="1" si="91"/>
        <v>0</v>
      </c>
      <c r="Q1666" s="8">
        <f ca="1">CEILING(R1665*(IF(N1666&lt;=IF($B$2=0,0,OFFSET(Sheet2!$B$1,Sheet1!$B$2-1,0)),$B$1/(365*100),$B$3/(365*100)))*100,1)/100</f>
        <v>139.34</v>
      </c>
      <c r="R1666" s="9">
        <f t="shared" ca="1" si="92"/>
        <v>341456.2617275106</v>
      </c>
    </row>
    <row r="1667" spans="1:18" x14ac:dyDescent="0.25">
      <c r="A1667">
        <v>15</v>
      </c>
      <c r="B1667">
        <v>8.9</v>
      </c>
      <c r="C1667">
        <v>0</v>
      </c>
      <c r="D1667">
        <v>18.899999999999999</v>
      </c>
      <c r="E1667">
        <v>32</v>
      </c>
      <c r="F1667">
        <v>4.0115235030064991E-2</v>
      </c>
      <c r="G1667" t="str">
        <f t="shared" si="93"/>
        <v>Insert into BlueCreditTypeRainbow Values (15, 8.9, 0, 18.9, 32, 0.040115235030065)</v>
      </c>
      <c r="N1667" s="4">
        <v>1664</v>
      </c>
      <c r="O1667" s="8">
        <f>$B$7*COUNTIF(Sheet2!$B$1:$B$132,N1667)</f>
        <v>0</v>
      </c>
      <c r="P1667" s="8">
        <f t="shared" ca="1" si="91"/>
        <v>0</v>
      </c>
      <c r="Q1667" s="8">
        <f ca="1">CEILING(R1666*(IF(N1667&lt;=IF($B$2=0,0,OFFSET(Sheet2!$B$1,Sheet1!$B$2-1,0)),$B$1/(365*100),$B$3/(365*100)))*100,1)/100</f>
        <v>139.38999999999999</v>
      </c>
      <c r="R1667" s="9">
        <f t="shared" ca="1" si="92"/>
        <v>341595.65172751062</v>
      </c>
    </row>
    <row r="1668" spans="1:18" x14ac:dyDescent="0.25">
      <c r="A1668">
        <v>15</v>
      </c>
      <c r="B1668">
        <v>8.9</v>
      </c>
      <c r="C1668">
        <v>0</v>
      </c>
      <c r="D1668">
        <v>18.899999999999999</v>
      </c>
      <c r="E1668">
        <v>33</v>
      </c>
      <c r="F1668">
        <v>3.9181519115119003E-2</v>
      </c>
      <c r="G1668" t="str">
        <f t="shared" si="93"/>
        <v>Insert into BlueCreditTypeRainbow Values (15, 8.9, 0, 18.9, 33, 0.039181519115119)</v>
      </c>
      <c r="N1668" s="4">
        <v>1665</v>
      </c>
      <c r="O1668" s="8">
        <f>$B$7*COUNTIF(Sheet2!$B$1:$B$132,N1668)</f>
        <v>0</v>
      </c>
      <c r="P1668" s="8">
        <f t="shared" ca="1" si="91"/>
        <v>0</v>
      </c>
      <c r="Q1668" s="8">
        <f ca="1">CEILING(R1667*(IF(N1668&lt;=IF($B$2=0,0,OFFSET(Sheet2!$B$1,Sheet1!$B$2-1,0)),$B$1/(365*100),$B$3/(365*100)))*100,1)/100</f>
        <v>139.44999999999999</v>
      </c>
      <c r="R1668" s="9">
        <f t="shared" ca="1" si="92"/>
        <v>341735.10172751063</v>
      </c>
    </row>
    <row r="1669" spans="1:18" x14ac:dyDescent="0.25">
      <c r="A1669">
        <v>15</v>
      </c>
      <c r="B1669">
        <v>8.9</v>
      </c>
      <c r="C1669">
        <v>0</v>
      </c>
      <c r="D1669">
        <v>18.899999999999999</v>
      </c>
      <c r="E1669">
        <v>34</v>
      </c>
      <c r="F1669">
        <v>3.8303699117647111E-2</v>
      </c>
      <c r="G1669" t="str">
        <f t="shared" si="93"/>
        <v>Insert into BlueCreditTypeRainbow Values (15, 8.9, 0, 18.9, 34, 0.0383036991176471)</v>
      </c>
      <c r="N1669" s="4">
        <v>1666</v>
      </c>
      <c r="O1669" s="8">
        <f>$B$7*COUNTIF(Sheet2!$B$1:$B$132,N1669)</f>
        <v>0</v>
      </c>
      <c r="P1669" s="8">
        <f t="shared" ref="P1669:P1732" ca="1" si="94">IF(O1669-Q1669&gt; 0, O1669-Q1669, 0)</f>
        <v>0</v>
      </c>
      <c r="Q1669" s="8">
        <f ca="1">CEILING(R1668*(IF(N1669&lt;=IF($B$2=0,0,OFFSET(Sheet2!$B$1,Sheet1!$B$2-1,0)),$B$1/(365*100),$B$3/(365*100)))*100,1)/100</f>
        <v>139.51</v>
      </c>
      <c r="R1669" s="9">
        <f t="shared" ref="R1669:R1732" ca="1" si="95">R1668+Q1669-O1669</f>
        <v>341874.61172751064</v>
      </c>
    </row>
    <row r="1670" spans="1:18" x14ac:dyDescent="0.25">
      <c r="A1670">
        <v>15</v>
      </c>
      <c r="B1670">
        <v>8.9</v>
      </c>
      <c r="C1670">
        <v>0</v>
      </c>
      <c r="D1670">
        <v>18.899999999999999</v>
      </c>
      <c r="E1670">
        <v>35</v>
      </c>
      <c r="F1670">
        <v>3.7477439142857193E-2</v>
      </c>
      <c r="G1670" t="str">
        <f t="shared" si="93"/>
        <v>Insert into BlueCreditTypeRainbow Values (15, 8.9, 0, 18.9, 35, 0.0374774391428572)</v>
      </c>
      <c r="N1670" s="4">
        <v>1667</v>
      </c>
      <c r="O1670" s="8">
        <f>$B$7*COUNTIF(Sheet2!$B$1:$B$132,N1670)</f>
        <v>0</v>
      </c>
      <c r="P1670" s="8">
        <f t="shared" ca="1" si="94"/>
        <v>0</v>
      </c>
      <c r="Q1670" s="8">
        <f ca="1">CEILING(R1669*(IF(N1670&lt;=IF($B$2=0,0,OFFSET(Sheet2!$B$1,Sheet1!$B$2-1,0)),$B$1/(365*100),$B$3/(365*100)))*100,1)/100</f>
        <v>139.56</v>
      </c>
      <c r="R1670" s="9">
        <f t="shared" ca="1" si="95"/>
        <v>342014.17172751063</v>
      </c>
    </row>
    <row r="1671" spans="1:18" x14ac:dyDescent="0.25">
      <c r="A1671">
        <v>15</v>
      </c>
      <c r="B1671">
        <v>8.9</v>
      </c>
      <c r="C1671">
        <v>0</v>
      </c>
      <c r="D1671">
        <v>18.899999999999999</v>
      </c>
      <c r="E1671">
        <v>36</v>
      </c>
      <c r="F1671">
        <v>3.669800637731483E-2</v>
      </c>
      <c r="G1671" t="str">
        <f t="shared" si="93"/>
        <v>Insert into BlueCreditTypeRainbow Values (15, 8.9, 0, 18.9, 36, 0.0366980063773148)</v>
      </c>
      <c r="N1671" s="4">
        <v>1668</v>
      </c>
      <c r="O1671" s="8">
        <f>$B$7*COUNTIF(Sheet2!$B$1:$B$132,N1671)</f>
        <v>0</v>
      </c>
      <c r="P1671" s="8">
        <f t="shared" ca="1" si="94"/>
        <v>0</v>
      </c>
      <c r="Q1671" s="8">
        <f ca="1">CEILING(R1670*(IF(N1671&lt;=IF($B$2=0,0,OFFSET(Sheet2!$B$1,Sheet1!$B$2-1,0)),$B$1/(365*100),$B$3/(365*100)))*100,1)/100</f>
        <v>139.62</v>
      </c>
      <c r="R1671" s="9">
        <f t="shared" ca="1" si="95"/>
        <v>342153.79172751063</v>
      </c>
    </row>
    <row r="1672" spans="1:18" x14ac:dyDescent="0.25">
      <c r="A1672">
        <v>15</v>
      </c>
      <c r="B1672">
        <v>8.9</v>
      </c>
      <c r="C1672">
        <v>0</v>
      </c>
      <c r="D1672">
        <v>18.899999999999999</v>
      </c>
      <c r="E1672">
        <v>37</v>
      </c>
      <c r="F1672">
        <v>3.59619962429997E-2</v>
      </c>
      <c r="G1672" t="str">
        <f t="shared" si="93"/>
        <v>Insert into BlueCreditTypeRainbow Values (15, 8.9, 0, 18.9, 37, 0.0359619962429997)</v>
      </c>
      <c r="N1672" s="4">
        <v>1669</v>
      </c>
      <c r="O1672" s="8">
        <f>$B$7*COUNTIF(Sheet2!$B$1:$B$132,N1672)</f>
        <v>0</v>
      </c>
      <c r="P1672" s="8">
        <f t="shared" ca="1" si="94"/>
        <v>0</v>
      </c>
      <c r="Q1672" s="8">
        <f ca="1">CEILING(R1671*(IF(N1672&lt;=IF($B$2=0,0,OFFSET(Sheet2!$B$1,Sheet1!$B$2-1,0)),$B$1/(365*100),$B$3/(365*100)))*100,1)/100</f>
        <v>139.68</v>
      </c>
      <c r="R1672" s="9">
        <f t="shared" ca="1" si="95"/>
        <v>342293.47172751062</v>
      </c>
    </row>
    <row r="1673" spans="1:18" x14ac:dyDescent="0.25">
      <c r="A1673">
        <v>15</v>
      </c>
      <c r="B1673">
        <v>8.9</v>
      </c>
      <c r="C1673">
        <v>0</v>
      </c>
      <c r="D1673">
        <v>18.899999999999999</v>
      </c>
      <c r="E1673">
        <v>38</v>
      </c>
      <c r="F1673">
        <v>3.5265624747006542E-2</v>
      </c>
      <c r="G1673" t="str">
        <f t="shared" si="93"/>
        <v>Insert into BlueCreditTypeRainbow Values (15, 8.9, 0, 18.9, 38, 0.0352656247470065)</v>
      </c>
      <c r="N1673" s="4">
        <v>1670</v>
      </c>
      <c r="O1673" s="8">
        <f>$B$7*COUNTIF(Sheet2!$B$1:$B$132,N1673)</f>
        <v>0</v>
      </c>
      <c r="P1673" s="8">
        <f t="shared" ca="1" si="94"/>
        <v>0</v>
      </c>
      <c r="Q1673" s="8">
        <f ca="1">CEILING(R1672*(IF(N1673&lt;=IF($B$2=0,0,OFFSET(Sheet2!$B$1,Sheet1!$B$2-1,0)),$B$1/(365*100),$B$3/(365*100)))*100,1)/100</f>
        <v>139.74</v>
      </c>
      <c r="R1673" s="9">
        <f t="shared" ca="1" si="95"/>
        <v>342433.21172751061</v>
      </c>
    </row>
    <row r="1674" spans="1:18" x14ac:dyDescent="0.25">
      <c r="A1674">
        <v>15</v>
      </c>
      <c r="B1674">
        <v>8.9</v>
      </c>
      <c r="C1674">
        <v>0</v>
      </c>
      <c r="D1674">
        <v>18.899999999999999</v>
      </c>
      <c r="E1674">
        <v>39</v>
      </c>
      <c r="F1674">
        <v>3.4606156666666721E-2</v>
      </c>
      <c r="G1674" t="str">
        <f t="shared" si="93"/>
        <v>Insert into BlueCreditTypeRainbow Values (15, 8.9, 0, 18.9, 39, 0.0346061566666667)</v>
      </c>
      <c r="N1674" s="4">
        <v>1671</v>
      </c>
      <c r="O1674" s="8">
        <f>$B$7*COUNTIF(Sheet2!$B$1:$B$132,N1674)</f>
        <v>0</v>
      </c>
      <c r="P1674" s="8">
        <f t="shared" ca="1" si="94"/>
        <v>0</v>
      </c>
      <c r="Q1674" s="8">
        <f ca="1">CEILING(R1673*(IF(N1674&lt;=IF($B$2=0,0,OFFSET(Sheet2!$B$1,Sheet1!$B$2-1,0)),$B$1/(365*100),$B$3/(365*100)))*100,1)/100</f>
        <v>139.79</v>
      </c>
      <c r="R1674" s="9">
        <f t="shared" ca="1" si="95"/>
        <v>342573.00172751059</v>
      </c>
    </row>
    <row r="1675" spans="1:18" x14ac:dyDescent="0.25">
      <c r="A1675">
        <v>15</v>
      </c>
      <c r="B1675">
        <v>8.9</v>
      </c>
      <c r="C1675">
        <v>0</v>
      </c>
      <c r="D1675">
        <v>18.899999999999999</v>
      </c>
      <c r="E1675">
        <v>40</v>
      </c>
      <c r="F1675">
        <v>3.3980842730618716E-2</v>
      </c>
      <c r="G1675" t="str">
        <f t="shared" si="93"/>
        <v>Insert into BlueCreditTypeRainbow Values (15, 8.9, 0, 18.9, 40, 0.0339808427306187)</v>
      </c>
      <c r="N1675" s="4">
        <v>1672</v>
      </c>
      <c r="O1675" s="8">
        <f>$B$7*COUNTIF(Sheet2!$B$1:$B$132,N1675)</f>
        <v>0</v>
      </c>
      <c r="P1675" s="8">
        <f t="shared" ca="1" si="94"/>
        <v>0</v>
      </c>
      <c r="Q1675" s="8">
        <f ca="1">CEILING(R1674*(IF(N1675&lt;=IF($B$2=0,0,OFFSET(Sheet2!$B$1,Sheet1!$B$2-1,0)),$B$1/(365*100),$B$3/(365*100)))*100,1)/100</f>
        <v>139.85</v>
      </c>
      <c r="R1675" s="9">
        <f t="shared" ca="1" si="95"/>
        <v>342712.85172751057</v>
      </c>
    </row>
    <row r="1676" spans="1:18" x14ac:dyDescent="0.25">
      <c r="A1676">
        <v>15</v>
      </c>
      <c r="B1676">
        <v>8.9</v>
      </c>
      <c r="C1676">
        <v>0</v>
      </c>
      <c r="D1676">
        <v>18.899999999999999</v>
      </c>
      <c r="E1676">
        <v>41</v>
      </c>
      <c r="F1676">
        <v>3.3386856341463482E-2</v>
      </c>
      <c r="G1676" t="str">
        <f t="shared" si="93"/>
        <v>Insert into BlueCreditTypeRainbow Values (15, 8.9, 0, 18.9, 41, 0.0333868563414635)</v>
      </c>
      <c r="N1676" s="4">
        <v>1673</v>
      </c>
      <c r="O1676" s="8">
        <f>$B$7*COUNTIF(Sheet2!$B$1:$B$132,N1676)</f>
        <v>0</v>
      </c>
      <c r="P1676" s="8">
        <f t="shared" ca="1" si="94"/>
        <v>0</v>
      </c>
      <c r="Q1676" s="8">
        <f ca="1">CEILING(R1675*(IF(N1676&lt;=IF($B$2=0,0,OFFSET(Sheet2!$B$1,Sheet1!$B$2-1,0)),$B$1/(365*100),$B$3/(365*100)))*100,1)/100</f>
        <v>139.91</v>
      </c>
      <c r="R1676" s="9">
        <f t="shared" ca="1" si="95"/>
        <v>342852.76172751054</v>
      </c>
    </row>
    <row r="1677" spans="1:18" x14ac:dyDescent="0.25">
      <c r="A1677">
        <v>15</v>
      </c>
      <c r="B1677">
        <v>8.9</v>
      </c>
      <c r="C1677">
        <v>0</v>
      </c>
      <c r="D1677">
        <v>18.899999999999999</v>
      </c>
      <c r="E1677">
        <v>42</v>
      </c>
      <c r="F1677">
        <v>3.2822259047619068E-2</v>
      </c>
      <c r="G1677" t="str">
        <f t="shared" si="93"/>
        <v>Insert into BlueCreditTypeRainbow Values (15, 8.9, 0, 18.9, 42, 0.0328222590476191)</v>
      </c>
      <c r="N1677" s="4">
        <v>1674</v>
      </c>
      <c r="O1677" s="8">
        <f>$B$7*COUNTIF(Sheet2!$B$1:$B$132,N1677)</f>
        <v>0</v>
      </c>
      <c r="P1677" s="8">
        <f t="shared" ca="1" si="94"/>
        <v>0</v>
      </c>
      <c r="Q1677" s="8">
        <f ca="1">CEILING(R1676*(IF(N1677&lt;=IF($B$2=0,0,OFFSET(Sheet2!$B$1,Sheet1!$B$2-1,0)),$B$1/(365*100),$B$3/(365*100)))*100,1)/100</f>
        <v>139.96</v>
      </c>
      <c r="R1677" s="9">
        <f t="shared" ca="1" si="95"/>
        <v>342992.72172751056</v>
      </c>
    </row>
    <row r="1678" spans="1:18" x14ac:dyDescent="0.25">
      <c r="A1678">
        <v>16</v>
      </c>
      <c r="B1678">
        <v>9.9</v>
      </c>
      <c r="C1678">
        <v>18</v>
      </c>
      <c r="D1678">
        <v>19.899999999999999</v>
      </c>
      <c r="E1678">
        <v>36</v>
      </c>
      <c r="F1678">
        <v>3.3384868913193422E-2</v>
      </c>
      <c r="G1678" t="str">
        <f t="shared" si="93"/>
        <v>Insert into BlueCreditTypeRainbow Values (16, 9.9, 18, 19.9, 36, 0.0333848689131934)</v>
      </c>
      <c r="N1678" s="4">
        <v>1675</v>
      </c>
      <c r="O1678" s="8">
        <f>$B$7*COUNTIF(Sheet2!$B$1:$B$132,N1678)</f>
        <v>0</v>
      </c>
      <c r="P1678" s="8">
        <f t="shared" ca="1" si="94"/>
        <v>0</v>
      </c>
      <c r="Q1678" s="8">
        <f ca="1">CEILING(R1677*(IF(N1678&lt;=IF($B$2=0,0,OFFSET(Sheet2!$B$1,Sheet1!$B$2-1,0)),$B$1/(365*100),$B$3/(365*100)))*100,1)/100</f>
        <v>140.02000000000001</v>
      </c>
      <c r="R1678" s="9">
        <f t="shared" ca="1" si="95"/>
        <v>343132.74172751058</v>
      </c>
    </row>
    <row r="1679" spans="1:18" x14ac:dyDescent="0.25">
      <c r="A1679">
        <v>16</v>
      </c>
      <c r="B1679">
        <v>9.9</v>
      </c>
      <c r="C1679">
        <v>18</v>
      </c>
      <c r="D1679">
        <v>19.899999999999999</v>
      </c>
      <c r="E1679">
        <v>37</v>
      </c>
      <c r="F1679">
        <v>3.2698811624487734E-2</v>
      </c>
      <c r="G1679" t="str">
        <f t="shared" ref="G1679:G1742" si="96">CONCATENATE("Insert into BlueCreditTypeRainbow Values (",A1679,", ",B1679,", ",C1679,", ",D1679,", ",E1679,", ",F1679,")")</f>
        <v>Insert into BlueCreditTypeRainbow Values (16, 9.9, 18, 19.9, 37, 0.0326988116244877)</v>
      </c>
      <c r="N1679" s="4">
        <v>1676</v>
      </c>
      <c r="O1679" s="8">
        <f>$B$7*COUNTIF(Sheet2!$B$1:$B$132,N1679)</f>
        <v>0</v>
      </c>
      <c r="P1679" s="8">
        <f t="shared" ca="1" si="94"/>
        <v>0</v>
      </c>
      <c r="Q1679" s="8">
        <f ca="1">CEILING(R1678*(IF(N1679&lt;=IF($B$2=0,0,OFFSET(Sheet2!$B$1,Sheet1!$B$2-1,0)),$B$1/(365*100),$B$3/(365*100)))*100,1)/100</f>
        <v>140.08000000000001</v>
      </c>
      <c r="R1679" s="9">
        <f t="shared" ca="1" si="95"/>
        <v>343272.8217275106</v>
      </c>
    </row>
    <row r="1680" spans="1:18" x14ac:dyDescent="0.25">
      <c r="A1680">
        <v>16</v>
      </c>
      <c r="B1680">
        <v>9.9</v>
      </c>
      <c r="C1680">
        <v>18</v>
      </c>
      <c r="D1680">
        <v>19.899999999999999</v>
      </c>
      <c r="E1680">
        <v>38</v>
      </c>
      <c r="F1680">
        <v>3.2050853987531706E-2</v>
      </c>
      <c r="G1680" t="str">
        <f t="shared" si="96"/>
        <v>Insert into BlueCreditTypeRainbow Values (16, 9.9, 18, 19.9, 38, 0.0320508539875317)</v>
      </c>
      <c r="N1680" s="4">
        <v>1677</v>
      </c>
      <c r="O1680" s="8">
        <f>$B$7*COUNTIF(Sheet2!$B$1:$B$132,N1680)</f>
        <v>21157.10552356458</v>
      </c>
      <c r="P1680" s="8">
        <f t="shared" ca="1" si="94"/>
        <v>21016.965523564581</v>
      </c>
      <c r="Q1680" s="8">
        <f ca="1">CEILING(R1679*(IF(N1680&lt;=IF($B$2=0,0,OFFSET(Sheet2!$B$1,Sheet1!$B$2-1,0)),$B$1/(365*100),$B$3/(365*100)))*100,1)/100</f>
        <v>140.13999999999999</v>
      </c>
      <c r="R1680" s="9">
        <f t="shared" ca="1" si="95"/>
        <v>322255.85620394605</v>
      </c>
    </row>
    <row r="1681" spans="1:18" x14ac:dyDescent="0.25">
      <c r="A1681">
        <v>16</v>
      </c>
      <c r="B1681">
        <v>9.9</v>
      </c>
      <c r="C1681">
        <v>18</v>
      </c>
      <c r="D1681">
        <v>19.899999999999999</v>
      </c>
      <c r="E1681">
        <v>39</v>
      </c>
      <c r="F1681">
        <v>3.1438308226511044E-2</v>
      </c>
      <c r="G1681" t="str">
        <f t="shared" si="96"/>
        <v>Insert into BlueCreditTypeRainbow Values (16, 9.9, 18, 19.9, 39, 0.031438308226511)</v>
      </c>
      <c r="N1681" s="4">
        <v>1678</v>
      </c>
      <c r="O1681" s="8">
        <f>$B$7*COUNTIF(Sheet2!$B$1:$B$132,N1681)</f>
        <v>0</v>
      </c>
      <c r="P1681" s="8">
        <f t="shared" ca="1" si="94"/>
        <v>0</v>
      </c>
      <c r="Q1681" s="8">
        <f ca="1">CEILING(R1680*(IF(N1681&lt;=IF($B$2=0,0,OFFSET(Sheet2!$B$1,Sheet1!$B$2-1,0)),$B$1/(365*100),$B$3/(365*100)))*100,1)/100</f>
        <v>131.56</v>
      </c>
      <c r="R1681" s="9">
        <f t="shared" ca="1" si="95"/>
        <v>322387.41620394605</v>
      </c>
    </row>
    <row r="1682" spans="1:18" x14ac:dyDescent="0.25">
      <c r="A1682">
        <v>16</v>
      </c>
      <c r="B1682">
        <v>9.9</v>
      </c>
      <c r="C1682">
        <v>18</v>
      </c>
      <c r="D1682">
        <v>19.899999999999999</v>
      </c>
      <c r="E1682">
        <v>40</v>
      </c>
      <c r="F1682">
        <v>3.0858443770157801E-2</v>
      </c>
      <c r="G1682" t="str">
        <f t="shared" si="96"/>
        <v>Insert into BlueCreditTypeRainbow Values (16, 9.9, 18, 19.9, 40, 0.0308584437701578)</v>
      </c>
      <c r="N1682" s="4">
        <v>1679</v>
      </c>
      <c r="O1682" s="8">
        <f>$B$7*COUNTIF(Sheet2!$B$1:$B$132,N1682)</f>
        <v>0</v>
      </c>
      <c r="P1682" s="8">
        <f t="shared" ca="1" si="94"/>
        <v>0</v>
      </c>
      <c r="Q1682" s="8">
        <f ca="1">CEILING(R1681*(IF(N1682&lt;=IF($B$2=0,0,OFFSET(Sheet2!$B$1,Sheet1!$B$2-1,0)),$B$1/(365*100),$B$3/(365*100)))*100,1)/100</f>
        <v>131.61000000000001</v>
      </c>
      <c r="R1682" s="9">
        <f t="shared" ca="1" si="95"/>
        <v>322519.02620394604</v>
      </c>
    </row>
    <row r="1683" spans="1:18" x14ac:dyDescent="0.25">
      <c r="A1683">
        <v>16</v>
      </c>
      <c r="B1683">
        <v>9.9</v>
      </c>
      <c r="C1683">
        <v>18</v>
      </c>
      <c r="D1683">
        <v>19.899999999999999</v>
      </c>
      <c r="E1683">
        <v>41</v>
      </c>
      <c r="F1683">
        <v>3.0308469803645943E-2</v>
      </c>
      <c r="G1683" t="str">
        <f t="shared" si="96"/>
        <v>Insert into BlueCreditTypeRainbow Values (16, 9.9, 18, 19.9, 41, 0.0303084698036459)</v>
      </c>
      <c r="N1683" s="4">
        <v>1680</v>
      </c>
      <c r="O1683" s="8">
        <f>$B$7*COUNTIF(Sheet2!$B$1:$B$132,N1683)</f>
        <v>0</v>
      </c>
      <c r="P1683" s="8">
        <f t="shared" ca="1" si="94"/>
        <v>0</v>
      </c>
      <c r="Q1683" s="8">
        <f ca="1">CEILING(R1682*(IF(N1683&lt;=IF($B$2=0,0,OFFSET(Sheet2!$B$1,Sheet1!$B$2-1,0)),$B$1/(365*100),$B$3/(365*100)))*100,1)/100</f>
        <v>131.66</v>
      </c>
      <c r="R1683" s="9">
        <f t="shared" ca="1" si="95"/>
        <v>322650.68620394601</v>
      </c>
    </row>
    <row r="1684" spans="1:18" x14ac:dyDescent="0.25">
      <c r="A1684">
        <v>16</v>
      </c>
      <c r="B1684">
        <v>9.9</v>
      </c>
      <c r="C1684">
        <v>18</v>
      </c>
      <c r="D1684">
        <v>19.899999999999999</v>
      </c>
      <c r="E1684">
        <v>42</v>
      </c>
      <c r="F1684">
        <v>2.9786507393643417E-2</v>
      </c>
      <c r="G1684" t="str">
        <f t="shared" si="96"/>
        <v>Insert into BlueCreditTypeRainbow Values (16, 9.9, 18, 19.9, 42, 0.0297865073936434)</v>
      </c>
      <c r="N1684" s="4">
        <v>1681</v>
      </c>
      <c r="O1684" s="8">
        <f>$B$7*COUNTIF(Sheet2!$B$1:$B$132,N1684)</f>
        <v>0</v>
      </c>
      <c r="P1684" s="8">
        <f t="shared" ca="1" si="94"/>
        <v>0</v>
      </c>
      <c r="Q1684" s="8">
        <f ca="1">CEILING(R1683*(IF(N1684&lt;=IF($B$2=0,0,OFFSET(Sheet2!$B$1,Sheet1!$B$2-1,0)),$B$1/(365*100),$B$3/(365*100)))*100,1)/100</f>
        <v>131.72</v>
      </c>
      <c r="R1684" s="9">
        <f t="shared" ca="1" si="95"/>
        <v>322782.40620394598</v>
      </c>
    </row>
    <row r="1685" spans="1:18" x14ac:dyDescent="0.25">
      <c r="A1685">
        <v>16</v>
      </c>
      <c r="B1685">
        <v>9.9</v>
      </c>
      <c r="C1685">
        <v>18</v>
      </c>
      <c r="D1685">
        <v>19.899999999999999</v>
      </c>
      <c r="E1685">
        <v>43</v>
      </c>
      <c r="F1685">
        <v>2.9290254672415916E-2</v>
      </c>
      <c r="G1685" t="str">
        <f t="shared" si="96"/>
        <v>Insert into BlueCreditTypeRainbow Values (16, 9.9, 18, 19.9, 43, 0.0292902546724159)</v>
      </c>
      <c r="N1685" s="4">
        <v>1682</v>
      </c>
      <c r="O1685" s="8">
        <f>$B$7*COUNTIF(Sheet2!$B$1:$B$132,N1685)</f>
        <v>0</v>
      </c>
      <c r="P1685" s="8">
        <f t="shared" ca="1" si="94"/>
        <v>0</v>
      </c>
      <c r="Q1685" s="8">
        <f ca="1">CEILING(R1684*(IF(N1685&lt;=IF($B$2=0,0,OFFSET(Sheet2!$B$1,Sheet1!$B$2-1,0)),$B$1/(365*100),$B$3/(365*100)))*100,1)/100</f>
        <v>131.77000000000001</v>
      </c>
      <c r="R1685" s="9">
        <f t="shared" ca="1" si="95"/>
        <v>322914.176203946</v>
      </c>
    </row>
    <row r="1686" spans="1:18" x14ac:dyDescent="0.25">
      <c r="A1686">
        <v>16</v>
      </c>
      <c r="B1686">
        <v>9.9</v>
      </c>
      <c r="C1686">
        <v>18</v>
      </c>
      <c r="D1686">
        <v>19.899999999999999</v>
      </c>
      <c r="E1686">
        <v>44</v>
      </c>
      <c r="F1686">
        <v>2.881793136363639E-2</v>
      </c>
      <c r="G1686" t="str">
        <f t="shared" si="96"/>
        <v>Insert into BlueCreditTypeRainbow Values (16, 9.9, 18, 19.9, 44, 0.0288179313636364)</v>
      </c>
      <c r="N1686" s="4">
        <v>1683</v>
      </c>
      <c r="O1686" s="8">
        <f>$B$7*COUNTIF(Sheet2!$B$1:$B$132,N1686)</f>
        <v>0</v>
      </c>
      <c r="P1686" s="8">
        <f t="shared" ca="1" si="94"/>
        <v>0</v>
      </c>
      <c r="Q1686" s="8">
        <f ca="1">CEILING(R1685*(IF(N1686&lt;=IF($B$2=0,0,OFFSET(Sheet2!$B$1,Sheet1!$B$2-1,0)),$B$1/(365*100),$B$3/(365*100)))*100,1)/100</f>
        <v>131.82</v>
      </c>
      <c r="R1686" s="9">
        <f t="shared" ca="1" si="95"/>
        <v>323045.99620394601</v>
      </c>
    </row>
    <row r="1687" spans="1:18" x14ac:dyDescent="0.25">
      <c r="A1687">
        <v>16</v>
      </c>
      <c r="B1687">
        <v>9.9</v>
      </c>
      <c r="C1687">
        <v>18</v>
      </c>
      <c r="D1687">
        <v>19.899999999999999</v>
      </c>
      <c r="E1687">
        <v>45</v>
      </c>
      <c r="F1687">
        <v>2.8368154708111801E-2</v>
      </c>
      <c r="G1687" t="str">
        <f t="shared" si="96"/>
        <v>Insert into BlueCreditTypeRainbow Values (16, 9.9, 18, 19.9, 45, 0.0283681547081118)</v>
      </c>
      <c r="N1687" s="4">
        <v>1684</v>
      </c>
      <c r="O1687" s="8">
        <f>$B$7*COUNTIF(Sheet2!$B$1:$B$132,N1687)</f>
        <v>0</v>
      </c>
      <c r="P1687" s="8">
        <f t="shared" ca="1" si="94"/>
        <v>0</v>
      </c>
      <c r="Q1687" s="8">
        <f ca="1">CEILING(R1686*(IF(N1687&lt;=IF($B$2=0,0,OFFSET(Sheet2!$B$1,Sheet1!$B$2-1,0)),$B$1/(365*100),$B$3/(365*100)))*100,1)/100</f>
        <v>131.88</v>
      </c>
      <c r="R1687" s="9">
        <f t="shared" ca="1" si="95"/>
        <v>323177.87620394601</v>
      </c>
    </row>
    <row r="1688" spans="1:18" x14ac:dyDescent="0.25">
      <c r="A1688">
        <v>16</v>
      </c>
      <c r="B1688">
        <v>9.9</v>
      </c>
      <c r="C1688">
        <v>18</v>
      </c>
      <c r="D1688">
        <v>19.899999999999999</v>
      </c>
      <c r="E1688">
        <v>46</v>
      </c>
      <c r="F1688">
        <v>2.7939134582150596E-2</v>
      </c>
      <c r="G1688" t="str">
        <f t="shared" si="96"/>
        <v>Insert into BlueCreditTypeRainbow Values (16, 9.9, 18, 19.9, 46, 0.0279391345821506)</v>
      </c>
      <c r="N1688" s="4">
        <v>1685</v>
      </c>
      <c r="O1688" s="8">
        <f>$B$7*COUNTIF(Sheet2!$B$1:$B$132,N1688)</f>
        <v>0</v>
      </c>
      <c r="P1688" s="8">
        <f t="shared" ca="1" si="94"/>
        <v>0</v>
      </c>
      <c r="Q1688" s="8">
        <f ca="1">CEILING(R1687*(IF(N1688&lt;=IF($B$2=0,0,OFFSET(Sheet2!$B$1,Sheet1!$B$2-1,0)),$B$1/(365*100),$B$3/(365*100)))*100,1)/100</f>
        <v>131.93</v>
      </c>
      <c r="R1688" s="9">
        <f t="shared" ca="1" si="95"/>
        <v>323309.80620394601</v>
      </c>
    </row>
    <row r="1689" spans="1:18" x14ac:dyDescent="0.25">
      <c r="A1689">
        <v>16</v>
      </c>
      <c r="B1689">
        <v>9.9</v>
      </c>
      <c r="C1689">
        <v>18</v>
      </c>
      <c r="D1689">
        <v>19.899999999999999</v>
      </c>
      <c r="E1689">
        <v>47</v>
      </c>
      <c r="F1689">
        <v>2.7529785959400529E-2</v>
      </c>
      <c r="G1689" t="str">
        <f t="shared" si="96"/>
        <v>Insert into BlueCreditTypeRainbow Values (16, 9.9, 18, 19.9, 47, 0.0275297859594005)</v>
      </c>
      <c r="N1689" s="4">
        <v>1686</v>
      </c>
      <c r="O1689" s="8">
        <f>$B$7*COUNTIF(Sheet2!$B$1:$B$132,N1689)</f>
        <v>0</v>
      </c>
      <c r="P1689" s="8">
        <f t="shared" ca="1" si="94"/>
        <v>0</v>
      </c>
      <c r="Q1689" s="8">
        <f ca="1">CEILING(R1688*(IF(N1689&lt;=IF($B$2=0,0,OFFSET(Sheet2!$B$1,Sheet1!$B$2-1,0)),$B$1/(365*100),$B$3/(365*100)))*100,1)/100</f>
        <v>131.99</v>
      </c>
      <c r="R1689" s="9">
        <f t="shared" ca="1" si="95"/>
        <v>323441.796203946</v>
      </c>
    </row>
    <row r="1690" spans="1:18" x14ac:dyDescent="0.25">
      <c r="A1690">
        <v>16</v>
      </c>
      <c r="B1690">
        <v>9.9</v>
      </c>
      <c r="C1690">
        <v>18</v>
      </c>
      <c r="D1690">
        <v>19.899999999999999</v>
      </c>
      <c r="E1690">
        <v>48</v>
      </c>
      <c r="F1690">
        <v>2.7138613541666655E-2</v>
      </c>
      <c r="G1690" t="str">
        <f t="shared" si="96"/>
        <v>Insert into BlueCreditTypeRainbow Values (16, 9.9, 18, 19.9, 48, 0.0271386135416667)</v>
      </c>
      <c r="N1690" s="4">
        <v>1687</v>
      </c>
      <c r="O1690" s="8">
        <f>$B$7*COUNTIF(Sheet2!$B$1:$B$132,N1690)</f>
        <v>0</v>
      </c>
      <c r="P1690" s="8">
        <f t="shared" ca="1" si="94"/>
        <v>0</v>
      </c>
      <c r="Q1690" s="8">
        <f ca="1">CEILING(R1689*(IF(N1690&lt;=IF($B$2=0,0,OFFSET(Sheet2!$B$1,Sheet1!$B$2-1,0)),$B$1/(365*100),$B$3/(365*100)))*100,1)/100</f>
        <v>132.04</v>
      </c>
      <c r="R1690" s="9">
        <f t="shared" ca="1" si="95"/>
        <v>323573.83620394598</v>
      </c>
    </row>
    <row r="1691" spans="1:18" x14ac:dyDescent="0.25">
      <c r="A1691">
        <v>16</v>
      </c>
      <c r="B1691">
        <v>9.9</v>
      </c>
      <c r="C1691">
        <v>17</v>
      </c>
      <c r="D1691">
        <v>19.899999999999999</v>
      </c>
      <c r="E1691">
        <v>36</v>
      </c>
      <c r="F1691">
        <v>3.3518812410432273E-2</v>
      </c>
      <c r="G1691" t="str">
        <f t="shared" si="96"/>
        <v>Insert into BlueCreditTypeRainbow Values (16, 9.9, 17, 19.9, 36, 0.0335188124104323)</v>
      </c>
      <c r="N1691" s="4">
        <v>1688</v>
      </c>
      <c r="O1691" s="8">
        <f>$B$7*COUNTIF(Sheet2!$B$1:$B$132,N1691)</f>
        <v>0</v>
      </c>
      <c r="P1691" s="8">
        <f t="shared" ca="1" si="94"/>
        <v>0</v>
      </c>
      <c r="Q1691" s="8">
        <f ca="1">CEILING(R1690*(IF(N1691&lt;=IF($B$2=0,0,OFFSET(Sheet2!$B$1,Sheet1!$B$2-1,0)),$B$1/(365*100),$B$3/(365*100)))*100,1)/100</f>
        <v>132.09</v>
      </c>
      <c r="R1691" s="9">
        <f t="shared" ca="1" si="95"/>
        <v>323705.926203946</v>
      </c>
    </row>
    <row r="1692" spans="1:18" x14ac:dyDescent="0.25">
      <c r="A1692">
        <v>16</v>
      </c>
      <c r="B1692">
        <v>9.9</v>
      </c>
      <c r="C1692">
        <v>17</v>
      </c>
      <c r="D1692">
        <v>19.899999999999999</v>
      </c>
      <c r="E1692">
        <v>37</v>
      </c>
      <c r="F1692">
        <v>3.2833026521629519E-2</v>
      </c>
      <c r="G1692" t="str">
        <f t="shared" si="96"/>
        <v>Insert into BlueCreditTypeRainbow Values (16, 9.9, 17, 19.9, 37, 0.0328330265216295)</v>
      </c>
      <c r="N1692" s="4">
        <v>1689</v>
      </c>
      <c r="O1692" s="8">
        <f>$B$7*COUNTIF(Sheet2!$B$1:$B$132,N1692)</f>
        <v>0</v>
      </c>
      <c r="P1692" s="8">
        <f t="shared" ca="1" si="94"/>
        <v>0</v>
      </c>
      <c r="Q1692" s="8">
        <f ca="1">CEILING(R1691*(IF(N1692&lt;=IF($B$2=0,0,OFFSET(Sheet2!$B$1,Sheet1!$B$2-1,0)),$B$1/(365*100),$B$3/(365*100)))*100,1)/100</f>
        <v>132.15</v>
      </c>
      <c r="R1692" s="9">
        <f t="shared" ca="1" si="95"/>
        <v>323838.07620394602</v>
      </c>
    </row>
    <row r="1693" spans="1:18" x14ac:dyDescent="0.25">
      <c r="A1693">
        <v>16</v>
      </c>
      <c r="B1693">
        <v>9.9</v>
      </c>
      <c r="C1693">
        <v>17</v>
      </c>
      <c r="D1693">
        <v>19.899999999999999</v>
      </c>
      <c r="E1693">
        <v>38</v>
      </c>
      <c r="F1693">
        <v>3.2185201689528709E-2</v>
      </c>
      <c r="G1693" t="str">
        <f t="shared" si="96"/>
        <v>Insert into BlueCreditTypeRainbow Values (16, 9.9, 17, 19.9, 38, 0.0321852016895287)</v>
      </c>
      <c r="N1693" s="4">
        <v>1690</v>
      </c>
      <c r="O1693" s="8">
        <f>$B$7*COUNTIF(Sheet2!$B$1:$B$132,N1693)</f>
        <v>0</v>
      </c>
      <c r="P1693" s="8">
        <f t="shared" ca="1" si="94"/>
        <v>0</v>
      </c>
      <c r="Q1693" s="8">
        <f ca="1">CEILING(R1692*(IF(N1693&lt;=IF($B$2=0,0,OFFSET(Sheet2!$B$1,Sheet1!$B$2-1,0)),$B$1/(365*100),$B$3/(365*100)))*100,1)/100</f>
        <v>132.19999999999999</v>
      </c>
      <c r="R1693" s="9">
        <f t="shared" ca="1" si="95"/>
        <v>323970.27620394604</v>
      </c>
    </row>
    <row r="1694" spans="1:18" x14ac:dyDescent="0.25">
      <c r="A1694">
        <v>16</v>
      </c>
      <c r="B1694">
        <v>9.9</v>
      </c>
      <c r="C1694">
        <v>17</v>
      </c>
      <c r="D1694">
        <v>19.899999999999999</v>
      </c>
      <c r="E1694">
        <v>39</v>
      </c>
      <c r="F1694">
        <v>3.1572685641025666E-2</v>
      </c>
      <c r="G1694" t="str">
        <f t="shared" si="96"/>
        <v>Insert into BlueCreditTypeRainbow Values (16, 9.9, 17, 19.9, 39, 0.0315726856410257)</v>
      </c>
      <c r="N1694" s="4">
        <v>1691</v>
      </c>
      <c r="O1694" s="8">
        <f>$B$7*COUNTIF(Sheet2!$B$1:$B$132,N1694)</f>
        <v>0</v>
      </c>
      <c r="P1694" s="8">
        <f t="shared" ca="1" si="94"/>
        <v>0</v>
      </c>
      <c r="Q1694" s="8">
        <f ca="1">CEILING(R1693*(IF(N1694&lt;=IF($B$2=0,0,OFFSET(Sheet2!$B$1,Sheet1!$B$2-1,0)),$B$1/(365*100),$B$3/(365*100)))*100,1)/100</f>
        <v>132.26</v>
      </c>
      <c r="R1694" s="9">
        <f t="shared" ca="1" si="95"/>
        <v>324102.53620394605</v>
      </c>
    </row>
    <row r="1695" spans="1:18" x14ac:dyDescent="0.25">
      <c r="A1695">
        <v>16</v>
      </c>
      <c r="B1695">
        <v>9.9</v>
      </c>
      <c r="C1695">
        <v>17</v>
      </c>
      <c r="D1695">
        <v>19.899999999999999</v>
      </c>
      <c r="E1695">
        <v>40</v>
      </c>
      <c r="F1695">
        <v>3.0992743748547477E-2</v>
      </c>
      <c r="G1695" t="str">
        <f t="shared" si="96"/>
        <v>Insert into BlueCreditTypeRainbow Values (16, 9.9, 17, 19.9, 40, 0.0309927437485475)</v>
      </c>
      <c r="N1695" s="4">
        <v>1692</v>
      </c>
      <c r="O1695" s="8">
        <f>$B$7*COUNTIF(Sheet2!$B$1:$B$132,N1695)</f>
        <v>0</v>
      </c>
      <c r="P1695" s="8">
        <f t="shared" ca="1" si="94"/>
        <v>0</v>
      </c>
      <c r="Q1695" s="8">
        <f ca="1">CEILING(R1694*(IF(N1695&lt;=IF($B$2=0,0,OFFSET(Sheet2!$B$1,Sheet1!$B$2-1,0)),$B$1/(365*100),$B$3/(365*100)))*100,1)/100</f>
        <v>132.31</v>
      </c>
      <c r="R1695" s="9">
        <f t="shared" ca="1" si="95"/>
        <v>324234.84620394604</v>
      </c>
    </row>
    <row r="1696" spans="1:18" x14ac:dyDescent="0.25">
      <c r="A1696">
        <v>16</v>
      </c>
      <c r="B1696">
        <v>9.9</v>
      </c>
      <c r="C1696">
        <v>17</v>
      </c>
      <c r="D1696">
        <v>19.899999999999999</v>
      </c>
      <c r="E1696">
        <v>41</v>
      </c>
      <c r="F1696">
        <v>3.0442633902439072E-2</v>
      </c>
      <c r="G1696" t="str">
        <f t="shared" si="96"/>
        <v>Insert into BlueCreditTypeRainbow Values (16, 9.9, 17, 19.9, 41, 0.0304426339024391)</v>
      </c>
      <c r="N1696" s="4">
        <v>1693</v>
      </c>
      <c r="O1696" s="8">
        <f>$B$7*COUNTIF(Sheet2!$B$1:$B$132,N1696)</f>
        <v>0</v>
      </c>
      <c r="P1696" s="8">
        <f t="shared" ca="1" si="94"/>
        <v>0</v>
      </c>
      <c r="Q1696" s="8">
        <f ca="1">CEILING(R1695*(IF(N1696&lt;=IF($B$2=0,0,OFFSET(Sheet2!$B$1,Sheet1!$B$2-1,0)),$B$1/(365*100),$B$3/(365*100)))*100,1)/100</f>
        <v>132.36000000000001</v>
      </c>
      <c r="R1696" s="9">
        <f t="shared" ca="1" si="95"/>
        <v>324367.20620394603</v>
      </c>
    </row>
    <row r="1697" spans="1:18" x14ac:dyDescent="0.25">
      <c r="A1697">
        <v>16</v>
      </c>
      <c r="B1697">
        <v>9.9</v>
      </c>
      <c r="C1697">
        <v>17</v>
      </c>
      <c r="D1697">
        <v>19.899999999999999</v>
      </c>
      <c r="E1697">
        <v>42</v>
      </c>
      <c r="F1697">
        <v>2.9920446418399336E-2</v>
      </c>
      <c r="G1697" t="str">
        <f t="shared" si="96"/>
        <v>Insert into BlueCreditTypeRainbow Values (16, 9.9, 17, 19.9, 42, 0.0299204464183993)</v>
      </c>
      <c r="N1697" s="4">
        <v>1694</v>
      </c>
      <c r="O1697" s="8">
        <f>$B$7*COUNTIF(Sheet2!$B$1:$B$132,N1697)</f>
        <v>0</v>
      </c>
      <c r="P1697" s="8">
        <f t="shared" ca="1" si="94"/>
        <v>0</v>
      </c>
      <c r="Q1697" s="8">
        <f ca="1">CEILING(R1696*(IF(N1697&lt;=IF($B$2=0,0,OFFSET(Sheet2!$B$1,Sheet1!$B$2-1,0)),$B$1/(365*100),$B$3/(365*100)))*100,1)/100</f>
        <v>132.41999999999999</v>
      </c>
      <c r="R1697" s="9">
        <f t="shared" ca="1" si="95"/>
        <v>324499.62620394601</v>
      </c>
    </row>
    <row r="1698" spans="1:18" x14ac:dyDescent="0.25">
      <c r="A1698">
        <v>16</v>
      </c>
      <c r="B1698">
        <v>9.9</v>
      </c>
      <c r="C1698">
        <v>17</v>
      </c>
      <c r="D1698">
        <v>19.899999999999999</v>
      </c>
      <c r="E1698">
        <v>43</v>
      </c>
      <c r="F1698">
        <v>2.942392536895283E-2</v>
      </c>
      <c r="G1698" t="str">
        <f t="shared" si="96"/>
        <v>Insert into BlueCreditTypeRainbow Values (16, 9.9, 17, 19.9, 43, 0.0294239253689528)</v>
      </c>
      <c r="N1698" s="4">
        <v>1695</v>
      </c>
      <c r="O1698" s="8">
        <f>$B$7*COUNTIF(Sheet2!$B$1:$B$132,N1698)</f>
        <v>0</v>
      </c>
      <c r="P1698" s="8">
        <f t="shared" ca="1" si="94"/>
        <v>0</v>
      </c>
      <c r="Q1698" s="8">
        <f ca="1">CEILING(R1697*(IF(N1698&lt;=IF($B$2=0,0,OFFSET(Sheet2!$B$1,Sheet1!$B$2-1,0)),$B$1/(365*100),$B$3/(365*100)))*100,1)/100</f>
        <v>132.47</v>
      </c>
      <c r="R1698" s="9">
        <f t="shared" ca="1" si="95"/>
        <v>324632.09620394598</v>
      </c>
    </row>
    <row r="1699" spans="1:18" x14ac:dyDescent="0.25">
      <c r="A1699">
        <v>16</v>
      </c>
      <c r="B1699">
        <v>9.9</v>
      </c>
      <c r="C1699">
        <v>17</v>
      </c>
      <c r="D1699">
        <v>19.899999999999999</v>
      </c>
      <c r="E1699">
        <v>44</v>
      </c>
      <c r="F1699">
        <v>2.8951276109313497E-2</v>
      </c>
      <c r="G1699" t="str">
        <f t="shared" si="96"/>
        <v>Insert into BlueCreditTypeRainbow Values (16, 9.9, 17, 19.9, 44, 0.0289512761093135)</v>
      </c>
      <c r="N1699" s="4">
        <v>1696</v>
      </c>
      <c r="O1699" s="8">
        <f>$B$7*COUNTIF(Sheet2!$B$1:$B$132,N1699)</f>
        <v>0</v>
      </c>
      <c r="P1699" s="8">
        <f t="shared" ca="1" si="94"/>
        <v>0</v>
      </c>
      <c r="Q1699" s="8">
        <f ca="1">CEILING(R1698*(IF(N1699&lt;=IF($B$2=0,0,OFFSET(Sheet2!$B$1,Sheet1!$B$2-1,0)),$B$1/(365*100),$B$3/(365*100)))*100,1)/100</f>
        <v>132.53</v>
      </c>
      <c r="R1699" s="9">
        <f t="shared" ca="1" si="95"/>
        <v>324764.62620394601</v>
      </c>
    </row>
    <row r="1700" spans="1:18" x14ac:dyDescent="0.25">
      <c r="A1700">
        <v>16</v>
      </c>
      <c r="B1700">
        <v>9.9</v>
      </c>
      <c r="C1700">
        <v>17</v>
      </c>
      <c r="D1700">
        <v>19.899999999999999</v>
      </c>
      <c r="E1700">
        <v>45</v>
      </c>
      <c r="F1700">
        <v>2.8501129131801996E-2</v>
      </c>
      <c r="G1700" t="str">
        <f t="shared" si="96"/>
        <v>Insert into BlueCreditTypeRainbow Values (16, 9.9, 17, 19.9, 45, 0.028501129131802)</v>
      </c>
      <c r="N1700" s="4">
        <v>1697</v>
      </c>
      <c r="O1700" s="8">
        <f>$B$7*COUNTIF(Sheet2!$B$1:$B$132,N1700)</f>
        <v>0</v>
      </c>
      <c r="P1700" s="8">
        <f t="shared" ca="1" si="94"/>
        <v>0</v>
      </c>
      <c r="Q1700" s="8">
        <f ca="1">CEILING(R1699*(IF(N1700&lt;=IF($B$2=0,0,OFFSET(Sheet2!$B$1,Sheet1!$B$2-1,0)),$B$1/(365*100),$B$3/(365*100)))*100,1)/100</f>
        <v>132.58000000000001</v>
      </c>
      <c r="R1700" s="9">
        <f t="shared" ca="1" si="95"/>
        <v>324897.20620394603</v>
      </c>
    </row>
    <row r="1701" spans="1:18" x14ac:dyDescent="0.25">
      <c r="A1701">
        <v>16</v>
      </c>
      <c r="B1701">
        <v>9.9</v>
      </c>
      <c r="C1701">
        <v>17</v>
      </c>
      <c r="D1701">
        <v>19.899999999999999</v>
      </c>
      <c r="E1701">
        <v>46</v>
      </c>
      <c r="F1701">
        <v>2.8071726665988041E-2</v>
      </c>
      <c r="G1701" t="str">
        <f t="shared" si="96"/>
        <v>Insert into BlueCreditTypeRainbow Values (16, 9.9, 17, 19.9, 46, 0.028071726665988)</v>
      </c>
      <c r="N1701" s="4">
        <v>1698</v>
      </c>
      <c r="O1701" s="8">
        <f>$B$7*COUNTIF(Sheet2!$B$1:$B$132,N1701)</f>
        <v>0</v>
      </c>
      <c r="P1701" s="8">
        <f t="shared" ca="1" si="94"/>
        <v>0</v>
      </c>
      <c r="Q1701" s="8">
        <f ca="1">CEILING(R1700*(IF(N1701&lt;=IF($B$2=0,0,OFFSET(Sheet2!$B$1,Sheet1!$B$2-1,0)),$B$1/(365*100),$B$3/(365*100)))*100,1)/100</f>
        <v>132.63</v>
      </c>
      <c r="R1701" s="9">
        <f t="shared" ca="1" si="95"/>
        <v>325029.83620394603</v>
      </c>
    </row>
    <row r="1702" spans="1:18" x14ac:dyDescent="0.25">
      <c r="A1702">
        <v>16</v>
      </c>
      <c r="B1702">
        <v>9.9</v>
      </c>
      <c r="C1702">
        <v>17</v>
      </c>
      <c r="D1702">
        <v>19.899999999999999</v>
      </c>
      <c r="E1702">
        <v>47</v>
      </c>
      <c r="F1702">
        <v>2.7661952752472071E-2</v>
      </c>
      <c r="G1702" t="str">
        <f t="shared" si="96"/>
        <v>Insert into BlueCreditTypeRainbow Values (16, 9.9, 17, 19.9, 47, 0.0276619527524721)</v>
      </c>
      <c r="N1702" s="4">
        <v>1699</v>
      </c>
      <c r="O1702" s="8">
        <f>$B$7*COUNTIF(Sheet2!$B$1:$B$132,N1702)</f>
        <v>0</v>
      </c>
      <c r="P1702" s="8">
        <f t="shared" ca="1" si="94"/>
        <v>0</v>
      </c>
      <c r="Q1702" s="8">
        <f ca="1">CEILING(R1701*(IF(N1702&lt;=IF($B$2=0,0,OFFSET(Sheet2!$B$1,Sheet1!$B$2-1,0)),$B$1/(365*100),$B$3/(365*100)))*100,1)/100</f>
        <v>132.69</v>
      </c>
      <c r="R1702" s="9">
        <f t="shared" ca="1" si="95"/>
        <v>325162.52620394604</v>
      </c>
    </row>
    <row r="1703" spans="1:18" x14ac:dyDescent="0.25">
      <c r="A1703">
        <v>16</v>
      </c>
      <c r="B1703">
        <v>9.9</v>
      </c>
      <c r="C1703">
        <v>17</v>
      </c>
      <c r="D1703">
        <v>19.899999999999999</v>
      </c>
      <c r="E1703">
        <v>48</v>
      </c>
      <c r="F1703">
        <v>2.7270334384844518E-2</v>
      </c>
      <c r="G1703" t="str">
        <f t="shared" si="96"/>
        <v>Insert into BlueCreditTypeRainbow Values (16, 9.9, 17, 19.9, 48, 0.0272703343848445)</v>
      </c>
      <c r="N1703" s="4">
        <v>1700</v>
      </c>
      <c r="O1703" s="8">
        <f>$B$7*COUNTIF(Sheet2!$B$1:$B$132,N1703)</f>
        <v>0</v>
      </c>
      <c r="P1703" s="8">
        <f t="shared" ca="1" si="94"/>
        <v>0</v>
      </c>
      <c r="Q1703" s="8">
        <f ca="1">CEILING(R1702*(IF(N1703&lt;=IF($B$2=0,0,OFFSET(Sheet2!$B$1,Sheet1!$B$2-1,0)),$B$1/(365*100),$B$3/(365*100)))*100,1)/100</f>
        <v>132.74</v>
      </c>
      <c r="R1703" s="9">
        <f t="shared" ca="1" si="95"/>
        <v>325295.26620394603</v>
      </c>
    </row>
    <row r="1704" spans="1:18" x14ac:dyDescent="0.25">
      <c r="A1704">
        <v>16</v>
      </c>
      <c r="B1704">
        <v>9.9</v>
      </c>
      <c r="C1704">
        <v>16</v>
      </c>
      <c r="D1704">
        <v>19.899999999999999</v>
      </c>
      <c r="E1704">
        <v>36</v>
      </c>
      <c r="F1704">
        <v>3.3656425277777777E-2</v>
      </c>
      <c r="G1704" t="str">
        <f t="shared" si="96"/>
        <v>Insert into BlueCreditTypeRainbow Values (16, 9.9, 16, 19.9, 36, 0.0336564252777778)</v>
      </c>
      <c r="N1704" s="4">
        <v>1701</v>
      </c>
      <c r="O1704" s="8">
        <f>$B$7*COUNTIF(Sheet2!$B$1:$B$132,N1704)</f>
        <v>0</v>
      </c>
      <c r="P1704" s="8">
        <f t="shared" ca="1" si="94"/>
        <v>0</v>
      </c>
      <c r="Q1704" s="8">
        <f ca="1">CEILING(R1703*(IF(N1704&lt;=IF($B$2=0,0,OFFSET(Sheet2!$B$1,Sheet1!$B$2-1,0)),$B$1/(365*100),$B$3/(365*100)))*100,1)/100</f>
        <v>132.80000000000001</v>
      </c>
      <c r="R1704" s="9">
        <f t="shared" ca="1" si="95"/>
        <v>325428.06620394601</v>
      </c>
    </row>
    <row r="1705" spans="1:18" x14ac:dyDescent="0.25">
      <c r="A1705">
        <v>16</v>
      </c>
      <c r="B1705">
        <v>9.9</v>
      </c>
      <c r="C1705">
        <v>16</v>
      </c>
      <c r="D1705">
        <v>19.899999999999999</v>
      </c>
      <c r="E1705">
        <v>37</v>
      </c>
      <c r="F1705">
        <v>3.2970588673671489E-2</v>
      </c>
      <c r="G1705" t="str">
        <f t="shared" si="96"/>
        <v>Insert into BlueCreditTypeRainbow Values (16, 9.9, 16, 19.9, 37, 0.0329705886736715)</v>
      </c>
      <c r="N1705" s="4">
        <v>1702</v>
      </c>
      <c r="O1705" s="8">
        <f>$B$7*COUNTIF(Sheet2!$B$1:$B$132,N1705)</f>
        <v>0</v>
      </c>
      <c r="P1705" s="8">
        <f t="shared" ca="1" si="94"/>
        <v>0</v>
      </c>
      <c r="Q1705" s="8">
        <f ca="1">CEILING(R1704*(IF(N1705&lt;=IF($B$2=0,0,OFFSET(Sheet2!$B$1,Sheet1!$B$2-1,0)),$B$1/(365*100),$B$3/(365*100)))*100,1)/100</f>
        <v>132.85</v>
      </c>
      <c r="R1705" s="9">
        <f t="shared" ca="1" si="95"/>
        <v>325560.91620394599</v>
      </c>
    </row>
    <row r="1706" spans="1:18" x14ac:dyDescent="0.25">
      <c r="A1706">
        <v>16</v>
      </c>
      <c r="B1706">
        <v>9.9</v>
      </c>
      <c r="C1706">
        <v>16</v>
      </c>
      <c r="D1706">
        <v>19.899999999999999</v>
      </c>
      <c r="E1706">
        <v>38</v>
      </c>
      <c r="F1706">
        <v>3.2322623270765585E-2</v>
      </c>
      <c r="G1706" t="str">
        <f t="shared" si="96"/>
        <v>Insert into BlueCreditTypeRainbow Values (16, 9.9, 16, 19.9, 38, 0.0323226232707656)</v>
      </c>
      <c r="N1706" s="4">
        <v>1703</v>
      </c>
      <c r="O1706" s="8">
        <f>$B$7*COUNTIF(Sheet2!$B$1:$B$132,N1706)</f>
        <v>0</v>
      </c>
      <c r="P1706" s="8">
        <f t="shared" ca="1" si="94"/>
        <v>0</v>
      </c>
      <c r="Q1706" s="8">
        <f ca="1">CEILING(R1705*(IF(N1706&lt;=IF($B$2=0,0,OFFSET(Sheet2!$B$1,Sheet1!$B$2-1,0)),$B$1/(365*100),$B$3/(365*100)))*100,1)/100</f>
        <v>132.91</v>
      </c>
      <c r="R1706" s="9">
        <f t="shared" ca="1" si="95"/>
        <v>325693.82620394597</v>
      </c>
    </row>
    <row r="1707" spans="1:18" x14ac:dyDescent="0.25">
      <c r="A1707">
        <v>16</v>
      </c>
      <c r="B1707">
        <v>9.9</v>
      </c>
      <c r="C1707">
        <v>16</v>
      </c>
      <c r="D1707">
        <v>19.899999999999999</v>
      </c>
      <c r="E1707">
        <v>39</v>
      </c>
      <c r="F1707">
        <v>3.170987310200165E-2</v>
      </c>
      <c r="G1707" t="str">
        <f t="shared" si="96"/>
        <v>Insert into BlueCreditTypeRainbow Values (16, 9.9, 16, 19.9, 39, 0.0317098731020016)</v>
      </c>
      <c r="N1707" s="4">
        <v>1704</v>
      </c>
      <c r="O1707" s="8">
        <f>$B$7*COUNTIF(Sheet2!$B$1:$B$132,N1707)</f>
        <v>0</v>
      </c>
      <c r="P1707" s="8">
        <f t="shared" ca="1" si="94"/>
        <v>0</v>
      </c>
      <c r="Q1707" s="8">
        <f ca="1">CEILING(R1706*(IF(N1707&lt;=IF($B$2=0,0,OFFSET(Sheet2!$B$1,Sheet1!$B$2-1,0)),$B$1/(365*100),$B$3/(365*100)))*100,1)/100</f>
        <v>132.96</v>
      </c>
      <c r="R1707" s="9">
        <f t="shared" ca="1" si="95"/>
        <v>325826.78620394599</v>
      </c>
    </row>
    <row r="1708" spans="1:18" x14ac:dyDescent="0.25">
      <c r="A1708">
        <v>16</v>
      </c>
      <c r="B1708">
        <v>9.9</v>
      </c>
      <c r="C1708">
        <v>16</v>
      </c>
      <c r="D1708">
        <v>19.899999999999999</v>
      </c>
      <c r="E1708">
        <v>40</v>
      </c>
      <c r="F1708">
        <v>3.1129629445840287E-2</v>
      </c>
      <c r="G1708" t="str">
        <f t="shared" si="96"/>
        <v>Insert into BlueCreditTypeRainbow Values (16, 9.9, 16, 19.9, 40, 0.0311296294458403)</v>
      </c>
      <c r="N1708" s="4">
        <v>1705</v>
      </c>
      <c r="O1708" s="8">
        <f>$B$7*COUNTIF(Sheet2!$B$1:$B$132,N1708)</f>
        <v>0</v>
      </c>
      <c r="P1708" s="8">
        <f t="shared" ca="1" si="94"/>
        <v>0</v>
      </c>
      <c r="Q1708" s="8">
        <f ca="1">CEILING(R1707*(IF(N1708&lt;=IF($B$2=0,0,OFFSET(Sheet2!$B$1,Sheet1!$B$2-1,0)),$B$1/(365*100),$B$3/(365*100)))*100,1)/100</f>
        <v>133.01</v>
      </c>
      <c r="R1708" s="9">
        <f t="shared" ca="1" si="95"/>
        <v>325959.796203946</v>
      </c>
    </row>
    <row r="1709" spans="1:18" x14ac:dyDescent="0.25">
      <c r="A1709">
        <v>16</v>
      </c>
      <c r="B1709">
        <v>9.9</v>
      </c>
      <c r="C1709">
        <v>16</v>
      </c>
      <c r="D1709">
        <v>19.899999999999999</v>
      </c>
      <c r="E1709">
        <v>41</v>
      </c>
      <c r="F1709">
        <v>3.0579148048780525E-2</v>
      </c>
      <c r="G1709" t="str">
        <f t="shared" si="96"/>
        <v>Insert into BlueCreditTypeRainbow Values (16, 9.9, 16, 19.9, 41, 0.0305791480487805)</v>
      </c>
      <c r="N1709" s="4">
        <v>1706</v>
      </c>
      <c r="O1709" s="8">
        <f>$B$7*COUNTIF(Sheet2!$B$1:$B$132,N1709)</f>
        <v>0</v>
      </c>
      <c r="P1709" s="8">
        <f t="shared" ca="1" si="94"/>
        <v>0</v>
      </c>
      <c r="Q1709" s="8">
        <f ca="1">CEILING(R1708*(IF(N1709&lt;=IF($B$2=0,0,OFFSET(Sheet2!$B$1,Sheet1!$B$2-1,0)),$B$1/(365*100),$B$3/(365*100)))*100,1)/100</f>
        <v>133.07</v>
      </c>
      <c r="R1709" s="9">
        <f t="shared" ca="1" si="95"/>
        <v>326092.866203946</v>
      </c>
    </row>
    <row r="1710" spans="1:18" x14ac:dyDescent="0.25">
      <c r="A1710">
        <v>16</v>
      </c>
      <c r="B1710">
        <v>9.9</v>
      </c>
      <c r="C1710">
        <v>16</v>
      </c>
      <c r="D1710">
        <v>19.899999999999999</v>
      </c>
      <c r="E1710">
        <v>42</v>
      </c>
      <c r="F1710">
        <v>3.0056551666666719E-2</v>
      </c>
      <c r="G1710" t="str">
        <f t="shared" si="96"/>
        <v>Insert into BlueCreditTypeRainbow Values (16, 9.9, 16, 19.9, 42, 0.0300565516666667)</v>
      </c>
      <c r="N1710" s="4">
        <v>1707</v>
      </c>
      <c r="O1710" s="8">
        <f>$B$7*COUNTIF(Sheet2!$B$1:$B$132,N1710)</f>
        <v>21157.10552356458</v>
      </c>
      <c r="P1710" s="8">
        <f t="shared" ca="1" si="94"/>
        <v>21023.985523564581</v>
      </c>
      <c r="Q1710" s="8">
        <f ca="1">CEILING(R1709*(IF(N1710&lt;=IF($B$2=0,0,OFFSET(Sheet2!$B$1,Sheet1!$B$2-1,0)),$B$1/(365*100),$B$3/(365*100)))*100,1)/100</f>
        <v>133.12</v>
      </c>
      <c r="R1710" s="9">
        <f t="shared" ca="1" si="95"/>
        <v>305068.88068038144</v>
      </c>
    </row>
    <row r="1711" spans="1:18" x14ac:dyDescent="0.25">
      <c r="A1711">
        <v>16</v>
      </c>
      <c r="B1711">
        <v>9.9</v>
      </c>
      <c r="C1711">
        <v>16</v>
      </c>
      <c r="D1711">
        <v>19.899999999999999</v>
      </c>
      <c r="E1711">
        <v>43</v>
      </c>
      <c r="F1711">
        <v>2.955956953488376E-2</v>
      </c>
      <c r="G1711" t="str">
        <f t="shared" si="96"/>
        <v>Insert into BlueCreditTypeRainbow Values (16, 9.9, 16, 19.9, 43, 0.0295595695348838)</v>
      </c>
      <c r="N1711" s="4">
        <v>1708</v>
      </c>
      <c r="O1711" s="8">
        <f>$B$7*COUNTIF(Sheet2!$B$1:$B$132,N1711)</f>
        <v>0</v>
      </c>
      <c r="P1711" s="8">
        <f t="shared" ca="1" si="94"/>
        <v>0</v>
      </c>
      <c r="Q1711" s="8">
        <f ca="1">CEILING(R1710*(IF(N1711&lt;=IF($B$2=0,0,OFFSET(Sheet2!$B$1,Sheet1!$B$2-1,0)),$B$1/(365*100),$B$3/(365*100)))*100,1)/100</f>
        <v>124.54</v>
      </c>
      <c r="R1711" s="9">
        <f t="shared" ca="1" si="95"/>
        <v>305193.42068038142</v>
      </c>
    </row>
    <row r="1712" spans="1:18" x14ac:dyDescent="0.25">
      <c r="A1712">
        <v>16</v>
      </c>
      <c r="B1712">
        <v>9.9</v>
      </c>
      <c r="C1712">
        <v>16</v>
      </c>
      <c r="D1712">
        <v>19.899999999999999</v>
      </c>
      <c r="E1712">
        <v>44</v>
      </c>
      <c r="F1712">
        <v>2.9086431137487396E-2</v>
      </c>
      <c r="G1712" t="str">
        <f t="shared" si="96"/>
        <v>Insert into BlueCreditTypeRainbow Values (16, 9.9, 16, 19.9, 44, 0.0290864311374874)</v>
      </c>
      <c r="N1712" s="4">
        <v>1709</v>
      </c>
      <c r="O1712" s="8">
        <f>$B$7*COUNTIF(Sheet2!$B$1:$B$132,N1712)</f>
        <v>0</v>
      </c>
      <c r="P1712" s="8">
        <f t="shared" ca="1" si="94"/>
        <v>0</v>
      </c>
      <c r="Q1712" s="8">
        <f ca="1">CEILING(R1711*(IF(N1712&lt;=IF($B$2=0,0,OFFSET(Sheet2!$B$1,Sheet1!$B$2-1,0)),$B$1/(365*100),$B$3/(365*100)))*100,1)/100</f>
        <v>124.59</v>
      </c>
      <c r="R1712" s="9">
        <f t="shared" ca="1" si="95"/>
        <v>305318.01068038144</v>
      </c>
    </row>
    <row r="1713" spans="1:18" x14ac:dyDescent="0.25">
      <c r="A1713">
        <v>16</v>
      </c>
      <c r="B1713">
        <v>9.9</v>
      </c>
      <c r="C1713">
        <v>16</v>
      </c>
      <c r="D1713">
        <v>19.899999999999999</v>
      </c>
      <c r="E1713">
        <v>45</v>
      </c>
      <c r="F1713">
        <v>2.8635753649942947E-2</v>
      </c>
      <c r="G1713" t="str">
        <f t="shared" si="96"/>
        <v>Insert into BlueCreditTypeRainbow Values (16, 9.9, 16, 19.9, 45, 0.0286357536499429)</v>
      </c>
      <c r="N1713" s="4">
        <v>1710</v>
      </c>
      <c r="O1713" s="8">
        <f>$B$7*COUNTIF(Sheet2!$B$1:$B$132,N1713)</f>
        <v>0</v>
      </c>
      <c r="P1713" s="8">
        <f t="shared" ca="1" si="94"/>
        <v>0</v>
      </c>
      <c r="Q1713" s="8">
        <f ca="1">CEILING(R1712*(IF(N1713&lt;=IF($B$2=0,0,OFFSET(Sheet2!$B$1,Sheet1!$B$2-1,0)),$B$1/(365*100),$B$3/(365*100)))*100,1)/100</f>
        <v>124.64</v>
      </c>
      <c r="R1713" s="9">
        <f t="shared" ca="1" si="95"/>
        <v>305442.65068038146</v>
      </c>
    </row>
    <row r="1714" spans="1:18" x14ac:dyDescent="0.25">
      <c r="A1714">
        <v>16</v>
      </c>
      <c r="B1714">
        <v>9.9</v>
      </c>
      <c r="C1714">
        <v>16</v>
      </c>
      <c r="D1714">
        <v>19.899999999999999</v>
      </c>
      <c r="E1714">
        <v>46</v>
      </c>
      <c r="F1714">
        <v>2.8205810148108926E-2</v>
      </c>
      <c r="G1714" t="str">
        <f t="shared" si="96"/>
        <v>Insert into BlueCreditTypeRainbow Values (16, 9.9, 16, 19.9, 46, 0.0282058101481089)</v>
      </c>
      <c r="N1714" s="4">
        <v>1711</v>
      </c>
      <c r="O1714" s="8">
        <f>$B$7*COUNTIF(Sheet2!$B$1:$B$132,N1714)</f>
        <v>0</v>
      </c>
      <c r="P1714" s="8">
        <f t="shared" ca="1" si="94"/>
        <v>0</v>
      </c>
      <c r="Q1714" s="8">
        <f ca="1">CEILING(R1713*(IF(N1714&lt;=IF($B$2=0,0,OFFSET(Sheet2!$B$1,Sheet1!$B$2-1,0)),$B$1/(365*100),$B$3/(365*100)))*100,1)/100</f>
        <v>124.69</v>
      </c>
      <c r="R1714" s="9">
        <f t="shared" ca="1" si="95"/>
        <v>305567.34068038146</v>
      </c>
    </row>
    <row r="1715" spans="1:18" x14ac:dyDescent="0.25">
      <c r="A1715">
        <v>16</v>
      </c>
      <c r="B1715">
        <v>9.9</v>
      </c>
      <c r="C1715">
        <v>16</v>
      </c>
      <c r="D1715">
        <v>19.899999999999999</v>
      </c>
      <c r="E1715">
        <v>47</v>
      </c>
      <c r="F1715">
        <v>2.7795482127659563E-2</v>
      </c>
      <c r="G1715" t="str">
        <f t="shared" si="96"/>
        <v>Insert into BlueCreditTypeRainbow Values (16, 9.9, 16, 19.9, 47, 0.0277954821276596)</v>
      </c>
      <c r="N1715" s="4">
        <v>1712</v>
      </c>
      <c r="O1715" s="8">
        <f>$B$7*COUNTIF(Sheet2!$B$1:$B$132,N1715)</f>
        <v>0</v>
      </c>
      <c r="P1715" s="8">
        <f t="shared" ca="1" si="94"/>
        <v>0</v>
      </c>
      <c r="Q1715" s="8">
        <f ca="1">CEILING(R1714*(IF(N1715&lt;=IF($B$2=0,0,OFFSET(Sheet2!$B$1,Sheet1!$B$2-1,0)),$B$1/(365*100),$B$3/(365*100)))*100,1)/100</f>
        <v>124.74</v>
      </c>
      <c r="R1715" s="9">
        <f t="shared" ca="1" si="95"/>
        <v>305692.08068038145</v>
      </c>
    </row>
    <row r="1716" spans="1:18" x14ac:dyDescent="0.25">
      <c r="A1716">
        <v>16</v>
      </c>
      <c r="B1716">
        <v>9.9</v>
      </c>
      <c r="C1716">
        <v>16</v>
      </c>
      <c r="D1716">
        <v>19.899999999999999</v>
      </c>
      <c r="E1716">
        <v>48</v>
      </c>
      <c r="F1716">
        <v>2.740328918313064E-2</v>
      </c>
      <c r="G1716" t="str">
        <f t="shared" si="96"/>
        <v>Insert into BlueCreditTypeRainbow Values (16, 9.9, 16, 19.9, 48, 0.0274032891831306)</v>
      </c>
      <c r="N1716" s="4">
        <v>1713</v>
      </c>
      <c r="O1716" s="8">
        <f>$B$7*COUNTIF(Sheet2!$B$1:$B$132,N1716)</f>
        <v>0</v>
      </c>
      <c r="P1716" s="8">
        <f t="shared" ca="1" si="94"/>
        <v>0</v>
      </c>
      <c r="Q1716" s="8">
        <f ca="1">CEILING(R1715*(IF(N1716&lt;=IF($B$2=0,0,OFFSET(Sheet2!$B$1,Sheet1!$B$2-1,0)),$B$1/(365*100),$B$3/(365*100)))*100,1)/100</f>
        <v>124.79</v>
      </c>
      <c r="R1716" s="9">
        <f t="shared" ca="1" si="95"/>
        <v>305816.87068038143</v>
      </c>
    </row>
    <row r="1717" spans="1:18" x14ac:dyDescent="0.25">
      <c r="A1717">
        <v>16</v>
      </c>
      <c r="B1717">
        <v>9.9</v>
      </c>
      <c r="C1717">
        <v>15</v>
      </c>
      <c r="D1717">
        <v>19.899999999999999</v>
      </c>
      <c r="E1717">
        <v>36</v>
      </c>
      <c r="F1717">
        <v>3.3807080000000031E-2</v>
      </c>
      <c r="G1717" t="str">
        <f t="shared" si="96"/>
        <v>Insert into BlueCreditTypeRainbow Values (16, 9.9, 15, 19.9, 36, 0.03380708)</v>
      </c>
      <c r="N1717" s="4">
        <v>1714</v>
      </c>
      <c r="O1717" s="8">
        <f>$B$7*COUNTIF(Sheet2!$B$1:$B$132,N1717)</f>
        <v>0</v>
      </c>
      <c r="P1717" s="8">
        <f t="shared" ca="1" si="94"/>
        <v>0</v>
      </c>
      <c r="Q1717" s="8">
        <f ca="1">CEILING(R1716*(IF(N1717&lt;=IF($B$2=0,0,OFFSET(Sheet2!$B$1,Sheet1!$B$2-1,0)),$B$1/(365*100),$B$3/(365*100)))*100,1)/100</f>
        <v>124.85</v>
      </c>
      <c r="R1717" s="9">
        <f t="shared" ca="1" si="95"/>
        <v>305941.7206803814</v>
      </c>
    </row>
    <row r="1718" spans="1:18" x14ac:dyDescent="0.25">
      <c r="A1718">
        <v>16</v>
      </c>
      <c r="B1718">
        <v>9.9</v>
      </c>
      <c r="C1718">
        <v>15</v>
      </c>
      <c r="D1718">
        <v>19.899999999999999</v>
      </c>
      <c r="E1718">
        <v>37</v>
      </c>
      <c r="F1718">
        <v>3.3120887777777337E-2</v>
      </c>
      <c r="G1718" t="str">
        <f t="shared" si="96"/>
        <v>Insert into BlueCreditTypeRainbow Values (16, 9.9, 15, 19.9, 37, 0.0331208877777773)</v>
      </c>
      <c r="N1718" s="4">
        <v>1715</v>
      </c>
      <c r="O1718" s="8">
        <f>$B$7*COUNTIF(Sheet2!$B$1:$B$132,N1718)</f>
        <v>0</v>
      </c>
      <c r="P1718" s="8">
        <f t="shared" ca="1" si="94"/>
        <v>0</v>
      </c>
      <c r="Q1718" s="8">
        <f ca="1">CEILING(R1717*(IF(N1718&lt;=IF($B$2=0,0,OFFSET(Sheet2!$B$1,Sheet1!$B$2-1,0)),$B$1/(365*100),$B$3/(365*100)))*100,1)/100</f>
        <v>124.9</v>
      </c>
      <c r="R1718" s="9">
        <f t="shared" ca="1" si="95"/>
        <v>306066.62068038143</v>
      </c>
    </row>
    <row r="1719" spans="1:18" x14ac:dyDescent="0.25">
      <c r="A1719">
        <v>16</v>
      </c>
      <c r="B1719">
        <v>9.9</v>
      </c>
      <c r="C1719">
        <v>15</v>
      </c>
      <c r="D1719">
        <v>19.899999999999999</v>
      </c>
      <c r="E1719">
        <v>38</v>
      </c>
      <c r="F1719">
        <v>3.2472482562813966E-2</v>
      </c>
      <c r="G1719" t="str">
        <f t="shared" si="96"/>
        <v>Insert into BlueCreditTypeRainbow Values (16, 9.9, 15, 19.9, 38, 0.032472482562814)</v>
      </c>
      <c r="N1719" s="4">
        <v>1716</v>
      </c>
      <c r="O1719" s="8">
        <f>$B$7*COUNTIF(Sheet2!$B$1:$B$132,N1719)</f>
        <v>0</v>
      </c>
      <c r="P1719" s="8">
        <f t="shared" ca="1" si="94"/>
        <v>0</v>
      </c>
      <c r="Q1719" s="8">
        <f ca="1">CEILING(R1718*(IF(N1719&lt;=IF($B$2=0,0,OFFSET(Sheet2!$B$1,Sheet1!$B$2-1,0)),$B$1/(365*100),$B$3/(365*100)))*100,1)/100</f>
        <v>124.95</v>
      </c>
      <c r="R1719" s="9">
        <f t="shared" ca="1" si="95"/>
        <v>306191.57068038144</v>
      </c>
    </row>
    <row r="1720" spans="1:18" x14ac:dyDescent="0.25">
      <c r="A1720">
        <v>16</v>
      </c>
      <c r="B1720">
        <v>9.9</v>
      </c>
      <c r="C1720">
        <v>15</v>
      </c>
      <c r="D1720">
        <v>19.899999999999999</v>
      </c>
      <c r="E1720">
        <v>39</v>
      </c>
      <c r="F1720">
        <v>3.1859219379038024E-2</v>
      </c>
      <c r="G1720" t="str">
        <f t="shared" si="96"/>
        <v>Insert into BlueCreditTypeRainbow Values (16, 9.9, 15, 19.9, 39, 0.031859219379038)</v>
      </c>
      <c r="N1720" s="4">
        <v>1717</v>
      </c>
      <c r="O1720" s="8">
        <f>$B$7*COUNTIF(Sheet2!$B$1:$B$132,N1720)</f>
        <v>0</v>
      </c>
      <c r="P1720" s="8">
        <f t="shared" ca="1" si="94"/>
        <v>0</v>
      </c>
      <c r="Q1720" s="8">
        <f ca="1">CEILING(R1719*(IF(N1720&lt;=IF($B$2=0,0,OFFSET(Sheet2!$B$1,Sheet1!$B$2-1,0)),$B$1/(365*100),$B$3/(365*100)))*100,1)/100</f>
        <v>125</v>
      </c>
      <c r="R1720" s="9">
        <f t="shared" ca="1" si="95"/>
        <v>306316.57068038144</v>
      </c>
    </row>
    <row r="1721" spans="1:18" x14ac:dyDescent="0.25">
      <c r="A1721">
        <v>16</v>
      </c>
      <c r="B1721">
        <v>9.9</v>
      </c>
      <c r="C1721">
        <v>15</v>
      </c>
      <c r="D1721">
        <v>19.899999999999999</v>
      </c>
      <c r="E1721">
        <v>40</v>
      </c>
      <c r="F1721">
        <v>3.1278404276789337E-2</v>
      </c>
      <c r="G1721" t="str">
        <f t="shared" si="96"/>
        <v>Insert into BlueCreditTypeRainbow Values (16, 9.9, 15, 19.9, 40, 0.0312784042767893)</v>
      </c>
      <c r="N1721" s="4">
        <v>1718</v>
      </c>
      <c r="O1721" s="8">
        <f>$B$7*COUNTIF(Sheet2!$B$1:$B$132,N1721)</f>
        <v>0</v>
      </c>
      <c r="P1721" s="8">
        <f t="shared" ca="1" si="94"/>
        <v>0</v>
      </c>
      <c r="Q1721" s="8">
        <f ca="1">CEILING(R1720*(IF(N1721&lt;=IF($B$2=0,0,OFFSET(Sheet2!$B$1,Sheet1!$B$2-1,0)),$B$1/(365*100),$B$3/(365*100)))*100,1)/100</f>
        <v>125.05</v>
      </c>
      <c r="R1721" s="9">
        <f t="shared" ca="1" si="95"/>
        <v>306441.62068038143</v>
      </c>
    </row>
    <row r="1722" spans="1:18" x14ac:dyDescent="0.25">
      <c r="A1722">
        <v>16</v>
      </c>
      <c r="B1722">
        <v>9.9</v>
      </c>
      <c r="C1722">
        <v>15</v>
      </c>
      <c r="D1722">
        <v>19.899999999999999</v>
      </c>
      <c r="E1722">
        <v>41</v>
      </c>
      <c r="F1722">
        <v>3.0727310186115051E-2</v>
      </c>
      <c r="G1722" t="str">
        <f t="shared" si="96"/>
        <v>Insert into BlueCreditTypeRainbow Values (16, 9.9, 15, 19.9, 41, 0.0307273101861151)</v>
      </c>
      <c r="N1722" s="4">
        <v>1719</v>
      </c>
      <c r="O1722" s="8">
        <f>$B$7*COUNTIF(Sheet2!$B$1:$B$132,N1722)</f>
        <v>0</v>
      </c>
      <c r="P1722" s="8">
        <f t="shared" ca="1" si="94"/>
        <v>0</v>
      </c>
      <c r="Q1722" s="8">
        <f ca="1">CEILING(R1721*(IF(N1722&lt;=IF($B$2=0,0,OFFSET(Sheet2!$B$1,Sheet1!$B$2-1,0)),$B$1/(365*100),$B$3/(365*100)))*100,1)/100</f>
        <v>125.1</v>
      </c>
      <c r="R1722" s="9">
        <f t="shared" ca="1" si="95"/>
        <v>306566.7206803814</v>
      </c>
    </row>
    <row r="1723" spans="1:18" x14ac:dyDescent="0.25">
      <c r="A1723">
        <v>16</v>
      </c>
      <c r="B1723">
        <v>9.9</v>
      </c>
      <c r="C1723">
        <v>15</v>
      </c>
      <c r="D1723">
        <v>19.899999999999999</v>
      </c>
      <c r="E1723">
        <v>42</v>
      </c>
      <c r="F1723">
        <v>3.0204059070424581E-2</v>
      </c>
      <c r="G1723" t="str">
        <f t="shared" si="96"/>
        <v>Insert into BlueCreditTypeRainbow Values (16, 9.9, 15, 19.9, 42, 0.0302040590704246)</v>
      </c>
      <c r="N1723" s="4">
        <v>1720</v>
      </c>
      <c r="O1723" s="8">
        <f>$B$7*COUNTIF(Sheet2!$B$1:$B$132,N1723)</f>
        <v>0</v>
      </c>
      <c r="P1723" s="8">
        <f t="shared" ca="1" si="94"/>
        <v>0</v>
      </c>
      <c r="Q1723" s="8">
        <f ca="1">CEILING(R1722*(IF(N1723&lt;=IF($B$2=0,0,OFFSET(Sheet2!$B$1,Sheet1!$B$2-1,0)),$B$1/(365*100),$B$3/(365*100)))*100,1)/100</f>
        <v>125.15</v>
      </c>
      <c r="R1723" s="9">
        <f t="shared" ca="1" si="95"/>
        <v>306691.87068038143</v>
      </c>
    </row>
    <row r="1724" spans="1:18" x14ac:dyDescent="0.25">
      <c r="A1724">
        <v>16</v>
      </c>
      <c r="B1724">
        <v>9.9</v>
      </c>
      <c r="C1724">
        <v>15</v>
      </c>
      <c r="D1724">
        <v>19.899999999999999</v>
      </c>
      <c r="E1724">
        <v>43</v>
      </c>
      <c r="F1724">
        <v>2.9706399778551263E-2</v>
      </c>
      <c r="G1724" t="str">
        <f t="shared" si="96"/>
        <v>Insert into BlueCreditTypeRainbow Values (16, 9.9, 15, 19.9, 43, 0.0297063997785513)</v>
      </c>
      <c r="N1724" s="4">
        <v>1721</v>
      </c>
      <c r="O1724" s="8">
        <f>$B$7*COUNTIF(Sheet2!$B$1:$B$132,N1724)</f>
        <v>0</v>
      </c>
      <c r="P1724" s="8">
        <f t="shared" ca="1" si="94"/>
        <v>0</v>
      </c>
      <c r="Q1724" s="8">
        <f ca="1">CEILING(R1723*(IF(N1724&lt;=IF($B$2=0,0,OFFSET(Sheet2!$B$1,Sheet1!$B$2-1,0)),$B$1/(365*100),$B$3/(365*100)))*100,1)/100</f>
        <v>125.2</v>
      </c>
      <c r="R1724" s="9">
        <f t="shared" ca="1" si="95"/>
        <v>306817.07068038144</v>
      </c>
    </row>
    <row r="1725" spans="1:18" x14ac:dyDescent="0.25">
      <c r="A1725">
        <v>16</v>
      </c>
      <c r="B1725">
        <v>9.9</v>
      </c>
      <c r="C1725">
        <v>15</v>
      </c>
      <c r="D1725">
        <v>19.899999999999999</v>
      </c>
      <c r="E1725">
        <v>44</v>
      </c>
      <c r="F1725">
        <v>2.9232562954545453E-2</v>
      </c>
      <c r="G1725" t="str">
        <f t="shared" si="96"/>
        <v>Insert into BlueCreditTypeRainbow Values (16, 9.9, 15, 19.9, 44, 0.0292325629545455)</v>
      </c>
      <c r="N1725" s="4">
        <v>1722</v>
      </c>
      <c r="O1725" s="8">
        <f>$B$7*COUNTIF(Sheet2!$B$1:$B$132,N1725)</f>
        <v>0</v>
      </c>
      <c r="P1725" s="8">
        <f t="shared" ca="1" si="94"/>
        <v>0</v>
      </c>
      <c r="Q1725" s="8">
        <f ca="1">CEILING(R1724*(IF(N1725&lt;=IF($B$2=0,0,OFFSET(Sheet2!$B$1,Sheet1!$B$2-1,0)),$B$1/(365*100),$B$3/(365*100)))*100,1)/100</f>
        <v>125.25</v>
      </c>
      <c r="R1725" s="9">
        <f t="shared" ca="1" si="95"/>
        <v>306942.32068038144</v>
      </c>
    </row>
    <row r="1726" spans="1:18" x14ac:dyDescent="0.25">
      <c r="A1726">
        <v>16</v>
      </c>
      <c r="B1726">
        <v>9.9</v>
      </c>
      <c r="C1726">
        <v>15</v>
      </c>
      <c r="D1726">
        <v>19.899999999999999</v>
      </c>
      <c r="E1726">
        <v>45</v>
      </c>
      <c r="F1726">
        <v>2.8781176444713664E-2</v>
      </c>
      <c r="G1726" t="str">
        <f t="shared" si="96"/>
        <v>Insert into BlueCreditTypeRainbow Values (16, 9.9, 15, 19.9, 45, 0.0287811764447137)</v>
      </c>
      <c r="N1726" s="4">
        <v>1723</v>
      </c>
      <c r="O1726" s="8">
        <f>$B$7*COUNTIF(Sheet2!$B$1:$B$132,N1726)</f>
        <v>0</v>
      </c>
      <c r="P1726" s="8">
        <f t="shared" ca="1" si="94"/>
        <v>0</v>
      </c>
      <c r="Q1726" s="8">
        <f ca="1">CEILING(R1725*(IF(N1726&lt;=IF($B$2=0,0,OFFSET(Sheet2!$B$1,Sheet1!$B$2-1,0)),$B$1/(365*100),$B$3/(365*100)))*100,1)/100</f>
        <v>125.3</v>
      </c>
      <c r="R1726" s="9">
        <f t="shared" ca="1" si="95"/>
        <v>307067.62068038143</v>
      </c>
    </row>
    <row r="1727" spans="1:18" x14ac:dyDescent="0.25">
      <c r="A1727">
        <v>16</v>
      </c>
      <c r="B1727">
        <v>9.9</v>
      </c>
      <c r="C1727">
        <v>15</v>
      </c>
      <c r="D1727">
        <v>19.899999999999999</v>
      </c>
      <c r="E1727">
        <v>46</v>
      </c>
      <c r="F1727">
        <v>2.8350503478260881E-2</v>
      </c>
      <c r="G1727" t="str">
        <f t="shared" si="96"/>
        <v>Insert into BlueCreditTypeRainbow Values (16, 9.9, 15, 19.9, 46, 0.0283505034782609)</v>
      </c>
      <c r="N1727" s="4">
        <v>1724</v>
      </c>
      <c r="O1727" s="8">
        <f>$B$7*COUNTIF(Sheet2!$B$1:$B$132,N1727)</f>
        <v>0</v>
      </c>
      <c r="P1727" s="8">
        <f t="shared" ca="1" si="94"/>
        <v>0</v>
      </c>
      <c r="Q1727" s="8">
        <f ca="1">CEILING(R1726*(IF(N1727&lt;=IF($B$2=0,0,OFFSET(Sheet2!$B$1,Sheet1!$B$2-1,0)),$B$1/(365*100),$B$3/(365*100)))*100,1)/100</f>
        <v>125.36</v>
      </c>
      <c r="R1727" s="9">
        <f t="shared" ca="1" si="95"/>
        <v>307192.98068038141</v>
      </c>
    </row>
    <row r="1728" spans="1:18" x14ac:dyDescent="0.25">
      <c r="A1728">
        <v>16</v>
      </c>
      <c r="B1728">
        <v>9.9</v>
      </c>
      <c r="C1728">
        <v>15</v>
      </c>
      <c r="D1728">
        <v>19.899999999999999</v>
      </c>
      <c r="E1728">
        <v>47</v>
      </c>
      <c r="F1728">
        <v>2.7939435976256834E-2</v>
      </c>
      <c r="G1728" t="str">
        <f t="shared" si="96"/>
        <v>Insert into BlueCreditTypeRainbow Values (16, 9.9, 15, 19.9, 47, 0.0279394359762568)</v>
      </c>
      <c r="N1728" s="4">
        <v>1725</v>
      </c>
      <c r="O1728" s="8">
        <f>$B$7*COUNTIF(Sheet2!$B$1:$B$132,N1728)</f>
        <v>0</v>
      </c>
      <c r="P1728" s="8">
        <f t="shared" ca="1" si="94"/>
        <v>0</v>
      </c>
      <c r="Q1728" s="8">
        <f ca="1">CEILING(R1727*(IF(N1728&lt;=IF($B$2=0,0,OFFSET(Sheet2!$B$1,Sheet1!$B$2-1,0)),$B$1/(365*100),$B$3/(365*100)))*100,1)/100</f>
        <v>125.41</v>
      </c>
      <c r="R1728" s="9">
        <f t="shared" ca="1" si="95"/>
        <v>307318.39068038139</v>
      </c>
    </row>
    <row r="1729" spans="1:18" x14ac:dyDescent="0.25">
      <c r="A1729">
        <v>16</v>
      </c>
      <c r="B1729">
        <v>9.9</v>
      </c>
      <c r="C1729">
        <v>15</v>
      </c>
      <c r="D1729">
        <v>19.899999999999999</v>
      </c>
      <c r="E1729">
        <v>48</v>
      </c>
      <c r="F1729">
        <v>2.754650271880962E-2</v>
      </c>
      <c r="G1729" t="str">
        <f t="shared" si="96"/>
        <v>Insert into BlueCreditTypeRainbow Values (16, 9.9, 15, 19.9, 48, 0.0275465027188096)</v>
      </c>
      <c r="N1729" s="4">
        <v>1726</v>
      </c>
      <c r="O1729" s="8">
        <f>$B$7*COUNTIF(Sheet2!$B$1:$B$132,N1729)</f>
        <v>0</v>
      </c>
      <c r="P1729" s="8">
        <f t="shared" ca="1" si="94"/>
        <v>0</v>
      </c>
      <c r="Q1729" s="8">
        <f ca="1">CEILING(R1728*(IF(N1729&lt;=IF($B$2=0,0,OFFSET(Sheet2!$B$1,Sheet1!$B$2-1,0)),$B$1/(365*100),$B$3/(365*100)))*100,1)/100</f>
        <v>125.46</v>
      </c>
      <c r="R1729" s="9">
        <f t="shared" ca="1" si="95"/>
        <v>307443.85068038141</v>
      </c>
    </row>
    <row r="1730" spans="1:18" x14ac:dyDescent="0.25">
      <c r="A1730">
        <v>16</v>
      </c>
      <c r="B1730">
        <v>9.9</v>
      </c>
      <c r="C1730">
        <v>14</v>
      </c>
      <c r="D1730">
        <v>19.899999999999999</v>
      </c>
      <c r="E1730">
        <v>36</v>
      </c>
      <c r="F1730">
        <v>3.3961273632821101E-2</v>
      </c>
      <c r="G1730" t="str">
        <f t="shared" si="96"/>
        <v>Insert into BlueCreditTypeRainbow Values (16, 9.9, 14, 19.9, 36, 0.0339612736328211)</v>
      </c>
      <c r="N1730" s="4">
        <v>1727</v>
      </c>
      <c r="O1730" s="8">
        <f>$B$7*COUNTIF(Sheet2!$B$1:$B$132,N1730)</f>
        <v>0</v>
      </c>
      <c r="P1730" s="8">
        <f t="shared" ca="1" si="94"/>
        <v>0</v>
      </c>
      <c r="Q1730" s="8">
        <f ca="1">CEILING(R1729*(IF(N1730&lt;=IF($B$2=0,0,OFFSET(Sheet2!$B$1,Sheet1!$B$2-1,0)),$B$1/(365*100),$B$3/(365*100)))*100,1)/100</f>
        <v>125.51</v>
      </c>
      <c r="R1730" s="9">
        <f t="shared" ca="1" si="95"/>
        <v>307569.36068038142</v>
      </c>
    </row>
    <row r="1731" spans="1:18" x14ac:dyDescent="0.25">
      <c r="A1731">
        <v>16</v>
      </c>
      <c r="B1731">
        <v>9.9</v>
      </c>
      <c r="C1731">
        <v>14</v>
      </c>
      <c r="D1731">
        <v>19.899999999999999</v>
      </c>
      <c r="E1731">
        <v>37</v>
      </c>
      <c r="F1731">
        <v>3.3274423539322528E-2</v>
      </c>
      <c r="G1731" t="str">
        <f t="shared" si="96"/>
        <v>Insert into BlueCreditTypeRainbow Values (16, 9.9, 14, 19.9, 37, 0.0332744235393225)</v>
      </c>
      <c r="N1731" s="4">
        <v>1728</v>
      </c>
      <c r="O1731" s="8">
        <f>$B$7*COUNTIF(Sheet2!$B$1:$B$132,N1731)</f>
        <v>0</v>
      </c>
      <c r="P1731" s="8">
        <f t="shared" ca="1" si="94"/>
        <v>0</v>
      </c>
      <c r="Q1731" s="8">
        <f ca="1">CEILING(R1730*(IF(N1731&lt;=IF($B$2=0,0,OFFSET(Sheet2!$B$1,Sheet1!$B$2-1,0)),$B$1/(365*100),$B$3/(365*100)))*100,1)/100</f>
        <v>125.56</v>
      </c>
      <c r="R1731" s="9">
        <f t="shared" ca="1" si="95"/>
        <v>307694.92068038142</v>
      </c>
    </row>
    <row r="1732" spans="1:18" x14ac:dyDescent="0.25">
      <c r="A1732">
        <v>16</v>
      </c>
      <c r="B1732">
        <v>9.9</v>
      </c>
      <c r="C1732">
        <v>14</v>
      </c>
      <c r="D1732">
        <v>19.899999999999999</v>
      </c>
      <c r="E1732">
        <v>38</v>
      </c>
      <c r="F1732">
        <v>3.2625295656564704E-2</v>
      </c>
      <c r="G1732" t="str">
        <f t="shared" si="96"/>
        <v>Insert into BlueCreditTypeRainbow Values (16, 9.9, 14, 19.9, 38, 0.0326252956565647)</v>
      </c>
      <c r="N1732" s="4">
        <v>1729</v>
      </c>
      <c r="O1732" s="8">
        <f>$B$7*COUNTIF(Sheet2!$B$1:$B$132,N1732)</f>
        <v>0</v>
      </c>
      <c r="P1732" s="8">
        <f t="shared" ca="1" si="94"/>
        <v>0</v>
      </c>
      <c r="Q1732" s="8">
        <f ca="1">CEILING(R1731*(IF(N1732&lt;=IF($B$2=0,0,OFFSET(Sheet2!$B$1,Sheet1!$B$2-1,0)),$B$1/(365*100),$B$3/(365*100)))*100,1)/100</f>
        <v>125.61</v>
      </c>
      <c r="R1732" s="9">
        <f t="shared" ca="1" si="95"/>
        <v>307820.5306803814</v>
      </c>
    </row>
    <row r="1733" spans="1:18" x14ac:dyDescent="0.25">
      <c r="A1733">
        <v>16</v>
      </c>
      <c r="B1733">
        <v>9.9</v>
      </c>
      <c r="C1733">
        <v>14</v>
      </c>
      <c r="D1733">
        <v>19.899999999999999</v>
      </c>
      <c r="E1733">
        <v>39</v>
      </c>
      <c r="F1733">
        <v>3.2011274358974391E-2</v>
      </c>
      <c r="G1733" t="str">
        <f t="shared" si="96"/>
        <v>Insert into BlueCreditTypeRainbow Values (16, 9.9, 14, 19.9, 39, 0.0320112743589744)</v>
      </c>
      <c r="N1733" s="4">
        <v>1730</v>
      </c>
      <c r="O1733" s="8">
        <f>$B$7*COUNTIF(Sheet2!$B$1:$B$132,N1733)</f>
        <v>0</v>
      </c>
      <c r="P1733" s="8">
        <f t="shared" ref="P1733:P1796" ca="1" si="97">IF(O1733-Q1733&gt; 0, O1733-Q1733, 0)</f>
        <v>0</v>
      </c>
      <c r="Q1733" s="8">
        <f ca="1">CEILING(R1732*(IF(N1733&lt;=IF($B$2=0,0,OFFSET(Sheet2!$B$1,Sheet1!$B$2-1,0)),$B$1/(365*100),$B$3/(365*100)))*100,1)/100</f>
        <v>125.66</v>
      </c>
      <c r="R1733" s="9">
        <f t="shared" ref="R1733:R1796" ca="1" si="98">R1732+Q1733-O1733</f>
        <v>307946.19068038138</v>
      </c>
    </row>
    <row r="1734" spans="1:18" x14ac:dyDescent="0.25">
      <c r="A1734">
        <v>16</v>
      </c>
      <c r="B1734">
        <v>9.9</v>
      </c>
      <c r="C1734">
        <v>14</v>
      </c>
      <c r="D1734">
        <v>19.899999999999999</v>
      </c>
      <c r="E1734">
        <v>40</v>
      </c>
      <c r="F1734">
        <v>3.1429659230527617E-2</v>
      </c>
      <c r="G1734" t="str">
        <f t="shared" si="96"/>
        <v>Insert into BlueCreditTypeRainbow Values (16, 9.9, 14, 19.9, 40, 0.0314296592305276)</v>
      </c>
      <c r="N1734" s="4">
        <v>1731</v>
      </c>
      <c r="O1734" s="8">
        <f>$B$7*COUNTIF(Sheet2!$B$1:$B$132,N1734)</f>
        <v>0</v>
      </c>
      <c r="P1734" s="8">
        <f t="shared" ca="1" si="97"/>
        <v>0</v>
      </c>
      <c r="Q1734" s="8">
        <f ca="1">CEILING(R1733*(IF(N1734&lt;=IF($B$2=0,0,OFFSET(Sheet2!$B$1,Sheet1!$B$2-1,0)),$B$1/(365*100),$B$3/(365*100)))*100,1)/100</f>
        <v>125.71</v>
      </c>
      <c r="R1734" s="9">
        <f t="shared" ca="1" si="98"/>
        <v>308071.9006803814</v>
      </c>
    </row>
    <row r="1735" spans="1:18" x14ac:dyDescent="0.25">
      <c r="A1735">
        <v>16</v>
      </c>
      <c r="B1735">
        <v>9.9</v>
      </c>
      <c r="C1735">
        <v>14</v>
      </c>
      <c r="D1735">
        <v>19.899999999999999</v>
      </c>
      <c r="E1735">
        <v>41</v>
      </c>
      <c r="F1735">
        <v>3.0877745609756122E-2</v>
      </c>
      <c r="G1735" t="str">
        <f t="shared" si="96"/>
        <v>Insert into BlueCreditTypeRainbow Values (16, 9.9, 14, 19.9, 41, 0.0308777456097561)</v>
      </c>
      <c r="N1735" s="4">
        <v>1732</v>
      </c>
      <c r="O1735" s="8">
        <f>$B$7*COUNTIF(Sheet2!$B$1:$B$132,N1735)</f>
        <v>0</v>
      </c>
      <c r="P1735" s="8">
        <f t="shared" ca="1" si="97"/>
        <v>0</v>
      </c>
      <c r="Q1735" s="8">
        <f ca="1">CEILING(R1734*(IF(N1735&lt;=IF($B$2=0,0,OFFSET(Sheet2!$B$1,Sheet1!$B$2-1,0)),$B$1/(365*100),$B$3/(365*100)))*100,1)/100</f>
        <v>125.77</v>
      </c>
      <c r="R1735" s="9">
        <f t="shared" ca="1" si="98"/>
        <v>308197.67068038142</v>
      </c>
    </row>
    <row r="1736" spans="1:18" x14ac:dyDescent="0.25">
      <c r="A1736">
        <v>16</v>
      </c>
      <c r="B1736">
        <v>9.9</v>
      </c>
      <c r="C1736">
        <v>14</v>
      </c>
      <c r="D1736">
        <v>19.899999999999999</v>
      </c>
      <c r="E1736">
        <v>42</v>
      </c>
      <c r="F1736">
        <v>3.035365692854429E-2</v>
      </c>
      <c r="G1736" t="str">
        <f t="shared" si="96"/>
        <v>Insert into BlueCreditTypeRainbow Values (16, 9.9, 14, 19.9, 42, 0.0303536569285443)</v>
      </c>
      <c r="N1736" s="4">
        <v>1733</v>
      </c>
      <c r="O1736" s="8">
        <f>$B$7*COUNTIF(Sheet2!$B$1:$B$132,N1736)</f>
        <v>0</v>
      </c>
      <c r="P1736" s="8">
        <f t="shared" ca="1" si="97"/>
        <v>0</v>
      </c>
      <c r="Q1736" s="8">
        <f ca="1">CEILING(R1735*(IF(N1736&lt;=IF($B$2=0,0,OFFSET(Sheet2!$B$1,Sheet1!$B$2-1,0)),$B$1/(365*100),$B$3/(365*100)))*100,1)/100</f>
        <v>125.82</v>
      </c>
      <c r="R1736" s="9">
        <f t="shared" ca="1" si="98"/>
        <v>308323.49068038142</v>
      </c>
    </row>
    <row r="1737" spans="1:18" x14ac:dyDescent="0.25">
      <c r="A1737">
        <v>16</v>
      </c>
      <c r="B1737">
        <v>9.9</v>
      </c>
      <c r="C1737">
        <v>14</v>
      </c>
      <c r="D1737">
        <v>19.899999999999999</v>
      </c>
      <c r="E1737">
        <v>43</v>
      </c>
      <c r="F1737">
        <v>2.9855141793751216E-2</v>
      </c>
      <c r="G1737" t="str">
        <f t="shared" si="96"/>
        <v>Insert into BlueCreditTypeRainbow Values (16, 9.9, 14, 19.9, 43, 0.0298551417937512)</v>
      </c>
      <c r="N1737" s="4">
        <v>1734</v>
      </c>
      <c r="O1737" s="8">
        <f>$B$7*COUNTIF(Sheet2!$B$1:$B$132,N1737)</f>
        <v>0</v>
      </c>
      <c r="P1737" s="8">
        <f t="shared" ca="1" si="97"/>
        <v>0</v>
      </c>
      <c r="Q1737" s="8">
        <f ca="1">CEILING(R1736*(IF(N1737&lt;=IF($B$2=0,0,OFFSET(Sheet2!$B$1,Sheet1!$B$2-1,0)),$B$1/(365*100),$B$3/(365*100)))*100,1)/100</f>
        <v>125.87</v>
      </c>
      <c r="R1737" s="9">
        <f t="shared" ca="1" si="98"/>
        <v>308449.36068038142</v>
      </c>
    </row>
    <row r="1738" spans="1:18" x14ac:dyDescent="0.25">
      <c r="A1738">
        <v>16</v>
      </c>
      <c r="B1738">
        <v>9.9</v>
      </c>
      <c r="C1738">
        <v>14</v>
      </c>
      <c r="D1738">
        <v>19.899999999999999</v>
      </c>
      <c r="E1738">
        <v>44</v>
      </c>
      <c r="F1738">
        <v>2.9380434541471052E-2</v>
      </c>
      <c r="G1738" t="str">
        <f t="shared" si="96"/>
        <v>Insert into BlueCreditTypeRainbow Values (16, 9.9, 14, 19.9, 44, 0.0293804345414711)</v>
      </c>
      <c r="N1738" s="4">
        <v>1735</v>
      </c>
      <c r="O1738" s="8">
        <f>$B$7*COUNTIF(Sheet2!$B$1:$B$132,N1738)</f>
        <v>0</v>
      </c>
      <c r="P1738" s="8">
        <f t="shared" ca="1" si="97"/>
        <v>0</v>
      </c>
      <c r="Q1738" s="8">
        <f ca="1">CEILING(R1737*(IF(N1738&lt;=IF($B$2=0,0,OFFSET(Sheet2!$B$1,Sheet1!$B$2-1,0)),$B$1/(365*100),$B$3/(365*100)))*100,1)/100</f>
        <v>125.92</v>
      </c>
      <c r="R1738" s="9">
        <f t="shared" ca="1" si="98"/>
        <v>308575.2806803814</v>
      </c>
    </row>
    <row r="1739" spans="1:18" x14ac:dyDescent="0.25">
      <c r="A1739">
        <v>16</v>
      </c>
      <c r="B1739">
        <v>9.9</v>
      </c>
      <c r="C1739">
        <v>14</v>
      </c>
      <c r="D1739">
        <v>19.899999999999999</v>
      </c>
      <c r="E1739">
        <v>45</v>
      </c>
      <c r="F1739">
        <v>2.8928175985669716E-2</v>
      </c>
      <c r="G1739" t="str">
        <f t="shared" si="96"/>
        <v>Insert into BlueCreditTypeRainbow Values (16, 9.9, 14, 19.9, 45, 0.0289281759856697)</v>
      </c>
      <c r="N1739" s="4">
        <v>1736</v>
      </c>
      <c r="O1739" s="8">
        <f>$B$7*COUNTIF(Sheet2!$B$1:$B$132,N1739)</f>
        <v>0</v>
      </c>
      <c r="P1739" s="8">
        <f t="shared" ca="1" si="97"/>
        <v>0</v>
      </c>
      <c r="Q1739" s="8">
        <f ca="1">CEILING(R1738*(IF(N1739&lt;=IF($B$2=0,0,OFFSET(Sheet2!$B$1,Sheet1!$B$2-1,0)),$B$1/(365*100),$B$3/(365*100)))*100,1)/100</f>
        <v>125.97</v>
      </c>
      <c r="R1739" s="9">
        <f t="shared" ca="1" si="98"/>
        <v>308701.25068038137</v>
      </c>
    </row>
    <row r="1740" spans="1:18" x14ac:dyDescent="0.25">
      <c r="A1740">
        <v>16</v>
      </c>
      <c r="B1740">
        <v>9.9</v>
      </c>
      <c r="C1740">
        <v>14</v>
      </c>
      <c r="D1740">
        <v>19.899999999999999</v>
      </c>
      <c r="E1740">
        <v>46</v>
      </c>
      <c r="F1740">
        <v>2.8496639585539239E-2</v>
      </c>
      <c r="G1740" t="str">
        <f t="shared" si="96"/>
        <v>Insert into BlueCreditTypeRainbow Values (16, 9.9, 14, 19.9, 46, 0.0284966395855392)</v>
      </c>
      <c r="N1740" s="4">
        <v>1737</v>
      </c>
      <c r="O1740" s="8">
        <f>$B$7*COUNTIF(Sheet2!$B$1:$B$132,N1740)</f>
        <v>0</v>
      </c>
      <c r="P1740" s="8">
        <f t="shared" ca="1" si="97"/>
        <v>0</v>
      </c>
      <c r="Q1740" s="8">
        <f ca="1">CEILING(R1739*(IF(N1740&lt;=IF($B$2=0,0,OFFSET(Sheet2!$B$1,Sheet1!$B$2-1,0)),$B$1/(365*100),$B$3/(365*100)))*100,1)/100</f>
        <v>126.02</v>
      </c>
      <c r="R1740" s="9">
        <f t="shared" ca="1" si="98"/>
        <v>308827.27068038139</v>
      </c>
    </row>
    <row r="1741" spans="1:18" x14ac:dyDescent="0.25">
      <c r="A1741">
        <v>16</v>
      </c>
      <c r="B1741">
        <v>9.9</v>
      </c>
      <c r="C1741">
        <v>14</v>
      </c>
      <c r="D1741">
        <v>19.899999999999999</v>
      </c>
      <c r="E1741">
        <v>47</v>
      </c>
      <c r="F1741">
        <v>2.8084701489361739E-2</v>
      </c>
      <c r="G1741" t="str">
        <f t="shared" si="96"/>
        <v>Insert into BlueCreditTypeRainbow Values (16, 9.9, 14, 19.9, 47, 0.0280847014893617)</v>
      </c>
      <c r="N1741" s="4">
        <v>1738</v>
      </c>
      <c r="O1741" s="8">
        <f>$B$7*COUNTIF(Sheet2!$B$1:$B$132,N1741)</f>
        <v>21157.10552356458</v>
      </c>
      <c r="P1741" s="8">
        <f t="shared" ca="1" si="97"/>
        <v>21031.03552356458</v>
      </c>
      <c r="Q1741" s="8">
        <f ca="1">CEILING(R1740*(IF(N1741&lt;=IF($B$2=0,0,OFFSET(Sheet2!$B$1,Sheet1!$B$2-1,0)),$B$1/(365*100),$B$3/(365*100)))*100,1)/100</f>
        <v>126.07</v>
      </c>
      <c r="R1741" s="9">
        <f t="shared" ca="1" si="98"/>
        <v>287796.23515681684</v>
      </c>
    </row>
    <row r="1742" spans="1:18" x14ac:dyDescent="0.25">
      <c r="A1742">
        <v>16</v>
      </c>
      <c r="B1742">
        <v>9.9</v>
      </c>
      <c r="C1742">
        <v>14</v>
      </c>
      <c r="D1742">
        <v>19.899999999999999</v>
      </c>
      <c r="E1742">
        <v>48</v>
      </c>
      <c r="F1742">
        <v>2.7690906666666733E-2</v>
      </c>
      <c r="G1742" t="str">
        <f t="shared" si="96"/>
        <v>Insert into BlueCreditTypeRainbow Values (16, 9.9, 14, 19.9, 48, 0.0276909066666667)</v>
      </c>
      <c r="N1742" s="4">
        <v>1739</v>
      </c>
      <c r="O1742" s="8">
        <f>$B$7*COUNTIF(Sheet2!$B$1:$B$132,N1742)</f>
        <v>0</v>
      </c>
      <c r="P1742" s="8">
        <f t="shared" ca="1" si="97"/>
        <v>0</v>
      </c>
      <c r="Q1742" s="8">
        <f ca="1">CEILING(R1741*(IF(N1742&lt;=IF($B$2=0,0,OFFSET(Sheet2!$B$1,Sheet1!$B$2-1,0)),$B$1/(365*100),$B$3/(365*100)))*100,1)/100</f>
        <v>117.49</v>
      </c>
      <c r="R1742" s="9">
        <f t="shared" ca="1" si="98"/>
        <v>287913.72515681683</v>
      </c>
    </row>
    <row r="1743" spans="1:18" x14ac:dyDescent="0.25">
      <c r="A1743">
        <v>16</v>
      </c>
      <c r="B1743">
        <v>9.9</v>
      </c>
      <c r="C1743">
        <v>13</v>
      </c>
      <c r="D1743">
        <v>19.899999999999999</v>
      </c>
      <c r="E1743">
        <v>36</v>
      </c>
      <c r="F1743">
        <v>3.4129514455555073E-2</v>
      </c>
      <c r="G1743" t="str">
        <f t="shared" ref="G1743:G1806" si="99">CONCATENATE("Insert into BlueCreditTypeRainbow Values (",A1743,", ",B1743,", ",C1743,", ",D1743,", ",E1743,", ",F1743,")")</f>
        <v>Insert into BlueCreditTypeRainbow Values (16, 9.9, 13, 19.9, 36, 0.0341295144555551)</v>
      </c>
      <c r="N1743" s="4">
        <v>1740</v>
      </c>
      <c r="O1743" s="8">
        <f>$B$7*COUNTIF(Sheet2!$B$1:$B$132,N1743)</f>
        <v>0</v>
      </c>
      <c r="P1743" s="8">
        <f t="shared" ca="1" si="97"/>
        <v>0</v>
      </c>
      <c r="Q1743" s="8">
        <f ca="1">CEILING(R1742*(IF(N1743&lt;=IF($B$2=0,0,OFFSET(Sheet2!$B$1,Sheet1!$B$2-1,0)),$B$1/(365*100),$B$3/(365*100)))*100,1)/100</f>
        <v>117.54</v>
      </c>
      <c r="R1743" s="9">
        <f t="shared" ca="1" si="98"/>
        <v>288031.26515681681</v>
      </c>
    </row>
    <row r="1744" spans="1:18" x14ac:dyDescent="0.25">
      <c r="A1744">
        <v>16</v>
      </c>
      <c r="B1744">
        <v>9.9</v>
      </c>
      <c r="C1744">
        <v>13</v>
      </c>
      <c r="D1744">
        <v>19.899999999999999</v>
      </c>
      <c r="E1744">
        <v>37</v>
      </c>
      <c r="F1744">
        <v>3.3441658942391157E-2</v>
      </c>
      <c r="G1744" t="str">
        <f t="shared" si="99"/>
        <v>Insert into BlueCreditTypeRainbow Values (16, 9.9, 13, 19.9, 37, 0.0334416589423912)</v>
      </c>
      <c r="N1744" s="4">
        <v>1741</v>
      </c>
      <c r="O1744" s="8">
        <f>$B$7*COUNTIF(Sheet2!$B$1:$B$132,N1744)</f>
        <v>0</v>
      </c>
      <c r="P1744" s="8">
        <f t="shared" ca="1" si="97"/>
        <v>0</v>
      </c>
      <c r="Q1744" s="8">
        <f ca="1">CEILING(R1743*(IF(N1744&lt;=IF($B$2=0,0,OFFSET(Sheet2!$B$1,Sheet1!$B$2-1,0)),$B$1/(365*100),$B$3/(365*100)))*100,1)/100</f>
        <v>117.58</v>
      </c>
      <c r="R1744" s="9">
        <f t="shared" ca="1" si="98"/>
        <v>288148.84515681682</v>
      </c>
    </row>
    <row r="1745" spans="1:18" x14ac:dyDescent="0.25">
      <c r="A1745">
        <v>16</v>
      </c>
      <c r="B1745">
        <v>9.9</v>
      </c>
      <c r="C1745">
        <v>13</v>
      </c>
      <c r="D1745">
        <v>19.899999999999999</v>
      </c>
      <c r="E1745">
        <v>38</v>
      </c>
      <c r="F1745">
        <v>3.2791487127229471E-2</v>
      </c>
      <c r="G1745" t="str">
        <f t="shared" si="99"/>
        <v>Insert into BlueCreditTypeRainbow Values (16, 9.9, 13, 19.9, 38, 0.0327914871272295)</v>
      </c>
      <c r="N1745" s="4">
        <v>1742</v>
      </c>
      <c r="O1745" s="8">
        <f>$B$7*COUNTIF(Sheet2!$B$1:$B$132,N1745)</f>
        <v>0</v>
      </c>
      <c r="P1745" s="8">
        <f t="shared" ca="1" si="97"/>
        <v>0</v>
      </c>
      <c r="Q1745" s="8">
        <f ca="1">CEILING(R1744*(IF(N1745&lt;=IF($B$2=0,0,OFFSET(Sheet2!$B$1,Sheet1!$B$2-1,0)),$B$1/(365*100),$B$3/(365*100)))*100,1)/100</f>
        <v>117.63</v>
      </c>
      <c r="R1745" s="9">
        <f t="shared" ca="1" si="98"/>
        <v>288266.47515681683</v>
      </c>
    </row>
    <row r="1746" spans="1:18" x14ac:dyDescent="0.25">
      <c r="A1746">
        <v>16</v>
      </c>
      <c r="B1746">
        <v>9.9</v>
      </c>
      <c r="C1746">
        <v>13</v>
      </c>
      <c r="D1746">
        <v>19.899999999999999</v>
      </c>
      <c r="E1746">
        <v>39</v>
      </c>
      <c r="F1746">
        <v>3.2176396153846168E-2</v>
      </c>
      <c r="G1746" t="str">
        <f t="shared" si="99"/>
        <v>Insert into BlueCreditTypeRainbow Values (16, 9.9, 13, 19.9, 39, 0.0321763961538462)</v>
      </c>
      <c r="N1746" s="4">
        <v>1743</v>
      </c>
      <c r="O1746" s="8">
        <f>$B$7*COUNTIF(Sheet2!$B$1:$B$132,N1746)</f>
        <v>0</v>
      </c>
      <c r="P1746" s="8">
        <f t="shared" ca="1" si="97"/>
        <v>0</v>
      </c>
      <c r="Q1746" s="8">
        <f ca="1">CEILING(R1745*(IF(N1746&lt;=IF($B$2=0,0,OFFSET(Sheet2!$B$1,Sheet1!$B$2-1,0)),$B$1/(365*100),$B$3/(365*100)))*100,1)/100</f>
        <v>117.68</v>
      </c>
      <c r="R1746" s="9">
        <f t="shared" ca="1" si="98"/>
        <v>288384.15515681682</v>
      </c>
    </row>
    <row r="1747" spans="1:18" x14ac:dyDescent="0.25">
      <c r="A1747">
        <v>16</v>
      </c>
      <c r="B1747">
        <v>9.9</v>
      </c>
      <c r="C1747">
        <v>13</v>
      </c>
      <c r="D1747">
        <v>19.899999999999999</v>
      </c>
      <c r="E1747">
        <v>40</v>
      </c>
      <c r="F1747">
        <v>3.1593702251219137E-2</v>
      </c>
      <c r="G1747" t="str">
        <f t="shared" si="99"/>
        <v>Insert into BlueCreditTypeRainbow Values (16, 9.9, 13, 19.9, 40, 0.0315937022512191)</v>
      </c>
      <c r="N1747" s="4">
        <v>1744</v>
      </c>
      <c r="O1747" s="8">
        <f>$B$7*COUNTIF(Sheet2!$B$1:$B$132,N1747)</f>
        <v>0</v>
      </c>
      <c r="P1747" s="8">
        <f t="shared" ca="1" si="97"/>
        <v>0</v>
      </c>
      <c r="Q1747" s="8">
        <f ca="1">CEILING(R1746*(IF(N1747&lt;=IF($B$2=0,0,OFFSET(Sheet2!$B$1,Sheet1!$B$2-1,0)),$B$1/(365*100),$B$3/(365*100)))*100,1)/100</f>
        <v>117.73</v>
      </c>
      <c r="R1747" s="9">
        <f t="shared" ca="1" si="98"/>
        <v>288501.8851568168</v>
      </c>
    </row>
    <row r="1748" spans="1:18" x14ac:dyDescent="0.25">
      <c r="A1748">
        <v>16</v>
      </c>
      <c r="B1748">
        <v>9.9</v>
      </c>
      <c r="C1748">
        <v>13</v>
      </c>
      <c r="D1748">
        <v>19.899999999999999</v>
      </c>
      <c r="E1748">
        <v>41</v>
      </c>
      <c r="F1748">
        <v>3.1040695618337388E-2</v>
      </c>
      <c r="G1748" t="str">
        <f t="shared" si="99"/>
        <v>Insert into BlueCreditTypeRainbow Values (16, 9.9, 13, 19.9, 41, 0.0310406956183374)</v>
      </c>
      <c r="N1748" s="4">
        <v>1745</v>
      </c>
      <c r="O1748" s="8">
        <f>$B$7*COUNTIF(Sheet2!$B$1:$B$132,N1748)</f>
        <v>0</v>
      </c>
      <c r="P1748" s="8">
        <f t="shared" ca="1" si="97"/>
        <v>0</v>
      </c>
      <c r="Q1748" s="8">
        <f ca="1">CEILING(R1747*(IF(N1748&lt;=IF($B$2=0,0,OFFSET(Sheet2!$B$1,Sheet1!$B$2-1,0)),$B$1/(365*100),$B$3/(365*100)))*100,1)/100</f>
        <v>117.78</v>
      </c>
      <c r="R1748" s="9">
        <f t="shared" ca="1" si="98"/>
        <v>288619.66515681683</v>
      </c>
    </row>
    <row r="1749" spans="1:18" x14ac:dyDescent="0.25">
      <c r="A1749">
        <v>16</v>
      </c>
      <c r="B1749">
        <v>9.9</v>
      </c>
      <c r="C1749">
        <v>13</v>
      </c>
      <c r="D1749">
        <v>19.899999999999999</v>
      </c>
      <c r="E1749">
        <v>42</v>
      </c>
      <c r="F1749">
        <v>3.0515510952381003E-2</v>
      </c>
      <c r="G1749" t="str">
        <f t="shared" si="99"/>
        <v>Insert into BlueCreditTypeRainbow Values (16, 9.9, 13, 19.9, 42, 0.030515510952381)</v>
      </c>
      <c r="N1749" s="4">
        <v>1746</v>
      </c>
      <c r="O1749" s="8">
        <f>$B$7*COUNTIF(Sheet2!$B$1:$B$132,N1749)</f>
        <v>0</v>
      </c>
      <c r="P1749" s="8">
        <f t="shared" ca="1" si="97"/>
        <v>0</v>
      </c>
      <c r="Q1749" s="8">
        <f ca="1">CEILING(R1748*(IF(N1749&lt;=IF($B$2=0,0,OFFSET(Sheet2!$B$1,Sheet1!$B$2-1,0)),$B$1/(365*100),$B$3/(365*100)))*100,1)/100</f>
        <v>117.83</v>
      </c>
      <c r="R1749" s="9">
        <f t="shared" ca="1" si="98"/>
        <v>288737.49515681685</v>
      </c>
    </row>
    <row r="1750" spans="1:18" x14ac:dyDescent="0.25">
      <c r="A1750">
        <v>16</v>
      </c>
      <c r="B1750">
        <v>9.9</v>
      </c>
      <c r="C1750">
        <v>13</v>
      </c>
      <c r="D1750">
        <v>19.899999999999999</v>
      </c>
      <c r="E1750">
        <v>43</v>
      </c>
      <c r="F1750">
        <v>3.0015892348742915E-2</v>
      </c>
      <c r="G1750" t="str">
        <f t="shared" si="99"/>
        <v>Insert into BlueCreditTypeRainbow Values (16, 9.9, 13, 19.9, 43, 0.0300158923487429)</v>
      </c>
      <c r="N1750" s="4">
        <v>1747</v>
      </c>
      <c r="O1750" s="8">
        <f>$B$7*COUNTIF(Sheet2!$B$1:$B$132,N1750)</f>
        <v>0</v>
      </c>
      <c r="P1750" s="8">
        <f t="shared" ca="1" si="97"/>
        <v>0</v>
      </c>
      <c r="Q1750" s="8">
        <f ca="1">CEILING(R1749*(IF(N1750&lt;=IF($B$2=0,0,OFFSET(Sheet2!$B$1,Sheet1!$B$2-1,0)),$B$1/(365*100),$B$3/(365*100)))*100,1)/100</f>
        <v>117.87</v>
      </c>
      <c r="R1750" s="9">
        <f t="shared" ca="1" si="98"/>
        <v>288855.36515681684</v>
      </c>
    </row>
    <row r="1751" spans="1:18" x14ac:dyDescent="0.25">
      <c r="A1751">
        <v>16</v>
      </c>
      <c r="B1751">
        <v>9.9</v>
      </c>
      <c r="C1751">
        <v>13</v>
      </c>
      <c r="D1751">
        <v>19.899999999999999</v>
      </c>
      <c r="E1751">
        <v>44</v>
      </c>
      <c r="F1751">
        <v>2.9540094772727295E-2</v>
      </c>
      <c r="G1751" t="str">
        <f t="shared" si="99"/>
        <v>Insert into BlueCreditTypeRainbow Values (16, 9.9, 13, 19.9, 44, 0.0295400947727273)</v>
      </c>
      <c r="N1751" s="4">
        <v>1748</v>
      </c>
      <c r="O1751" s="8">
        <f>$B$7*COUNTIF(Sheet2!$B$1:$B$132,N1751)</f>
        <v>0</v>
      </c>
      <c r="P1751" s="8">
        <f t="shared" ca="1" si="97"/>
        <v>0</v>
      </c>
      <c r="Q1751" s="8">
        <f ca="1">CEILING(R1750*(IF(N1751&lt;=IF($B$2=0,0,OFFSET(Sheet2!$B$1,Sheet1!$B$2-1,0)),$B$1/(365*100),$B$3/(365*100)))*100,1)/100</f>
        <v>117.92</v>
      </c>
      <c r="R1751" s="9">
        <f t="shared" ca="1" si="98"/>
        <v>288973.28515681683</v>
      </c>
    </row>
    <row r="1752" spans="1:18" x14ac:dyDescent="0.25">
      <c r="A1752">
        <v>16</v>
      </c>
      <c r="B1752">
        <v>9.9</v>
      </c>
      <c r="C1752">
        <v>13</v>
      </c>
      <c r="D1752">
        <v>19.899999999999999</v>
      </c>
      <c r="E1752">
        <v>45</v>
      </c>
      <c r="F1752">
        <v>2.908675533333336E-2</v>
      </c>
      <c r="G1752" t="str">
        <f t="shared" si="99"/>
        <v>Insert into BlueCreditTypeRainbow Values (16, 9.9, 13, 19.9, 45, 0.0290867553333334)</v>
      </c>
      <c r="N1752" s="4">
        <v>1749</v>
      </c>
      <c r="O1752" s="8">
        <f>$B$7*COUNTIF(Sheet2!$B$1:$B$132,N1752)</f>
        <v>0</v>
      </c>
      <c r="P1752" s="8">
        <f t="shared" ca="1" si="97"/>
        <v>0</v>
      </c>
      <c r="Q1752" s="8">
        <f ca="1">CEILING(R1751*(IF(N1752&lt;=IF($B$2=0,0,OFFSET(Sheet2!$B$1,Sheet1!$B$2-1,0)),$B$1/(365*100),$B$3/(365*100)))*100,1)/100</f>
        <v>117.97</v>
      </c>
      <c r="R1752" s="9">
        <f t="shared" ca="1" si="98"/>
        <v>289091.2551568168</v>
      </c>
    </row>
    <row r="1753" spans="1:18" x14ac:dyDescent="0.25">
      <c r="A1753">
        <v>16</v>
      </c>
      <c r="B1753">
        <v>9.9</v>
      </c>
      <c r="C1753">
        <v>13</v>
      </c>
      <c r="D1753">
        <v>19.899999999999999</v>
      </c>
      <c r="E1753">
        <v>46</v>
      </c>
      <c r="F1753">
        <v>2.8654134796697997E-2</v>
      </c>
      <c r="G1753" t="str">
        <f t="shared" si="99"/>
        <v>Insert into BlueCreditTypeRainbow Values (16, 9.9, 13, 19.9, 46, 0.028654134796698)</v>
      </c>
      <c r="N1753" s="4">
        <v>1750</v>
      </c>
      <c r="O1753" s="8">
        <f>$B$7*COUNTIF(Sheet2!$B$1:$B$132,N1753)</f>
        <v>0</v>
      </c>
      <c r="P1753" s="8">
        <f t="shared" ca="1" si="97"/>
        <v>0</v>
      </c>
      <c r="Q1753" s="8">
        <f ca="1">CEILING(R1752*(IF(N1753&lt;=IF($B$2=0,0,OFFSET(Sheet2!$B$1,Sheet1!$B$2-1,0)),$B$1/(365*100),$B$3/(365*100)))*100,1)/100</f>
        <v>118.02</v>
      </c>
      <c r="R1753" s="9">
        <f t="shared" ca="1" si="98"/>
        <v>289209.27515681682</v>
      </c>
    </row>
    <row r="1754" spans="1:18" x14ac:dyDescent="0.25">
      <c r="A1754">
        <v>16</v>
      </c>
      <c r="B1754">
        <v>9.9</v>
      </c>
      <c r="C1754">
        <v>13</v>
      </c>
      <c r="D1754">
        <v>19.899999999999999</v>
      </c>
      <c r="E1754">
        <v>47</v>
      </c>
      <c r="F1754">
        <v>2.8241136382978784E-2</v>
      </c>
      <c r="G1754" t="str">
        <f t="shared" si="99"/>
        <v>Insert into BlueCreditTypeRainbow Values (16, 9.9, 13, 19.9, 47, 0.0282411363829788)</v>
      </c>
      <c r="N1754" s="4">
        <v>1751</v>
      </c>
      <c r="O1754" s="8">
        <f>$B$7*COUNTIF(Sheet2!$B$1:$B$132,N1754)</f>
        <v>0</v>
      </c>
      <c r="P1754" s="8">
        <f t="shared" ca="1" si="97"/>
        <v>0</v>
      </c>
      <c r="Q1754" s="8">
        <f ca="1">CEILING(R1753*(IF(N1754&lt;=IF($B$2=0,0,OFFSET(Sheet2!$B$1,Sheet1!$B$2-1,0)),$B$1/(365*100),$B$3/(365*100)))*100,1)/100</f>
        <v>118.07</v>
      </c>
      <c r="R1754" s="9">
        <f t="shared" ca="1" si="98"/>
        <v>289327.34515681682</v>
      </c>
    </row>
    <row r="1755" spans="1:18" x14ac:dyDescent="0.25">
      <c r="A1755">
        <v>16</v>
      </c>
      <c r="B1755">
        <v>9.9</v>
      </c>
      <c r="C1755">
        <v>13</v>
      </c>
      <c r="D1755">
        <v>19.899999999999999</v>
      </c>
      <c r="E1755">
        <v>48</v>
      </c>
      <c r="F1755">
        <v>2.7846285833333345E-2</v>
      </c>
      <c r="G1755" t="str">
        <f t="shared" si="99"/>
        <v>Insert into BlueCreditTypeRainbow Values (16, 9.9, 13, 19.9, 48, 0.0278462858333333)</v>
      </c>
      <c r="N1755" s="4">
        <v>1752</v>
      </c>
      <c r="O1755" s="8">
        <f>$B$7*COUNTIF(Sheet2!$B$1:$B$132,N1755)</f>
        <v>0</v>
      </c>
      <c r="P1755" s="8">
        <f t="shared" ca="1" si="97"/>
        <v>0</v>
      </c>
      <c r="Q1755" s="8">
        <f ca="1">CEILING(R1754*(IF(N1755&lt;=IF($B$2=0,0,OFFSET(Sheet2!$B$1,Sheet1!$B$2-1,0)),$B$1/(365*100),$B$3/(365*100)))*100,1)/100</f>
        <v>118.11</v>
      </c>
      <c r="R1755" s="9">
        <f t="shared" ca="1" si="98"/>
        <v>289445.45515681681</v>
      </c>
    </row>
    <row r="1756" spans="1:18" x14ac:dyDescent="0.25">
      <c r="A1756">
        <v>16</v>
      </c>
      <c r="B1756">
        <v>9.9</v>
      </c>
      <c r="C1756">
        <v>12</v>
      </c>
      <c r="D1756">
        <v>19.899999999999999</v>
      </c>
      <c r="E1756">
        <v>36</v>
      </c>
      <c r="F1756">
        <v>3.4306916689008142E-2</v>
      </c>
      <c r="G1756" t="str">
        <f t="shared" si="99"/>
        <v>Insert into BlueCreditTypeRainbow Values (16, 9.9, 12, 19.9, 36, 0.0343069166890081)</v>
      </c>
      <c r="N1756" s="4">
        <v>1753</v>
      </c>
      <c r="O1756" s="8">
        <f>$B$7*COUNTIF(Sheet2!$B$1:$B$132,N1756)</f>
        <v>0</v>
      </c>
      <c r="P1756" s="8">
        <f t="shared" ca="1" si="97"/>
        <v>0</v>
      </c>
      <c r="Q1756" s="8">
        <f ca="1">CEILING(R1755*(IF(N1756&lt;=IF($B$2=0,0,OFFSET(Sheet2!$B$1,Sheet1!$B$2-1,0)),$B$1/(365*100),$B$3/(365*100)))*100,1)/100</f>
        <v>118.16</v>
      </c>
      <c r="R1756" s="9">
        <f t="shared" ca="1" si="98"/>
        <v>289563.61515681678</v>
      </c>
    </row>
    <row r="1757" spans="1:18" x14ac:dyDescent="0.25">
      <c r="A1757">
        <v>16</v>
      </c>
      <c r="B1757">
        <v>9.9</v>
      </c>
      <c r="C1757">
        <v>12</v>
      </c>
      <c r="D1757">
        <v>19.899999999999999</v>
      </c>
      <c r="E1757">
        <v>37</v>
      </c>
      <c r="F1757">
        <v>3.3617720822767115E-2</v>
      </c>
      <c r="G1757" t="str">
        <f t="shared" si="99"/>
        <v>Insert into BlueCreditTypeRainbow Values (16, 9.9, 12, 19.9, 37, 0.0336177208227671)</v>
      </c>
      <c r="N1757" s="4">
        <v>1754</v>
      </c>
      <c r="O1757" s="8">
        <f>$B$7*COUNTIF(Sheet2!$B$1:$B$132,N1757)</f>
        <v>0</v>
      </c>
      <c r="P1757" s="8">
        <f t="shared" ca="1" si="97"/>
        <v>0</v>
      </c>
      <c r="Q1757" s="8">
        <f ca="1">CEILING(R1756*(IF(N1757&lt;=IF($B$2=0,0,OFFSET(Sheet2!$B$1,Sheet1!$B$2-1,0)),$B$1/(365*100),$B$3/(365*100)))*100,1)/100</f>
        <v>118.21</v>
      </c>
      <c r="R1757" s="9">
        <f t="shared" ca="1" si="98"/>
        <v>289681.82515681681</v>
      </c>
    </row>
    <row r="1758" spans="1:18" x14ac:dyDescent="0.25">
      <c r="A1758">
        <v>16</v>
      </c>
      <c r="B1758">
        <v>9.9</v>
      </c>
      <c r="C1758">
        <v>12</v>
      </c>
      <c r="D1758">
        <v>19.899999999999999</v>
      </c>
      <c r="E1758">
        <v>38</v>
      </c>
      <c r="F1758">
        <v>3.2966207954773848E-2</v>
      </c>
      <c r="G1758" t="str">
        <f t="shared" si="99"/>
        <v>Insert into BlueCreditTypeRainbow Values (16, 9.9, 12, 19.9, 38, 0.0329662079547738)</v>
      </c>
      <c r="N1758" s="4">
        <v>1755</v>
      </c>
      <c r="O1758" s="8">
        <f>$B$7*COUNTIF(Sheet2!$B$1:$B$132,N1758)</f>
        <v>0</v>
      </c>
      <c r="P1758" s="8">
        <f t="shared" ca="1" si="97"/>
        <v>0</v>
      </c>
      <c r="Q1758" s="8">
        <f ca="1">CEILING(R1757*(IF(N1758&lt;=IF($B$2=0,0,OFFSET(Sheet2!$B$1,Sheet1!$B$2-1,0)),$B$1/(365*100),$B$3/(365*100)))*100,1)/100</f>
        <v>118.26</v>
      </c>
      <c r="R1758" s="9">
        <f t="shared" ca="1" si="98"/>
        <v>289800.08515681681</v>
      </c>
    </row>
    <row r="1759" spans="1:18" x14ac:dyDescent="0.25">
      <c r="A1759">
        <v>16</v>
      </c>
      <c r="B1759">
        <v>9.9</v>
      </c>
      <c r="C1759">
        <v>12</v>
      </c>
      <c r="D1759">
        <v>19.899999999999999</v>
      </c>
      <c r="E1759">
        <v>39</v>
      </c>
      <c r="F1759">
        <v>3.2349758741995825E-2</v>
      </c>
      <c r="G1759" t="str">
        <f t="shared" si="99"/>
        <v>Insert into BlueCreditTypeRainbow Values (16, 9.9, 12, 19.9, 39, 0.0323497587419958)</v>
      </c>
      <c r="N1759" s="4">
        <v>1756</v>
      </c>
      <c r="O1759" s="8">
        <f>$B$7*COUNTIF(Sheet2!$B$1:$B$132,N1759)</f>
        <v>0</v>
      </c>
      <c r="P1759" s="8">
        <f t="shared" ca="1" si="97"/>
        <v>0</v>
      </c>
      <c r="Q1759" s="8">
        <f ca="1">CEILING(R1758*(IF(N1759&lt;=IF($B$2=0,0,OFFSET(Sheet2!$B$1,Sheet1!$B$2-1,0)),$B$1/(365*100),$B$3/(365*100)))*100,1)/100</f>
        <v>118.31</v>
      </c>
      <c r="R1759" s="9">
        <f t="shared" ca="1" si="98"/>
        <v>289918.39515681681</v>
      </c>
    </row>
    <row r="1760" spans="1:18" x14ac:dyDescent="0.25">
      <c r="A1760">
        <v>16</v>
      </c>
      <c r="B1760">
        <v>9.9</v>
      </c>
      <c r="C1760">
        <v>12</v>
      </c>
      <c r="D1760">
        <v>19.899999999999999</v>
      </c>
      <c r="E1760">
        <v>40</v>
      </c>
      <c r="F1760">
        <v>3.1765718763535455E-2</v>
      </c>
      <c r="G1760" t="str">
        <f t="shared" si="99"/>
        <v>Insert into BlueCreditTypeRainbow Values (16, 9.9, 12, 19.9, 40, 0.0317657187635355)</v>
      </c>
      <c r="N1760" s="4">
        <v>1757</v>
      </c>
      <c r="O1760" s="8">
        <f>$B$7*COUNTIF(Sheet2!$B$1:$B$132,N1760)</f>
        <v>0</v>
      </c>
      <c r="P1760" s="8">
        <f t="shared" ca="1" si="97"/>
        <v>0</v>
      </c>
      <c r="Q1760" s="8">
        <f ca="1">CEILING(R1759*(IF(N1760&lt;=IF($B$2=0,0,OFFSET(Sheet2!$B$1,Sheet1!$B$2-1,0)),$B$1/(365*100),$B$3/(365*100)))*100,1)/100</f>
        <v>118.36</v>
      </c>
      <c r="R1760" s="9">
        <f t="shared" ca="1" si="98"/>
        <v>290036.7551568168</v>
      </c>
    </row>
    <row r="1761" spans="1:18" x14ac:dyDescent="0.25">
      <c r="A1761">
        <v>16</v>
      </c>
      <c r="B1761">
        <v>9.9</v>
      </c>
      <c r="C1761">
        <v>12</v>
      </c>
      <c r="D1761">
        <v>19.899999999999999</v>
      </c>
      <c r="E1761">
        <v>41</v>
      </c>
      <c r="F1761">
        <v>3.1211361951219548E-2</v>
      </c>
      <c r="G1761" t="str">
        <f t="shared" si="99"/>
        <v>Insert into BlueCreditTypeRainbow Values (16, 9.9, 12, 19.9, 41, 0.0312113619512195)</v>
      </c>
      <c r="N1761" s="4">
        <v>1758</v>
      </c>
      <c r="O1761" s="8">
        <f>$B$7*COUNTIF(Sheet2!$B$1:$B$132,N1761)</f>
        <v>0</v>
      </c>
      <c r="P1761" s="8">
        <f t="shared" ca="1" si="97"/>
        <v>0</v>
      </c>
      <c r="Q1761" s="8">
        <f ca="1">CEILING(R1760*(IF(N1761&lt;=IF($B$2=0,0,OFFSET(Sheet2!$B$1,Sheet1!$B$2-1,0)),$B$1/(365*100),$B$3/(365*100)))*100,1)/100</f>
        <v>118.4</v>
      </c>
      <c r="R1761" s="9">
        <f t="shared" ca="1" si="98"/>
        <v>290155.15515681682</v>
      </c>
    </row>
    <row r="1762" spans="1:18" x14ac:dyDescent="0.25">
      <c r="A1762">
        <v>16</v>
      </c>
      <c r="B1762">
        <v>9.9</v>
      </c>
      <c r="C1762">
        <v>12</v>
      </c>
      <c r="D1762">
        <v>19.899999999999999</v>
      </c>
      <c r="E1762">
        <v>42</v>
      </c>
      <c r="F1762">
        <v>3.0684848588729337E-2</v>
      </c>
      <c r="G1762" t="str">
        <f t="shared" si="99"/>
        <v>Insert into BlueCreditTypeRainbow Values (16, 9.9, 12, 19.9, 42, 0.0306848485887293)</v>
      </c>
      <c r="N1762" s="4">
        <v>1759</v>
      </c>
      <c r="O1762" s="8">
        <f>$B$7*COUNTIF(Sheet2!$B$1:$B$132,N1762)</f>
        <v>0</v>
      </c>
      <c r="P1762" s="8">
        <f t="shared" ca="1" si="97"/>
        <v>0</v>
      </c>
      <c r="Q1762" s="8">
        <f ca="1">CEILING(R1761*(IF(N1762&lt;=IF($B$2=0,0,OFFSET(Sheet2!$B$1,Sheet1!$B$2-1,0)),$B$1/(365*100),$B$3/(365*100)))*100,1)/100</f>
        <v>118.45</v>
      </c>
      <c r="R1762" s="9">
        <f t="shared" ca="1" si="98"/>
        <v>290273.60515681683</v>
      </c>
    </row>
    <row r="1763" spans="1:18" x14ac:dyDescent="0.25">
      <c r="A1763">
        <v>16</v>
      </c>
      <c r="B1763">
        <v>9.9</v>
      </c>
      <c r="C1763">
        <v>12</v>
      </c>
      <c r="D1763">
        <v>19.899999999999999</v>
      </c>
      <c r="E1763">
        <v>43</v>
      </c>
      <c r="F1763">
        <v>3.0183922093023303E-2</v>
      </c>
      <c r="G1763" t="str">
        <f t="shared" si="99"/>
        <v>Insert into BlueCreditTypeRainbow Values (16, 9.9, 12, 19.9, 43, 0.0301839220930233)</v>
      </c>
      <c r="N1763" s="4">
        <v>1760</v>
      </c>
      <c r="O1763" s="8">
        <f>$B$7*COUNTIF(Sheet2!$B$1:$B$132,N1763)</f>
        <v>0</v>
      </c>
      <c r="P1763" s="8">
        <f t="shared" ca="1" si="97"/>
        <v>0</v>
      </c>
      <c r="Q1763" s="8">
        <f ca="1">CEILING(R1762*(IF(N1763&lt;=IF($B$2=0,0,OFFSET(Sheet2!$B$1,Sheet1!$B$2-1,0)),$B$1/(365*100),$B$3/(365*100)))*100,1)/100</f>
        <v>118.5</v>
      </c>
      <c r="R1763" s="9">
        <f t="shared" ca="1" si="98"/>
        <v>290392.10515681683</v>
      </c>
    </row>
    <row r="1764" spans="1:18" x14ac:dyDescent="0.25">
      <c r="A1764">
        <v>16</v>
      </c>
      <c r="B1764">
        <v>9.9</v>
      </c>
      <c r="C1764">
        <v>12</v>
      </c>
      <c r="D1764">
        <v>19.899999999999999</v>
      </c>
      <c r="E1764">
        <v>44</v>
      </c>
      <c r="F1764">
        <v>2.9706829111761653E-2</v>
      </c>
      <c r="G1764" t="str">
        <f t="shared" si="99"/>
        <v>Insert into BlueCreditTypeRainbow Values (16, 9.9, 12, 19.9, 44, 0.0297068291117617)</v>
      </c>
      <c r="N1764" s="4">
        <v>1761</v>
      </c>
      <c r="O1764" s="8">
        <f>$B$7*COUNTIF(Sheet2!$B$1:$B$132,N1764)</f>
        <v>0</v>
      </c>
      <c r="P1764" s="8">
        <f t="shared" ca="1" si="97"/>
        <v>0</v>
      </c>
      <c r="Q1764" s="8">
        <f ca="1">CEILING(R1763*(IF(N1764&lt;=IF($B$2=0,0,OFFSET(Sheet2!$B$1,Sheet1!$B$2-1,0)),$B$1/(365*100),$B$3/(365*100)))*100,1)/100</f>
        <v>118.55</v>
      </c>
      <c r="R1764" s="9">
        <f t="shared" ca="1" si="98"/>
        <v>290510.65515681682</v>
      </c>
    </row>
    <row r="1765" spans="1:18" x14ac:dyDescent="0.25">
      <c r="A1765">
        <v>16</v>
      </c>
      <c r="B1765">
        <v>9.9</v>
      </c>
      <c r="C1765">
        <v>12</v>
      </c>
      <c r="D1765">
        <v>19.899999999999999</v>
      </c>
      <c r="E1765">
        <v>45</v>
      </c>
      <c r="F1765">
        <v>2.9252205187475833E-2</v>
      </c>
      <c r="G1765" t="str">
        <f t="shared" si="99"/>
        <v>Insert into BlueCreditTypeRainbow Values (16, 9.9, 12, 19.9, 45, 0.0292522051874758)</v>
      </c>
      <c r="N1765" s="4">
        <v>1762</v>
      </c>
      <c r="O1765" s="8">
        <f>$B$7*COUNTIF(Sheet2!$B$1:$B$132,N1765)</f>
        <v>0</v>
      </c>
      <c r="P1765" s="8">
        <f t="shared" ca="1" si="97"/>
        <v>0</v>
      </c>
      <c r="Q1765" s="8">
        <f ca="1">CEILING(R1764*(IF(N1765&lt;=IF($B$2=0,0,OFFSET(Sheet2!$B$1,Sheet1!$B$2-1,0)),$B$1/(365*100),$B$3/(365*100)))*100,1)/100</f>
        <v>118.6</v>
      </c>
      <c r="R1765" s="9">
        <f t="shared" ca="1" si="98"/>
        <v>290629.2551568168</v>
      </c>
    </row>
    <row r="1766" spans="1:18" x14ac:dyDescent="0.25">
      <c r="A1766">
        <v>16</v>
      </c>
      <c r="B1766">
        <v>9.9</v>
      </c>
      <c r="C1766">
        <v>12</v>
      </c>
      <c r="D1766">
        <v>19.899999999999999</v>
      </c>
      <c r="E1766">
        <v>46</v>
      </c>
      <c r="F1766">
        <v>2.8818334586387134E-2</v>
      </c>
      <c r="G1766" t="str">
        <f t="shared" si="99"/>
        <v>Insert into BlueCreditTypeRainbow Values (16, 9.9, 12, 19.9, 46, 0.0288183345863871)</v>
      </c>
      <c r="N1766" s="4">
        <v>1763</v>
      </c>
      <c r="O1766" s="8">
        <f>$B$7*COUNTIF(Sheet2!$B$1:$B$132,N1766)</f>
        <v>0</v>
      </c>
      <c r="P1766" s="8">
        <f t="shared" ca="1" si="97"/>
        <v>0</v>
      </c>
      <c r="Q1766" s="8">
        <f ca="1">CEILING(R1765*(IF(N1766&lt;=IF($B$2=0,0,OFFSET(Sheet2!$B$1,Sheet1!$B$2-1,0)),$B$1/(365*100),$B$3/(365*100)))*100,1)/100</f>
        <v>118.65</v>
      </c>
      <c r="R1766" s="9">
        <f t="shared" ca="1" si="98"/>
        <v>290747.90515681682</v>
      </c>
    </row>
    <row r="1767" spans="1:18" x14ac:dyDescent="0.25">
      <c r="A1767">
        <v>16</v>
      </c>
      <c r="B1767">
        <v>9.9</v>
      </c>
      <c r="C1767">
        <v>12</v>
      </c>
      <c r="D1767">
        <v>19.899999999999999</v>
      </c>
      <c r="E1767">
        <v>47</v>
      </c>
      <c r="F1767">
        <v>2.840410618963932E-2</v>
      </c>
      <c r="G1767" t="str">
        <f t="shared" si="99"/>
        <v>Insert into BlueCreditTypeRainbow Values (16, 9.9, 12, 19.9, 47, 0.0284041061896393)</v>
      </c>
      <c r="N1767" s="4">
        <v>1764</v>
      </c>
      <c r="O1767" s="8">
        <f>$B$7*COUNTIF(Sheet2!$B$1:$B$132,N1767)</f>
        <v>0</v>
      </c>
      <c r="P1767" s="8">
        <f t="shared" ca="1" si="97"/>
        <v>0</v>
      </c>
      <c r="Q1767" s="8">
        <f ca="1">CEILING(R1766*(IF(N1767&lt;=IF($B$2=0,0,OFFSET(Sheet2!$B$1,Sheet1!$B$2-1,0)),$B$1/(365*100),$B$3/(365*100)))*100,1)/100</f>
        <v>118.69</v>
      </c>
      <c r="R1767" s="9">
        <f t="shared" ca="1" si="98"/>
        <v>290866.59515681682</v>
      </c>
    </row>
    <row r="1768" spans="1:18" x14ac:dyDescent="0.25">
      <c r="A1768">
        <v>16</v>
      </c>
      <c r="B1768">
        <v>9.9</v>
      </c>
      <c r="C1768">
        <v>12</v>
      </c>
      <c r="D1768">
        <v>19.899999999999999</v>
      </c>
      <c r="E1768">
        <v>48</v>
      </c>
      <c r="F1768">
        <v>2.8008051249999992E-2</v>
      </c>
      <c r="G1768" t="str">
        <f t="shared" si="99"/>
        <v>Insert into BlueCreditTypeRainbow Values (16, 9.9, 12, 19.9, 48, 0.02800805125)</v>
      </c>
      <c r="N1768" s="4">
        <v>1765</v>
      </c>
      <c r="O1768" s="8">
        <f>$B$7*COUNTIF(Sheet2!$B$1:$B$132,N1768)</f>
        <v>0</v>
      </c>
      <c r="P1768" s="8">
        <f t="shared" ca="1" si="97"/>
        <v>0</v>
      </c>
      <c r="Q1768" s="8">
        <f ca="1">CEILING(R1767*(IF(N1768&lt;=IF($B$2=0,0,OFFSET(Sheet2!$B$1,Sheet1!$B$2-1,0)),$B$1/(365*100),$B$3/(365*100)))*100,1)/100</f>
        <v>118.74</v>
      </c>
      <c r="R1768" s="9">
        <f t="shared" ca="1" si="98"/>
        <v>290985.33515681681</v>
      </c>
    </row>
    <row r="1769" spans="1:18" x14ac:dyDescent="0.25">
      <c r="A1769">
        <v>16</v>
      </c>
      <c r="B1769">
        <v>9.9</v>
      </c>
      <c r="C1769">
        <v>11</v>
      </c>
      <c r="D1769">
        <v>19.899999999999999</v>
      </c>
      <c r="E1769">
        <v>36</v>
      </c>
      <c r="F1769">
        <v>3.4487731666666757E-2</v>
      </c>
      <c r="G1769" t="str">
        <f t="shared" si="99"/>
        <v>Insert into BlueCreditTypeRainbow Values (16, 9.9, 11, 19.9, 36, 0.0344877316666668)</v>
      </c>
      <c r="N1769" s="4">
        <v>1766</v>
      </c>
      <c r="O1769" s="8">
        <f>$B$7*COUNTIF(Sheet2!$B$1:$B$132,N1769)</f>
        <v>0</v>
      </c>
      <c r="P1769" s="8">
        <f t="shared" ca="1" si="97"/>
        <v>0</v>
      </c>
      <c r="Q1769" s="8">
        <f ca="1">CEILING(R1768*(IF(N1769&lt;=IF($B$2=0,0,OFFSET(Sheet2!$B$1,Sheet1!$B$2-1,0)),$B$1/(365*100),$B$3/(365*100)))*100,1)/100</f>
        <v>118.79</v>
      </c>
      <c r="R1769" s="9">
        <f t="shared" ca="1" si="98"/>
        <v>291104.12515681679</v>
      </c>
    </row>
    <row r="1770" spans="1:18" x14ac:dyDescent="0.25">
      <c r="A1770">
        <v>16</v>
      </c>
      <c r="B1770">
        <v>9.9</v>
      </c>
      <c r="C1770">
        <v>11</v>
      </c>
      <c r="D1770">
        <v>19.899999999999999</v>
      </c>
      <c r="E1770">
        <v>37</v>
      </c>
      <c r="F1770">
        <v>3.3796903582906879E-2</v>
      </c>
      <c r="G1770" t="str">
        <f t="shared" si="99"/>
        <v>Insert into BlueCreditTypeRainbow Values (16, 9.9, 11, 19.9, 37, 0.0337969035829069)</v>
      </c>
      <c r="N1770" s="4">
        <v>1767</v>
      </c>
      <c r="O1770" s="8">
        <f>$B$7*COUNTIF(Sheet2!$B$1:$B$132,N1770)</f>
        <v>0</v>
      </c>
      <c r="P1770" s="8">
        <f t="shared" ca="1" si="97"/>
        <v>0</v>
      </c>
      <c r="Q1770" s="8">
        <f ca="1">CEILING(R1769*(IF(N1770&lt;=IF($B$2=0,0,OFFSET(Sheet2!$B$1,Sheet1!$B$2-1,0)),$B$1/(365*100),$B$3/(365*100)))*100,1)/100</f>
        <v>118.84</v>
      </c>
      <c r="R1770" s="9">
        <f t="shared" ca="1" si="98"/>
        <v>291222.96515681682</v>
      </c>
    </row>
    <row r="1771" spans="1:18" x14ac:dyDescent="0.25">
      <c r="A1771">
        <v>16</v>
      </c>
      <c r="B1771">
        <v>9.9</v>
      </c>
      <c r="C1771">
        <v>11</v>
      </c>
      <c r="D1771">
        <v>19.899999999999999</v>
      </c>
      <c r="E1771">
        <v>38</v>
      </c>
      <c r="F1771">
        <v>3.3143772657001934E-2</v>
      </c>
      <c r="G1771" t="str">
        <f t="shared" si="99"/>
        <v>Insert into BlueCreditTypeRainbow Values (16, 9.9, 11, 19.9, 38, 0.0331437726570019)</v>
      </c>
      <c r="N1771" s="4">
        <v>1768</v>
      </c>
      <c r="O1771" s="8">
        <f>$B$7*COUNTIF(Sheet2!$B$1:$B$132,N1771)</f>
        <v>21157.10552356458</v>
      </c>
      <c r="P1771" s="8">
        <f t="shared" ca="1" si="97"/>
        <v>21038.215523564581</v>
      </c>
      <c r="Q1771" s="8">
        <f ca="1">CEILING(R1770*(IF(N1771&lt;=IF($B$2=0,0,OFFSET(Sheet2!$B$1,Sheet1!$B$2-1,0)),$B$1/(365*100),$B$3/(365*100)))*100,1)/100</f>
        <v>118.89</v>
      </c>
      <c r="R1771" s="9">
        <f t="shared" ca="1" si="98"/>
        <v>270184.74963325227</v>
      </c>
    </row>
    <row r="1772" spans="1:18" x14ac:dyDescent="0.25">
      <c r="A1772">
        <v>16</v>
      </c>
      <c r="B1772">
        <v>9.9</v>
      </c>
      <c r="C1772">
        <v>11</v>
      </c>
      <c r="D1772">
        <v>19.899999999999999</v>
      </c>
      <c r="E1772">
        <v>39</v>
      </c>
      <c r="F1772">
        <v>3.2525736428818078E-2</v>
      </c>
      <c r="G1772" t="str">
        <f t="shared" si="99"/>
        <v>Insert into BlueCreditTypeRainbow Values (16, 9.9, 11, 19.9, 39, 0.0325257364288181)</v>
      </c>
      <c r="N1772" s="4">
        <v>1769</v>
      </c>
      <c r="O1772" s="8">
        <f>$B$7*COUNTIF(Sheet2!$B$1:$B$132,N1772)</f>
        <v>0</v>
      </c>
      <c r="P1772" s="8">
        <f t="shared" ca="1" si="97"/>
        <v>0</v>
      </c>
      <c r="Q1772" s="8">
        <f ca="1">CEILING(R1771*(IF(N1772&lt;=IF($B$2=0,0,OFFSET(Sheet2!$B$1,Sheet1!$B$2-1,0)),$B$1/(365*100),$B$3/(365*100)))*100,1)/100</f>
        <v>110.3</v>
      </c>
      <c r="R1772" s="9">
        <f t="shared" ca="1" si="98"/>
        <v>270295.04963325226</v>
      </c>
    </row>
    <row r="1773" spans="1:18" x14ac:dyDescent="0.25">
      <c r="A1773">
        <v>16</v>
      </c>
      <c r="B1773">
        <v>9.9</v>
      </c>
      <c r="C1773">
        <v>11</v>
      </c>
      <c r="D1773">
        <v>19.899999999999999</v>
      </c>
      <c r="E1773">
        <v>40</v>
      </c>
      <c r="F1773">
        <v>3.1940122763115669E-2</v>
      </c>
      <c r="G1773" t="str">
        <f t="shared" si="99"/>
        <v>Insert into BlueCreditTypeRainbow Values (16, 9.9, 11, 19.9, 40, 0.0319401227631157)</v>
      </c>
      <c r="N1773" s="4">
        <v>1770</v>
      </c>
      <c r="O1773" s="8">
        <f>$B$7*COUNTIF(Sheet2!$B$1:$B$132,N1773)</f>
        <v>0</v>
      </c>
      <c r="P1773" s="8">
        <f t="shared" ca="1" si="97"/>
        <v>0</v>
      </c>
      <c r="Q1773" s="8">
        <f ca="1">CEILING(R1772*(IF(N1773&lt;=IF($B$2=0,0,OFFSET(Sheet2!$B$1,Sheet1!$B$2-1,0)),$B$1/(365*100),$B$3/(365*100)))*100,1)/100</f>
        <v>110.34</v>
      </c>
      <c r="R1773" s="9">
        <f t="shared" ca="1" si="98"/>
        <v>270405.38963325229</v>
      </c>
    </row>
    <row r="1774" spans="1:18" x14ac:dyDescent="0.25">
      <c r="A1774">
        <v>16</v>
      </c>
      <c r="B1774">
        <v>9.9</v>
      </c>
      <c r="C1774">
        <v>11</v>
      </c>
      <c r="D1774">
        <v>19.899999999999999</v>
      </c>
      <c r="E1774">
        <v>41</v>
      </c>
      <c r="F1774">
        <v>3.138423074727837E-2</v>
      </c>
      <c r="G1774" t="str">
        <f t="shared" si="99"/>
        <v>Insert into BlueCreditTypeRainbow Values (16, 9.9, 11, 19.9, 41, 0.0313842307472784)</v>
      </c>
      <c r="N1774" s="4">
        <v>1771</v>
      </c>
      <c r="O1774" s="8">
        <f>$B$7*COUNTIF(Sheet2!$B$1:$B$132,N1774)</f>
        <v>0</v>
      </c>
      <c r="P1774" s="8">
        <f t="shared" ca="1" si="97"/>
        <v>0</v>
      </c>
      <c r="Q1774" s="8">
        <f ca="1">CEILING(R1773*(IF(N1774&lt;=IF($B$2=0,0,OFFSET(Sheet2!$B$1,Sheet1!$B$2-1,0)),$B$1/(365*100),$B$3/(365*100)))*100,1)/100</f>
        <v>110.39</v>
      </c>
      <c r="R1774" s="9">
        <f t="shared" ca="1" si="98"/>
        <v>270515.7796332523</v>
      </c>
    </row>
    <row r="1775" spans="1:18" x14ac:dyDescent="0.25">
      <c r="A1775">
        <v>16</v>
      </c>
      <c r="B1775">
        <v>9.9</v>
      </c>
      <c r="C1775">
        <v>11</v>
      </c>
      <c r="D1775">
        <v>19.899999999999999</v>
      </c>
      <c r="E1775">
        <v>42</v>
      </c>
      <c r="F1775">
        <v>3.0856197642201946E-2</v>
      </c>
      <c r="G1775" t="str">
        <f t="shared" si="99"/>
        <v>Insert into BlueCreditTypeRainbow Values (16, 9.9, 11, 19.9, 42, 0.0308561976422019)</v>
      </c>
      <c r="N1775" s="4">
        <v>1772</v>
      </c>
      <c r="O1775" s="8">
        <f>$B$7*COUNTIF(Sheet2!$B$1:$B$132,N1775)</f>
        <v>0</v>
      </c>
      <c r="P1775" s="8">
        <f t="shared" ca="1" si="97"/>
        <v>0</v>
      </c>
      <c r="Q1775" s="8">
        <f ca="1">CEILING(R1774*(IF(N1775&lt;=IF($B$2=0,0,OFFSET(Sheet2!$B$1,Sheet1!$B$2-1,0)),$B$1/(365*100),$B$3/(365*100)))*100,1)/100</f>
        <v>110.43</v>
      </c>
      <c r="R1775" s="9">
        <f t="shared" ca="1" si="98"/>
        <v>270626.20963325229</v>
      </c>
    </row>
    <row r="1776" spans="1:18" x14ac:dyDescent="0.25">
      <c r="A1776">
        <v>16</v>
      </c>
      <c r="B1776">
        <v>9.9</v>
      </c>
      <c r="C1776">
        <v>11</v>
      </c>
      <c r="D1776">
        <v>19.899999999999999</v>
      </c>
      <c r="E1776">
        <v>43</v>
      </c>
      <c r="F1776">
        <v>3.0353783256315096E-2</v>
      </c>
      <c r="G1776" t="str">
        <f t="shared" si="99"/>
        <v>Insert into BlueCreditTypeRainbow Values (16, 9.9, 11, 19.9, 43, 0.0303537832563151)</v>
      </c>
      <c r="N1776" s="4">
        <v>1773</v>
      </c>
      <c r="O1776" s="8">
        <f>$B$7*COUNTIF(Sheet2!$B$1:$B$132,N1776)</f>
        <v>0</v>
      </c>
      <c r="P1776" s="8">
        <f t="shared" ca="1" si="97"/>
        <v>0</v>
      </c>
      <c r="Q1776" s="8">
        <f ca="1">CEILING(R1775*(IF(N1776&lt;=IF($B$2=0,0,OFFSET(Sheet2!$B$1,Sheet1!$B$2-1,0)),$B$1/(365*100),$B$3/(365*100)))*100,1)/100</f>
        <v>110.48</v>
      </c>
      <c r="R1776" s="9">
        <f t="shared" ca="1" si="98"/>
        <v>270736.68963325227</v>
      </c>
    </row>
    <row r="1777" spans="1:18" x14ac:dyDescent="0.25">
      <c r="A1777">
        <v>16</v>
      </c>
      <c r="B1777">
        <v>9.9</v>
      </c>
      <c r="C1777">
        <v>11</v>
      </c>
      <c r="D1777">
        <v>19.899999999999999</v>
      </c>
      <c r="E1777">
        <v>44</v>
      </c>
      <c r="F1777">
        <v>2.9875232970308988E-2</v>
      </c>
      <c r="G1777" t="str">
        <f t="shared" si="99"/>
        <v>Insert into BlueCreditTypeRainbow Values (16, 9.9, 11, 19.9, 44, 0.029875232970309)</v>
      </c>
      <c r="N1777" s="4">
        <v>1774</v>
      </c>
      <c r="O1777" s="8">
        <f>$B$7*COUNTIF(Sheet2!$B$1:$B$132,N1777)</f>
        <v>0</v>
      </c>
      <c r="P1777" s="8">
        <f t="shared" ca="1" si="97"/>
        <v>0</v>
      </c>
      <c r="Q1777" s="8">
        <f ca="1">CEILING(R1776*(IF(N1777&lt;=IF($B$2=0,0,OFFSET(Sheet2!$B$1,Sheet1!$B$2-1,0)),$B$1/(365*100),$B$3/(365*100)))*100,1)/100</f>
        <v>110.52</v>
      </c>
      <c r="R1777" s="9">
        <f t="shared" ca="1" si="98"/>
        <v>270847.20963325229</v>
      </c>
    </row>
    <row r="1778" spans="1:18" x14ac:dyDescent="0.25">
      <c r="A1778">
        <v>16</v>
      </c>
      <c r="B1778">
        <v>9.9</v>
      </c>
      <c r="C1778">
        <v>11</v>
      </c>
      <c r="D1778">
        <v>19.899999999999999</v>
      </c>
      <c r="E1778">
        <v>45</v>
      </c>
      <c r="F1778">
        <v>2.9419184356728523E-2</v>
      </c>
      <c r="G1778" t="str">
        <f t="shared" si="99"/>
        <v>Insert into BlueCreditTypeRainbow Values (16, 9.9, 11, 19.9, 45, 0.0294191843567285)</v>
      </c>
      <c r="N1778" s="4">
        <v>1775</v>
      </c>
      <c r="O1778" s="8">
        <f>$B$7*COUNTIF(Sheet2!$B$1:$B$132,N1778)</f>
        <v>0</v>
      </c>
      <c r="P1778" s="8">
        <f t="shared" ca="1" si="97"/>
        <v>0</v>
      </c>
      <c r="Q1778" s="8">
        <f ca="1">CEILING(R1777*(IF(N1778&lt;=IF($B$2=0,0,OFFSET(Sheet2!$B$1,Sheet1!$B$2-1,0)),$B$1/(365*100),$B$3/(365*100)))*100,1)/100</f>
        <v>110.57</v>
      </c>
      <c r="R1778" s="9">
        <f t="shared" ca="1" si="98"/>
        <v>270957.7796332523</v>
      </c>
    </row>
    <row r="1779" spans="1:18" x14ac:dyDescent="0.25">
      <c r="A1779">
        <v>16</v>
      </c>
      <c r="B1779">
        <v>9.9</v>
      </c>
      <c r="C1779">
        <v>11</v>
      </c>
      <c r="D1779">
        <v>19.899999999999999</v>
      </c>
      <c r="E1779">
        <v>46</v>
      </c>
      <c r="F1779">
        <v>2.8983924895207708E-2</v>
      </c>
      <c r="G1779" t="str">
        <f t="shared" si="99"/>
        <v>Insert into BlueCreditTypeRainbow Values (16, 9.9, 11, 19.9, 46, 0.0289839248952077)</v>
      </c>
      <c r="N1779" s="4">
        <v>1776</v>
      </c>
      <c r="O1779" s="8">
        <f>$B$7*COUNTIF(Sheet2!$B$1:$B$132,N1779)</f>
        <v>0</v>
      </c>
      <c r="P1779" s="8">
        <f t="shared" ca="1" si="97"/>
        <v>0</v>
      </c>
      <c r="Q1779" s="8">
        <f ca="1">CEILING(R1778*(IF(N1779&lt;=IF($B$2=0,0,OFFSET(Sheet2!$B$1,Sheet1!$B$2-1,0)),$B$1/(365*100),$B$3/(365*100)))*100,1)/100</f>
        <v>110.62</v>
      </c>
      <c r="R1779" s="9">
        <f t="shared" ca="1" si="98"/>
        <v>271068.39963325229</v>
      </c>
    </row>
    <row r="1780" spans="1:18" x14ac:dyDescent="0.25">
      <c r="A1780">
        <v>16</v>
      </c>
      <c r="B1780">
        <v>9.9</v>
      </c>
      <c r="C1780">
        <v>11</v>
      </c>
      <c r="D1780">
        <v>19.899999999999999</v>
      </c>
      <c r="E1780">
        <v>47</v>
      </c>
      <c r="F1780">
        <v>2.8568331546188371E-2</v>
      </c>
      <c r="G1780" t="str">
        <f t="shared" si="99"/>
        <v>Insert into BlueCreditTypeRainbow Values (16, 9.9, 11, 19.9, 47, 0.0285683315461884)</v>
      </c>
      <c r="N1780" s="4">
        <v>1777</v>
      </c>
      <c r="O1780" s="8">
        <f>$B$7*COUNTIF(Sheet2!$B$1:$B$132,N1780)</f>
        <v>0</v>
      </c>
      <c r="P1780" s="8">
        <f t="shared" ca="1" si="97"/>
        <v>0</v>
      </c>
      <c r="Q1780" s="8">
        <f ca="1">CEILING(R1779*(IF(N1780&lt;=IF($B$2=0,0,OFFSET(Sheet2!$B$1,Sheet1!$B$2-1,0)),$B$1/(365*100),$B$3/(365*100)))*100,1)/100</f>
        <v>110.66</v>
      </c>
      <c r="R1780" s="9">
        <f t="shared" ca="1" si="98"/>
        <v>271179.05963325227</v>
      </c>
    </row>
    <row r="1781" spans="1:18" x14ac:dyDescent="0.25">
      <c r="A1781">
        <v>16</v>
      </c>
      <c r="B1781">
        <v>9.9</v>
      </c>
      <c r="C1781">
        <v>11</v>
      </c>
      <c r="D1781">
        <v>19.899999999999999</v>
      </c>
      <c r="E1781">
        <v>48</v>
      </c>
      <c r="F1781">
        <v>2.8170948958333369E-2</v>
      </c>
      <c r="G1781" t="str">
        <f t="shared" si="99"/>
        <v>Insert into BlueCreditTypeRainbow Values (16, 9.9, 11, 19.9, 48, 0.0281709489583334)</v>
      </c>
      <c r="N1781" s="4">
        <v>1778</v>
      </c>
      <c r="O1781" s="8">
        <f>$B$7*COUNTIF(Sheet2!$B$1:$B$132,N1781)</f>
        <v>0</v>
      </c>
      <c r="P1781" s="8">
        <f t="shared" ca="1" si="97"/>
        <v>0</v>
      </c>
      <c r="Q1781" s="8">
        <f ca="1">CEILING(R1780*(IF(N1781&lt;=IF($B$2=0,0,OFFSET(Sheet2!$B$1,Sheet1!$B$2-1,0)),$B$1/(365*100),$B$3/(365*100)))*100,1)/100</f>
        <v>110.71</v>
      </c>
      <c r="R1781" s="9">
        <f t="shared" ca="1" si="98"/>
        <v>271289.76963325229</v>
      </c>
    </row>
    <row r="1782" spans="1:18" x14ac:dyDescent="0.25">
      <c r="A1782">
        <v>16</v>
      </c>
      <c r="B1782">
        <v>9.9</v>
      </c>
      <c r="C1782">
        <v>10</v>
      </c>
      <c r="D1782">
        <v>19.899999999999999</v>
      </c>
      <c r="E1782">
        <v>36</v>
      </c>
      <c r="F1782">
        <v>3.4684288797559179E-2</v>
      </c>
      <c r="G1782" t="str">
        <f t="shared" si="99"/>
        <v>Insert into BlueCreditTypeRainbow Values (16, 9.9, 10, 19.9, 36, 0.0346842887975592)</v>
      </c>
      <c r="N1782" s="4">
        <v>1779</v>
      </c>
      <c r="O1782" s="8">
        <f>$B$7*COUNTIF(Sheet2!$B$1:$B$132,N1782)</f>
        <v>0</v>
      </c>
      <c r="P1782" s="8">
        <f t="shared" ca="1" si="97"/>
        <v>0</v>
      </c>
      <c r="Q1782" s="8">
        <f ca="1">CEILING(R1781*(IF(N1782&lt;=IF($B$2=0,0,OFFSET(Sheet2!$B$1,Sheet1!$B$2-1,0)),$B$1/(365*100),$B$3/(365*100)))*100,1)/100</f>
        <v>110.75</v>
      </c>
      <c r="R1782" s="9">
        <f t="shared" ca="1" si="98"/>
        <v>271400.51963325229</v>
      </c>
    </row>
    <row r="1783" spans="1:18" x14ac:dyDescent="0.25">
      <c r="A1783">
        <v>16</v>
      </c>
      <c r="B1783">
        <v>9.9</v>
      </c>
      <c r="C1783">
        <v>10</v>
      </c>
      <c r="D1783">
        <v>19.899999999999999</v>
      </c>
      <c r="E1783">
        <v>37</v>
      </c>
      <c r="F1783">
        <v>3.3991440000000074E-2</v>
      </c>
      <c r="G1783" t="str">
        <f t="shared" si="99"/>
        <v>Insert into BlueCreditTypeRainbow Values (16, 9.9, 10, 19.9, 37, 0.0339914400000001)</v>
      </c>
      <c r="N1783" s="4">
        <v>1780</v>
      </c>
      <c r="O1783" s="8">
        <f>$B$7*COUNTIF(Sheet2!$B$1:$B$132,N1783)</f>
        <v>0</v>
      </c>
      <c r="P1783" s="8">
        <f t="shared" ca="1" si="97"/>
        <v>0</v>
      </c>
      <c r="Q1783" s="8">
        <f ca="1">CEILING(R1782*(IF(N1783&lt;=IF($B$2=0,0,OFFSET(Sheet2!$B$1,Sheet1!$B$2-1,0)),$B$1/(365*100),$B$3/(365*100)))*100,1)/100</f>
        <v>110.8</v>
      </c>
      <c r="R1783" s="9">
        <f t="shared" ca="1" si="98"/>
        <v>271511.31963325228</v>
      </c>
    </row>
    <row r="1784" spans="1:18" x14ac:dyDescent="0.25">
      <c r="A1784">
        <v>16</v>
      </c>
      <c r="B1784">
        <v>9.9</v>
      </c>
      <c r="C1784">
        <v>10</v>
      </c>
      <c r="D1784">
        <v>19.899999999999999</v>
      </c>
      <c r="E1784">
        <v>38</v>
      </c>
      <c r="F1784">
        <v>3.3336310804727091E-2</v>
      </c>
      <c r="G1784" t="str">
        <f t="shared" si="99"/>
        <v>Insert into BlueCreditTypeRainbow Values (16, 9.9, 10, 19.9, 38, 0.0333363108047271)</v>
      </c>
      <c r="N1784" s="4">
        <v>1781</v>
      </c>
      <c r="O1784" s="8">
        <f>$B$7*COUNTIF(Sheet2!$B$1:$B$132,N1784)</f>
        <v>0</v>
      </c>
      <c r="P1784" s="8">
        <f t="shared" ca="1" si="97"/>
        <v>0</v>
      </c>
      <c r="Q1784" s="8">
        <f ca="1">CEILING(R1783*(IF(N1784&lt;=IF($B$2=0,0,OFFSET(Sheet2!$B$1,Sheet1!$B$2-1,0)),$B$1/(365*100),$B$3/(365*100)))*100,1)/100</f>
        <v>110.84</v>
      </c>
      <c r="R1784" s="9">
        <f t="shared" ca="1" si="98"/>
        <v>271622.1596332523</v>
      </c>
    </row>
    <row r="1785" spans="1:18" x14ac:dyDescent="0.25">
      <c r="A1785">
        <v>16</v>
      </c>
      <c r="B1785">
        <v>9.9</v>
      </c>
      <c r="C1785">
        <v>10</v>
      </c>
      <c r="D1785">
        <v>19.899999999999999</v>
      </c>
      <c r="E1785">
        <v>39</v>
      </c>
      <c r="F1785">
        <v>3.2716324760006917E-2</v>
      </c>
      <c r="G1785" t="str">
        <f t="shared" si="99"/>
        <v>Insert into BlueCreditTypeRainbow Values (16, 9.9, 10, 19.9, 39, 0.0327163247600069)</v>
      </c>
      <c r="N1785" s="4">
        <v>1782</v>
      </c>
      <c r="O1785" s="8">
        <f>$B$7*COUNTIF(Sheet2!$B$1:$B$132,N1785)</f>
        <v>0</v>
      </c>
      <c r="P1785" s="8">
        <f t="shared" ca="1" si="97"/>
        <v>0</v>
      </c>
      <c r="Q1785" s="8">
        <f ca="1">CEILING(R1784*(IF(N1785&lt;=IF($B$2=0,0,OFFSET(Sheet2!$B$1,Sheet1!$B$2-1,0)),$B$1/(365*100),$B$3/(365*100)))*100,1)/100</f>
        <v>110.89</v>
      </c>
      <c r="R1785" s="9">
        <f t="shared" ca="1" si="98"/>
        <v>271733.04963325232</v>
      </c>
    </row>
    <row r="1786" spans="1:18" x14ac:dyDescent="0.25">
      <c r="A1786">
        <v>16</v>
      </c>
      <c r="B1786">
        <v>9.9</v>
      </c>
      <c r="C1786">
        <v>10</v>
      </c>
      <c r="D1786">
        <v>19.899999999999999</v>
      </c>
      <c r="E1786">
        <v>40</v>
      </c>
      <c r="F1786">
        <v>3.2128808511101892E-2</v>
      </c>
      <c r="G1786" t="str">
        <f t="shared" si="99"/>
        <v>Insert into BlueCreditTypeRainbow Values (16, 9.9, 10, 19.9, 40, 0.0321288085111019)</v>
      </c>
      <c r="N1786" s="4">
        <v>1783</v>
      </c>
      <c r="O1786" s="8">
        <f>$B$7*COUNTIF(Sheet2!$B$1:$B$132,N1786)</f>
        <v>0</v>
      </c>
      <c r="P1786" s="8">
        <f t="shared" ca="1" si="97"/>
        <v>0</v>
      </c>
      <c r="Q1786" s="8">
        <f ca="1">CEILING(R1785*(IF(N1786&lt;=IF($B$2=0,0,OFFSET(Sheet2!$B$1,Sheet1!$B$2-1,0)),$B$1/(365*100),$B$3/(365*100)))*100,1)/100</f>
        <v>110.93</v>
      </c>
      <c r="R1786" s="9">
        <f t="shared" ca="1" si="98"/>
        <v>271843.97963325231</v>
      </c>
    </row>
    <row r="1787" spans="1:18" x14ac:dyDescent="0.25">
      <c r="A1787">
        <v>16</v>
      </c>
      <c r="B1787">
        <v>9.9</v>
      </c>
      <c r="C1787">
        <v>10</v>
      </c>
      <c r="D1787">
        <v>19.899999999999999</v>
      </c>
      <c r="E1787">
        <v>41</v>
      </c>
      <c r="F1787">
        <v>3.1571056585365895E-2</v>
      </c>
      <c r="G1787" t="str">
        <f t="shared" si="99"/>
        <v>Insert into BlueCreditTypeRainbow Values (16, 9.9, 10, 19.9, 41, 0.0315710565853659)</v>
      </c>
      <c r="N1787" s="4">
        <v>1784</v>
      </c>
      <c r="O1787" s="8">
        <f>$B$7*COUNTIF(Sheet2!$B$1:$B$132,N1787)</f>
        <v>0</v>
      </c>
      <c r="P1787" s="8">
        <f t="shared" ca="1" si="97"/>
        <v>0</v>
      </c>
      <c r="Q1787" s="8">
        <f ca="1">CEILING(R1786*(IF(N1787&lt;=IF($B$2=0,0,OFFSET(Sheet2!$B$1,Sheet1!$B$2-1,0)),$B$1/(365*100),$B$3/(365*100)))*100,1)/100</f>
        <v>110.98</v>
      </c>
      <c r="R1787" s="9">
        <f t="shared" ca="1" si="98"/>
        <v>271954.95963325229</v>
      </c>
    </row>
    <row r="1788" spans="1:18" x14ac:dyDescent="0.25">
      <c r="A1788">
        <v>16</v>
      </c>
      <c r="B1788">
        <v>9.9</v>
      </c>
      <c r="C1788">
        <v>10</v>
      </c>
      <c r="D1788">
        <v>19.899999999999999</v>
      </c>
      <c r="E1788">
        <v>42</v>
      </c>
      <c r="F1788">
        <v>3.1041220952380995E-2</v>
      </c>
      <c r="G1788" t="str">
        <f t="shared" si="99"/>
        <v>Insert into BlueCreditTypeRainbow Values (16, 9.9, 10, 19.9, 42, 0.031041220952381)</v>
      </c>
      <c r="N1788" s="4">
        <v>1785</v>
      </c>
      <c r="O1788" s="8">
        <f>$B$7*COUNTIF(Sheet2!$B$1:$B$132,N1788)</f>
        <v>0</v>
      </c>
      <c r="P1788" s="8">
        <f t="shared" ca="1" si="97"/>
        <v>0</v>
      </c>
      <c r="Q1788" s="8">
        <f ca="1">CEILING(R1787*(IF(N1788&lt;=IF($B$2=0,0,OFFSET(Sheet2!$B$1,Sheet1!$B$2-1,0)),$B$1/(365*100),$B$3/(365*100)))*100,1)/100</f>
        <v>111.02</v>
      </c>
      <c r="R1788" s="9">
        <f t="shared" ca="1" si="98"/>
        <v>272065.97963325231</v>
      </c>
    </row>
    <row r="1789" spans="1:18" x14ac:dyDescent="0.25">
      <c r="A1789">
        <v>16</v>
      </c>
      <c r="B1789">
        <v>9.9</v>
      </c>
      <c r="C1789">
        <v>10</v>
      </c>
      <c r="D1789">
        <v>19.899999999999999</v>
      </c>
      <c r="E1789">
        <v>43</v>
      </c>
      <c r="F1789">
        <v>3.0537037674418625E-2</v>
      </c>
      <c r="G1789" t="str">
        <f t="shared" si="99"/>
        <v>Insert into BlueCreditTypeRainbow Values (16, 9.9, 10, 19.9, 43, 0.0305370376744186)</v>
      </c>
      <c r="N1789" s="4">
        <v>1786</v>
      </c>
      <c r="O1789" s="8">
        <f>$B$7*COUNTIF(Sheet2!$B$1:$B$132,N1789)</f>
        <v>0</v>
      </c>
      <c r="P1789" s="8">
        <f t="shared" ca="1" si="97"/>
        <v>0</v>
      </c>
      <c r="Q1789" s="8">
        <f ca="1">CEILING(R1788*(IF(N1789&lt;=IF($B$2=0,0,OFFSET(Sheet2!$B$1,Sheet1!$B$2-1,0)),$B$1/(365*100),$B$3/(365*100)))*100,1)/100</f>
        <v>111.07</v>
      </c>
      <c r="R1789" s="9">
        <f t="shared" ca="1" si="98"/>
        <v>272177.04963325232</v>
      </c>
    </row>
    <row r="1790" spans="1:18" x14ac:dyDescent="0.25">
      <c r="A1790">
        <v>16</v>
      </c>
      <c r="B1790">
        <v>9.9</v>
      </c>
      <c r="C1790">
        <v>10</v>
      </c>
      <c r="D1790">
        <v>19.899999999999999</v>
      </c>
      <c r="E1790">
        <v>44</v>
      </c>
      <c r="F1790">
        <v>3.0056764545454594E-2</v>
      </c>
      <c r="G1790" t="str">
        <f t="shared" si="99"/>
        <v>Insert into BlueCreditTypeRainbow Values (16, 9.9, 10, 19.9, 44, 0.0300567645454546)</v>
      </c>
      <c r="N1790" s="4">
        <v>1787</v>
      </c>
      <c r="O1790" s="8">
        <f>$B$7*COUNTIF(Sheet2!$B$1:$B$132,N1790)</f>
        <v>0</v>
      </c>
      <c r="P1790" s="8">
        <f t="shared" ca="1" si="97"/>
        <v>0</v>
      </c>
      <c r="Q1790" s="8">
        <f ca="1">CEILING(R1789*(IF(N1790&lt;=IF($B$2=0,0,OFFSET(Sheet2!$B$1,Sheet1!$B$2-1,0)),$B$1/(365*100),$B$3/(365*100)))*100,1)/100</f>
        <v>111.11</v>
      </c>
      <c r="R1790" s="9">
        <f t="shared" ca="1" si="98"/>
        <v>272288.1596332523</v>
      </c>
    </row>
    <row r="1791" spans="1:18" x14ac:dyDescent="0.25">
      <c r="A1791">
        <v>16</v>
      </c>
      <c r="B1791">
        <v>9.9</v>
      </c>
      <c r="C1791">
        <v>10</v>
      </c>
      <c r="D1791">
        <v>19.899999999999999</v>
      </c>
      <c r="E1791">
        <v>45</v>
      </c>
      <c r="F1791">
        <v>2.9599047665544029E-2</v>
      </c>
      <c r="G1791" t="str">
        <f t="shared" si="99"/>
        <v>Insert into BlueCreditTypeRainbow Values (16, 9.9, 10, 19.9, 45, 0.029599047665544)</v>
      </c>
      <c r="N1791" s="4">
        <v>1788</v>
      </c>
      <c r="O1791" s="8">
        <f>$B$7*COUNTIF(Sheet2!$B$1:$B$132,N1791)</f>
        <v>0</v>
      </c>
      <c r="P1791" s="8">
        <f t="shared" ca="1" si="97"/>
        <v>0</v>
      </c>
      <c r="Q1791" s="8">
        <f ca="1">CEILING(R1790*(IF(N1791&lt;=IF($B$2=0,0,OFFSET(Sheet2!$B$1,Sheet1!$B$2-1,0)),$B$1/(365*100),$B$3/(365*100)))*100,1)/100</f>
        <v>111.16</v>
      </c>
      <c r="R1791" s="9">
        <f t="shared" ca="1" si="98"/>
        <v>272399.31963325228</v>
      </c>
    </row>
    <row r="1792" spans="1:18" x14ac:dyDescent="0.25">
      <c r="A1792">
        <v>16</v>
      </c>
      <c r="B1792">
        <v>9.9</v>
      </c>
      <c r="C1792">
        <v>10</v>
      </c>
      <c r="D1792">
        <v>19.899999999999999</v>
      </c>
      <c r="E1792">
        <v>46</v>
      </c>
      <c r="F1792">
        <v>2.9162158043478281E-2</v>
      </c>
      <c r="G1792" t="str">
        <f t="shared" si="99"/>
        <v>Insert into BlueCreditTypeRainbow Values (16, 9.9, 10, 19.9, 46, 0.0291621580434783)</v>
      </c>
      <c r="N1792" s="4">
        <v>1789</v>
      </c>
      <c r="O1792" s="8">
        <f>$B$7*COUNTIF(Sheet2!$B$1:$B$132,N1792)</f>
        <v>0</v>
      </c>
      <c r="P1792" s="8">
        <f t="shared" ca="1" si="97"/>
        <v>0</v>
      </c>
      <c r="Q1792" s="8">
        <f ca="1">CEILING(R1791*(IF(N1792&lt;=IF($B$2=0,0,OFFSET(Sheet2!$B$1,Sheet1!$B$2-1,0)),$B$1/(365*100),$B$3/(365*100)))*100,1)/100</f>
        <v>111.2</v>
      </c>
      <c r="R1792" s="9">
        <f t="shared" ca="1" si="98"/>
        <v>272510.51963325229</v>
      </c>
    </row>
    <row r="1793" spans="1:18" x14ac:dyDescent="0.25">
      <c r="A1793">
        <v>16</v>
      </c>
      <c r="B1793">
        <v>9.9</v>
      </c>
      <c r="C1793">
        <v>10</v>
      </c>
      <c r="D1793">
        <v>19.899999999999999</v>
      </c>
      <c r="E1793">
        <v>47</v>
      </c>
      <c r="F1793">
        <v>2.8744977021276655E-2</v>
      </c>
      <c r="G1793" t="str">
        <f t="shared" si="99"/>
        <v>Insert into BlueCreditTypeRainbow Values (16, 9.9, 10, 19.9, 47, 0.0287449770212767)</v>
      </c>
      <c r="N1793" s="4">
        <v>1790</v>
      </c>
      <c r="O1793" s="8">
        <f>$B$7*COUNTIF(Sheet2!$B$1:$B$132,N1793)</f>
        <v>0</v>
      </c>
      <c r="P1793" s="8">
        <f t="shared" ca="1" si="97"/>
        <v>0</v>
      </c>
      <c r="Q1793" s="8">
        <f ca="1">CEILING(R1792*(IF(N1793&lt;=IF($B$2=0,0,OFFSET(Sheet2!$B$1,Sheet1!$B$2-1,0)),$B$1/(365*100),$B$3/(365*100)))*100,1)/100</f>
        <v>111.25</v>
      </c>
      <c r="R1793" s="9">
        <f t="shared" ca="1" si="98"/>
        <v>272621.76963325229</v>
      </c>
    </row>
    <row r="1794" spans="1:18" x14ac:dyDescent="0.25">
      <c r="A1794">
        <v>16</v>
      </c>
      <c r="B1794">
        <v>9.9</v>
      </c>
      <c r="C1794">
        <v>10</v>
      </c>
      <c r="D1794">
        <v>19.899999999999999</v>
      </c>
      <c r="E1794">
        <v>48</v>
      </c>
      <c r="F1794">
        <v>2.8346052083333347E-2</v>
      </c>
      <c r="G1794" t="str">
        <f t="shared" si="99"/>
        <v>Insert into BlueCreditTypeRainbow Values (16, 9.9, 10, 19.9, 48, 0.0283460520833333)</v>
      </c>
      <c r="N1794" s="4">
        <v>1791</v>
      </c>
      <c r="O1794" s="8">
        <f>$B$7*COUNTIF(Sheet2!$B$1:$B$132,N1794)</f>
        <v>0</v>
      </c>
      <c r="P1794" s="8">
        <f t="shared" ca="1" si="97"/>
        <v>0</v>
      </c>
      <c r="Q1794" s="8">
        <f ca="1">CEILING(R1793*(IF(N1794&lt;=IF($B$2=0,0,OFFSET(Sheet2!$B$1,Sheet1!$B$2-1,0)),$B$1/(365*100),$B$3/(365*100)))*100,1)/100</f>
        <v>111.29</v>
      </c>
      <c r="R1794" s="9">
        <f t="shared" ca="1" si="98"/>
        <v>272733.05963325227</v>
      </c>
    </row>
    <row r="1795" spans="1:18" x14ac:dyDescent="0.25">
      <c r="A1795">
        <v>16</v>
      </c>
      <c r="B1795">
        <v>9.9</v>
      </c>
      <c r="C1795">
        <v>9</v>
      </c>
      <c r="D1795">
        <v>19.899999999999999</v>
      </c>
      <c r="E1795">
        <v>36</v>
      </c>
      <c r="F1795">
        <v>3.488420808297054E-2</v>
      </c>
      <c r="G1795" t="str">
        <f t="shared" si="99"/>
        <v>Insert into BlueCreditTypeRainbow Values (16, 9.9, 9, 19.9, 36, 0.0348842080829705)</v>
      </c>
      <c r="N1795" s="4">
        <v>1792</v>
      </c>
      <c r="O1795" s="8">
        <f>$B$7*COUNTIF(Sheet2!$B$1:$B$132,N1795)</f>
        <v>0</v>
      </c>
      <c r="P1795" s="8">
        <f t="shared" ca="1" si="97"/>
        <v>0</v>
      </c>
      <c r="Q1795" s="8">
        <f ca="1">CEILING(R1794*(IF(N1795&lt;=IF($B$2=0,0,OFFSET(Sheet2!$B$1,Sheet1!$B$2-1,0)),$B$1/(365*100),$B$3/(365*100)))*100,1)/100</f>
        <v>111.34</v>
      </c>
      <c r="R1795" s="9">
        <f t="shared" ca="1" si="98"/>
        <v>272844.39963325229</v>
      </c>
    </row>
    <row r="1796" spans="1:18" x14ac:dyDescent="0.25">
      <c r="A1796">
        <v>16</v>
      </c>
      <c r="B1796">
        <v>9.9</v>
      </c>
      <c r="C1796">
        <v>9</v>
      </c>
      <c r="D1796">
        <v>19.899999999999999</v>
      </c>
      <c r="E1796">
        <v>37</v>
      </c>
      <c r="F1796">
        <v>3.4189039006571234E-2</v>
      </c>
      <c r="G1796" t="str">
        <f t="shared" si="99"/>
        <v>Insert into BlueCreditTypeRainbow Values (16, 9.9, 9, 19.9, 37, 0.0341890390065712)</v>
      </c>
      <c r="N1796" s="4">
        <v>1793</v>
      </c>
      <c r="O1796" s="8">
        <f>$B$7*COUNTIF(Sheet2!$B$1:$B$132,N1796)</f>
        <v>0</v>
      </c>
      <c r="P1796" s="8">
        <f t="shared" ca="1" si="97"/>
        <v>0</v>
      </c>
      <c r="Q1796" s="8">
        <f ca="1">CEILING(R1795*(IF(N1796&lt;=IF($B$2=0,0,OFFSET(Sheet2!$B$1,Sheet1!$B$2-1,0)),$B$1/(365*100),$B$3/(365*100)))*100,1)/100</f>
        <v>111.39</v>
      </c>
      <c r="R1796" s="9">
        <f t="shared" ca="1" si="98"/>
        <v>272955.78963325231</v>
      </c>
    </row>
    <row r="1797" spans="1:18" x14ac:dyDescent="0.25">
      <c r="A1797">
        <v>16</v>
      </c>
      <c r="B1797">
        <v>9.9</v>
      </c>
      <c r="C1797">
        <v>9</v>
      </c>
      <c r="D1797">
        <v>19.899999999999999</v>
      </c>
      <c r="E1797">
        <v>38</v>
      </c>
      <c r="F1797">
        <v>3.3531674234644274E-2</v>
      </c>
      <c r="G1797" t="str">
        <f t="shared" si="99"/>
        <v>Insert into BlueCreditTypeRainbow Values (16, 9.9, 9, 19.9, 38, 0.0335316742346443)</v>
      </c>
      <c r="N1797" s="4">
        <v>1794</v>
      </c>
      <c r="O1797" s="8">
        <f>$B$7*COUNTIF(Sheet2!$B$1:$B$132,N1797)</f>
        <v>0</v>
      </c>
      <c r="P1797" s="8">
        <f t="shared" ref="P1797:P1854" ca="1" si="100">IF(O1797-Q1797&gt; 0, O1797-Q1797, 0)</f>
        <v>0</v>
      </c>
      <c r="Q1797" s="8">
        <f ca="1">CEILING(R1796*(IF(N1797&lt;=IF($B$2=0,0,OFFSET(Sheet2!$B$1,Sheet1!$B$2-1,0)),$B$1/(365*100),$B$3/(365*100)))*100,1)/100</f>
        <v>111.43</v>
      </c>
      <c r="R1797" s="9">
        <f t="shared" ref="R1797:R1854" ca="1" si="101">R1796+Q1797-O1797</f>
        <v>273067.2196332523</v>
      </c>
    </row>
    <row r="1798" spans="1:18" x14ac:dyDescent="0.25">
      <c r="A1798">
        <v>16</v>
      </c>
      <c r="B1798">
        <v>9.9</v>
      </c>
      <c r="C1798">
        <v>9</v>
      </c>
      <c r="D1798">
        <v>19.899999999999999</v>
      </c>
      <c r="E1798">
        <v>39</v>
      </c>
      <c r="F1798">
        <v>3.2909506692133578E-2</v>
      </c>
      <c r="G1798" t="str">
        <f t="shared" si="99"/>
        <v>Insert into BlueCreditTypeRainbow Values (16, 9.9, 9, 19.9, 39, 0.0329095066921336)</v>
      </c>
      <c r="N1798" s="4">
        <v>1795</v>
      </c>
      <c r="O1798" s="8">
        <f>$B$7*COUNTIF(Sheet2!$B$1:$B$132,N1798)</f>
        <v>0</v>
      </c>
      <c r="P1798" s="8">
        <f t="shared" ca="1" si="100"/>
        <v>0</v>
      </c>
      <c r="Q1798" s="8">
        <f ca="1">CEILING(R1797*(IF(N1798&lt;=IF($B$2=0,0,OFFSET(Sheet2!$B$1,Sheet1!$B$2-1,0)),$B$1/(365*100),$B$3/(365*100)))*100,1)/100</f>
        <v>111.48</v>
      </c>
      <c r="R1798" s="9">
        <f t="shared" ca="1" si="101"/>
        <v>273178.69963325228</v>
      </c>
    </row>
    <row r="1799" spans="1:18" x14ac:dyDescent="0.25">
      <c r="A1799">
        <v>16</v>
      </c>
      <c r="B1799">
        <v>9.9</v>
      </c>
      <c r="C1799">
        <v>9</v>
      </c>
      <c r="D1799">
        <v>19.899999999999999</v>
      </c>
      <c r="E1799">
        <v>40</v>
      </c>
      <c r="F1799">
        <v>3.2319869325895458E-2</v>
      </c>
      <c r="G1799" t="str">
        <f t="shared" si="99"/>
        <v>Insert into BlueCreditTypeRainbow Values (16, 9.9, 9, 19.9, 40, 0.0323198693258955)</v>
      </c>
      <c r="N1799" s="4">
        <v>1796</v>
      </c>
      <c r="O1799" s="8">
        <f>$B$7*COUNTIF(Sheet2!$B$1:$B$132,N1799)</f>
        <v>0</v>
      </c>
      <c r="P1799" s="8">
        <f t="shared" ca="1" si="100"/>
        <v>0</v>
      </c>
      <c r="Q1799" s="8">
        <f ca="1">CEILING(R1798*(IF(N1799&lt;=IF($B$2=0,0,OFFSET(Sheet2!$B$1,Sheet1!$B$2-1,0)),$B$1/(365*100),$B$3/(365*100)))*100,1)/100</f>
        <v>111.52</v>
      </c>
      <c r="R1799" s="9">
        <f t="shared" ca="1" si="101"/>
        <v>273290.2196332523</v>
      </c>
    </row>
    <row r="1800" spans="1:18" x14ac:dyDescent="0.25">
      <c r="A1800">
        <v>16</v>
      </c>
      <c r="B1800">
        <v>9.9</v>
      </c>
      <c r="C1800">
        <v>9</v>
      </c>
      <c r="D1800">
        <v>19.899999999999999</v>
      </c>
      <c r="E1800">
        <v>41</v>
      </c>
      <c r="F1800">
        <v>3.1760056834514522E-2</v>
      </c>
      <c r="G1800" t="str">
        <f t="shared" si="99"/>
        <v>Insert into BlueCreditTypeRainbow Values (16, 9.9, 9, 19.9, 41, 0.0317600568345145)</v>
      </c>
      <c r="N1800" s="4">
        <v>1797</v>
      </c>
      <c r="O1800" s="8">
        <f>$B$7*COUNTIF(Sheet2!$B$1:$B$132,N1800)</f>
        <v>0</v>
      </c>
      <c r="P1800" s="8">
        <f t="shared" ca="1" si="100"/>
        <v>0</v>
      </c>
      <c r="Q1800" s="8">
        <f ca="1">CEILING(R1799*(IF(N1800&lt;=IF($B$2=0,0,OFFSET(Sheet2!$B$1,Sheet1!$B$2-1,0)),$B$1/(365*100),$B$3/(365*100)))*100,1)/100</f>
        <v>111.57</v>
      </c>
      <c r="R1800" s="9">
        <f t="shared" ca="1" si="101"/>
        <v>273401.78963325231</v>
      </c>
    </row>
    <row r="1801" spans="1:18" x14ac:dyDescent="0.25">
      <c r="A1801">
        <v>16</v>
      </c>
      <c r="B1801">
        <v>9.9</v>
      </c>
      <c r="C1801">
        <v>9</v>
      </c>
      <c r="D1801">
        <v>19.899999999999999</v>
      </c>
      <c r="E1801">
        <v>42</v>
      </c>
      <c r="F1801">
        <v>3.1228223117983046E-2</v>
      </c>
      <c r="G1801" t="str">
        <f t="shared" si="99"/>
        <v>Insert into BlueCreditTypeRainbow Values (16, 9.9, 9, 19.9, 42, 0.031228223117983)</v>
      </c>
      <c r="N1801" s="4">
        <v>1798</v>
      </c>
      <c r="O1801" s="8">
        <f>$B$7*COUNTIF(Sheet2!$B$1:$B$132,N1801)</f>
        <v>0</v>
      </c>
      <c r="P1801" s="8">
        <f t="shared" ca="1" si="100"/>
        <v>0</v>
      </c>
      <c r="Q1801" s="8">
        <f ca="1">CEILING(R1800*(IF(N1801&lt;=IF($B$2=0,0,OFFSET(Sheet2!$B$1,Sheet1!$B$2-1,0)),$B$1/(365*100),$B$3/(365*100)))*100,1)/100</f>
        <v>111.61</v>
      </c>
      <c r="R1801" s="9">
        <f t="shared" ca="1" si="101"/>
        <v>273513.39963325229</v>
      </c>
    </row>
    <row r="1802" spans="1:18" x14ac:dyDescent="0.25">
      <c r="A1802">
        <v>16</v>
      </c>
      <c r="B1802">
        <v>9.9</v>
      </c>
      <c r="C1802">
        <v>9</v>
      </c>
      <c r="D1802">
        <v>19.899999999999999</v>
      </c>
      <c r="E1802">
        <v>43</v>
      </c>
      <c r="F1802">
        <v>3.0722104666666066E-2</v>
      </c>
      <c r="G1802" t="str">
        <f t="shared" si="99"/>
        <v>Insert into BlueCreditTypeRainbow Values (16, 9.9, 9, 19.9, 43, 0.0307221046666661)</v>
      </c>
      <c r="N1802" s="4">
        <v>1799</v>
      </c>
      <c r="O1802" s="8">
        <f>$B$7*COUNTIF(Sheet2!$B$1:$B$132,N1802)</f>
        <v>21157.10552356458</v>
      </c>
      <c r="P1802" s="8">
        <f t="shared" ca="1" si="100"/>
        <v>21045.44552356458</v>
      </c>
      <c r="Q1802" s="8">
        <f ca="1">CEILING(R1801*(IF(N1802&lt;=IF($B$2=0,0,OFFSET(Sheet2!$B$1,Sheet1!$B$2-1,0)),$B$1/(365*100),$B$3/(365*100)))*100,1)/100</f>
        <v>111.66</v>
      </c>
      <c r="R1802" s="9">
        <f t="shared" ca="1" si="101"/>
        <v>252467.95410968768</v>
      </c>
    </row>
    <row r="1803" spans="1:18" x14ac:dyDescent="0.25">
      <c r="A1803">
        <v>16</v>
      </c>
      <c r="B1803">
        <v>9.9</v>
      </c>
      <c r="C1803">
        <v>9</v>
      </c>
      <c r="D1803">
        <v>19.899999999999999</v>
      </c>
      <c r="E1803">
        <v>44</v>
      </c>
      <c r="F1803">
        <v>3.0239957749044474E-2</v>
      </c>
      <c r="G1803" t="str">
        <f t="shared" si="99"/>
        <v>Insert into BlueCreditTypeRainbow Values (16, 9.9, 9, 19.9, 44, 0.0302399577490445)</v>
      </c>
      <c r="N1803" s="4">
        <v>1800</v>
      </c>
      <c r="O1803" s="8">
        <f>$B$7*COUNTIF(Sheet2!$B$1:$B$132,N1803)</f>
        <v>0</v>
      </c>
      <c r="P1803" s="8">
        <f t="shared" ca="1" si="100"/>
        <v>0</v>
      </c>
      <c r="Q1803" s="8">
        <f ca="1">CEILING(R1802*(IF(N1803&lt;=IF($B$2=0,0,OFFSET(Sheet2!$B$1,Sheet1!$B$2-1,0)),$B$1/(365*100),$B$3/(365*100)))*100,1)/100</f>
        <v>103.07</v>
      </c>
      <c r="R1803" s="9">
        <f t="shared" ca="1" si="101"/>
        <v>252571.02410968769</v>
      </c>
    </row>
    <row r="1804" spans="1:18" x14ac:dyDescent="0.25">
      <c r="A1804">
        <v>16</v>
      </c>
      <c r="B1804">
        <v>9.9</v>
      </c>
      <c r="C1804">
        <v>9</v>
      </c>
      <c r="D1804">
        <v>19.899999999999999</v>
      </c>
      <c r="E1804">
        <v>45</v>
      </c>
      <c r="F1804">
        <v>2.9780414242984183E-2</v>
      </c>
      <c r="G1804" t="str">
        <f t="shared" si="99"/>
        <v>Insert into BlueCreditTypeRainbow Values (16, 9.9, 9, 19.9, 45, 0.0297804142429842)</v>
      </c>
      <c r="N1804" s="4">
        <v>1801</v>
      </c>
      <c r="O1804" s="8">
        <f>$B$7*COUNTIF(Sheet2!$B$1:$B$132,N1804)</f>
        <v>0</v>
      </c>
      <c r="P1804" s="8">
        <f t="shared" ca="1" si="100"/>
        <v>0</v>
      </c>
      <c r="Q1804" s="8">
        <f ca="1">CEILING(R1803*(IF(N1804&lt;=IF($B$2=0,0,OFFSET(Sheet2!$B$1,Sheet1!$B$2-1,0)),$B$1/(365*100),$B$3/(365*100)))*100,1)/100</f>
        <v>103.11</v>
      </c>
      <c r="R1804" s="9">
        <f t="shared" ca="1" si="101"/>
        <v>252674.13410968767</v>
      </c>
    </row>
    <row r="1805" spans="1:18" x14ac:dyDescent="0.25">
      <c r="A1805">
        <v>16</v>
      </c>
      <c r="B1805">
        <v>9.9</v>
      </c>
      <c r="C1805">
        <v>9</v>
      </c>
      <c r="D1805">
        <v>19.899999999999999</v>
      </c>
      <c r="E1805">
        <v>46</v>
      </c>
      <c r="F1805">
        <v>2.9341763913043526E-2</v>
      </c>
      <c r="G1805" t="str">
        <f t="shared" si="99"/>
        <v>Insert into BlueCreditTypeRainbow Values (16, 9.9, 9, 19.9, 46, 0.0293417639130435)</v>
      </c>
      <c r="N1805" s="4">
        <v>1802</v>
      </c>
      <c r="O1805" s="8">
        <f>$B$7*COUNTIF(Sheet2!$B$1:$B$132,N1805)</f>
        <v>0</v>
      </c>
      <c r="P1805" s="8">
        <f t="shared" ca="1" si="100"/>
        <v>0</v>
      </c>
      <c r="Q1805" s="8">
        <f ca="1">CEILING(R1804*(IF(N1805&lt;=IF($B$2=0,0,OFFSET(Sheet2!$B$1,Sheet1!$B$2-1,0)),$B$1/(365*100),$B$3/(365*100)))*100,1)/100</f>
        <v>103.15</v>
      </c>
      <c r="R1805" s="9">
        <f t="shared" ca="1" si="101"/>
        <v>252777.28410968767</v>
      </c>
    </row>
    <row r="1806" spans="1:18" x14ac:dyDescent="0.25">
      <c r="A1806">
        <v>16</v>
      </c>
      <c r="B1806">
        <v>9.9</v>
      </c>
      <c r="C1806">
        <v>9</v>
      </c>
      <c r="D1806">
        <v>19.899999999999999</v>
      </c>
      <c r="E1806">
        <v>47</v>
      </c>
      <c r="F1806">
        <v>2.892287161931854E-2</v>
      </c>
      <c r="G1806" t="str">
        <f t="shared" si="99"/>
        <v>Insert into BlueCreditTypeRainbow Values (16, 9.9, 9, 19.9, 47, 0.0289228716193185)</v>
      </c>
      <c r="N1806" s="4">
        <v>1803</v>
      </c>
      <c r="O1806" s="8">
        <f>$B$7*COUNTIF(Sheet2!$B$1:$B$132,N1806)</f>
        <v>0</v>
      </c>
      <c r="P1806" s="8">
        <f t="shared" ca="1" si="100"/>
        <v>0</v>
      </c>
      <c r="Q1806" s="8">
        <f ca="1">CEILING(R1805*(IF(N1806&lt;=IF($B$2=0,0,OFFSET(Sheet2!$B$1,Sheet1!$B$2-1,0)),$B$1/(365*100),$B$3/(365*100)))*100,1)/100</f>
        <v>103.19</v>
      </c>
      <c r="R1806" s="9">
        <f t="shared" ca="1" si="101"/>
        <v>252880.47410968767</v>
      </c>
    </row>
    <row r="1807" spans="1:18" x14ac:dyDescent="0.25">
      <c r="A1807">
        <v>16</v>
      </c>
      <c r="B1807">
        <v>9.9</v>
      </c>
      <c r="C1807">
        <v>9</v>
      </c>
      <c r="D1807">
        <v>19.899999999999999</v>
      </c>
      <c r="E1807">
        <v>48</v>
      </c>
      <c r="F1807">
        <v>2.8522283318361309E-2</v>
      </c>
      <c r="G1807" t="str">
        <f t="shared" ref="G1807:G1870" si="102">CONCATENATE("Insert into BlueCreditTypeRainbow Values (",A1807,", ",B1807,", ",C1807,", ",D1807,", ",E1807,", ",F1807,")")</f>
        <v>Insert into BlueCreditTypeRainbow Values (16, 9.9, 9, 19.9, 48, 0.0285222833183613)</v>
      </c>
      <c r="N1807" s="4">
        <v>1804</v>
      </c>
      <c r="O1807" s="8">
        <f>$B$7*COUNTIF(Sheet2!$B$1:$B$132,N1807)</f>
        <v>0</v>
      </c>
      <c r="P1807" s="8">
        <f t="shared" ca="1" si="100"/>
        <v>0</v>
      </c>
      <c r="Q1807" s="8">
        <f ca="1">CEILING(R1806*(IF(N1807&lt;=IF($B$2=0,0,OFFSET(Sheet2!$B$1,Sheet1!$B$2-1,0)),$B$1/(365*100),$B$3/(365*100)))*100,1)/100</f>
        <v>103.24</v>
      </c>
      <c r="R1807" s="9">
        <f t="shared" ca="1" si="101"/>
        <v>252983.71410968766</v>
      </c>
    </row>
    <row r="1808" spans="1:18" x14ac:dyDescent="0.25">
      <c r="A1808">
        <v>16</v>
      </c>
      <c r="B1808">
        <v>9.9</v>
      </c>
      <c r="C1808">
        <v>8</v>
      </c>
      <c r="D1808">
        <v>19.899999999999999</v>
      </c>
      <c r="E1808">
        <v>36</v>
      </c>
      <c r="F1808">
        <v>3.5094133083145643E-2</v>
      </c>
      <c r="G1808" t="str">
        <f t="shared" si="102"/>
        <v>Insert into BlueCreditTypeRainbow Values (16, 9.9, 8, 19.9, 36, 0.0350941330831456)</v>
      </c>
      <c r="N1808" s="4">
        <v>1805</v>
      </c>
      <c r="O1808" s="8">
        <f>$B$7*COUNTIF(Sheet2!$B$1:$B$132,N1808)</f>
        <v>0</v>
      </c>
      <c r="P1808" s="8">
        <f t="shared" ca="1" si="100"/>
        <v>0</v>
      </c>
      <c r="Q1808" s="8">
        <f ca="1">CEILING(R1807*(IF(N1808&lt;=IF($B$2=0,0,OFFSET(Sheet2!$B$1,Sheet1!$B$2-1,0)),$B$1/(365*100),$B$3/(365*100)))*100,1)/100</f>
        <v>103.28</v>
      </c>
      <c r="R1808" s="9">
        <f t="shared" ca="1" si="101"/>
        <v>253086.99410968766</v>
      </c>
    </row>
    <row r="1809" spans="1:18" x14ac:dyDescent="0.25">
      <c r="A1809">
        <v>16</v>
      </c>
      <c r="B1809">
        <v>9.9</v>
      </c>
      <c r="C1809">
        <v>8</v>
      </c>
      <c r="D1809">
        <v>19.899999999999999</v>
      </c>
      <c r="E1809">
        <v>37</v>
      </c>
      <c r="F1809">
        <v>3.4396306241267723E-2</v>
      </c>
      <c r="G1809" t="str">
        <f t="shared" si="102"/>
        <v>Insert into BlueCreditTypeRainbow Values (16, 9.9, 8, 19.9, 37, 0.0343963062412677)</v>
      </c>
      <c r="N1809" s="4">
        <v>1806</v>
      </c>
      <c r="O1809" s="8">
        <f>$B$7*COUNTIF(Sheet2!$B$1:$B$132,N1809)</f>
        <v>0</v>
      </c>
      <c r="P1809" s="8">
        <f t="shared" ca="1" si="100"/>
        <v>0</v>
      </c>
      <c r="Q1809" s="8">
        <f ca="1">CEILING(R1808*(IF(N1809&lt;=IF($B$2=0,0,OFFSET(Sheet2!$B$1,Sheet1!$B$2-1,0)),$B$1/(365*100),$B$3/(365*100)))*100,1)/100</f>
        <v>103.32</v>
      </c>
      <c r="R1809" s="9">
        <f t="shared" ca="1" si="101"/>
        <v>253190.31410968766</v>
      </c>
    </row>
    <row r="1810" spans="1:18" x14ac:dyDescent="0.25">
      <c r="A1810">
        <v>16</v>
      </c>
      <c r="B1810">
        <v>9.9</v>
      </c>
      <c r="C1810">
        <v>8</v>
      </c>
      <c r="D1810">
        <v>19.899999999999999</v>
      </c>
      <c r="E1810">
        <v>38</v>
      </c>
      <c r="F1810">
        <v>3.3736358706208218E-2</v>
      </c>
      <c r="G1810" t="str">
        <f t="shared" si="102"/>
        <v>Insert into BlueCreditTypeRainbow Values (16, 9.9, 8, 19.9, 38, 0.0337363587062082)</v>
      </c>
      <c r="N1810" s="4">
        <v>1807</v>
      </c>
      <c r="O1810" s="8">
        <f>$B$7*COUNTIF(Sheet2!$B$1:$B$132,N1810)</f>
        <v>0</v>
      </c>
      <c r="P1810" s="8">
        <f t="shared" ca="1" si="100"/>
        <v>0</v>
      </c>
      <c r="Q1810" s="8">
        <f ca="1">CEILING(R1809*(IF(N1810&lt;=IF($B$2=0,0,OFFSET(Sheet2!$B$1,Sheet1!$B$2-1,0)),$B$1/(365*100),$B$3/(365*100)))*100,1)/100</f>
        <v>103.36</v>
      </c>
      <c r="R1810" s="9">
        <f t="shared" ca="1" si="101"/>
        <v>253293.67410968765</v>
      </c>
    </row>
    <row r="1811" spans="1:18" x14ac:dyDescent="0.25">
      <c r="A1811">
        <v>16</v>
      </c>
      <c r="B1811">
        <v>9.9</v>
      </c>
      <c r="C1811">
        <v>8</v>
      </c>
      <c r="D1811">
        <v>19.899999999999999</v>
      </c>
      <c r="E1811">
        <v>39</v>
      </c>
      <c r="F1811">
        <v>3.311169484745155E-2</v>
      </c>
      <c r="G1811" t="str">
        <f t="shared" si="102"/>
        <v>Insert into BlueCreditTypeRainbow Values (16, 9.9, 8, 19.9, 39, 0.0331116948474516)</v>
      </c>
      <c r="N1811" s="4">
        <v>1808</v>
      </c>
      <c r="O1811" s="8">
        <f>$B$7*COUNTIF(Sheet2!$B$1:$B$132,N1811)</f>
        <v>0</v>
      </c>
      <c r="P1811" s="8">
        <f t="shared" ca="1" si="100"/>
        <v>0</v>
      </c>
      <c r="Q1811" s="8">
        <f ca="1">CEILING(R1810*(IF(N1811&lt;=IF($B$2=0,0,OFFSET(Sheet2!$B$1,Sheet1!$B$2-1,0)),$B$1/(365*100),$B$3/(365*100)))*100,1)/100</f>
        <v>103.4</v>
      </c>
      <c r="R1811" s="9">
        <f t="shared" ca="1" si="101"/>
        <v>253397.07410968764</v>
      </c>
    </row>
    <row r="1812" spans="1:18" x14ac:dyDescent="0.25">
      <c r="A1812">
        <v>16</v>
      </c>
      <c r="B1812">
        <v>9.9</v>
      </c>
      <c r="C1812">
        <v>8</v>
      </c>
      <c r="D1812">
        <v>19.899999999999999</v>
      </c>
      <c r="E1812">
        <v>40</v>
      </c>
      <c r="F1812">
        <v>3.2519655835427048E-2</v>
      </c>
      <c r="G1812" t="str">
        <f t="shared" si="102"/>
        <v>Insert into BlueCreditTypeRainbow Values (16, 9.9, 8, 19.9, 40, 0.032519655835427)</v>
      </c>
      <c r="N1812" s="4">
        <v>1809</v>
      </c>
      <c r="O1812" s="8">
        <f>$B$7*COUNTIF(Sheet2!$B$1:$B$132,N1812)</f>
        <v>0</v>
      </c>
      <c r="P1812" s="8">
        <f t="shared" ca="1" si="100"/>
        <v>0</v>
      </c>
      <c r="Q1812" s="8">
        <f ca="1">CEILING(R1811*(IF(N1812&lt;=IF($B$2=0,0,OFFSET(Sheet2!$B$1,Sheet1!$B$2-1,0)),$B$1/(365*100),$B$3/(365*100)))*100,1)/100</f>
        <v>103.45</v>
      </c>
      <c r="R1812" s="9">
        <f t="shared" ca="1" si="101"/>
        <v>253500.52410968766</v>
      </c>
    </row>
    <row r="1813" spans="1:18" x14ac:dyDescent="0.25">
      <c r="A1813">
        <v>16</v>
      </c>
      <c r="B1813">
        <v>9.9</v>
      </c>
      <c r="C1813">
        <v>8</v>
      </c>
      <c r="D1813">
        <v>19.899999999999999</v>
      </c>
      <c r="E1813">
        <v>41</v>
      </c>
      <c r="F1813">
        <v>3.1957523192302148E-2</v>
      </c>
      <c r="G1813" t="str">
        <f t="shared" si="102"/>
        <v>Insert into BlueCreditTypeRainbow Values (16, 9.9, 8, 19.9, 41, 0.0319575231923021)</v>
      </c>
      <c r="N1813" s="4">
        <v>1810</v>
      </c>
      <c r="O1813" s="8">
        <f>$B$7*COUNTIF(Sheet2!$B$1:$B$132,N1813)</f>
        <v>0</v>
      </c>
      <c r="P1813" s="8">
        <f t="shared" ca="1" si="100"/>
        <v>0</v>
      </c>
      <c r="Q1813" s="8">
        <f ca="1">CEILING(R1812*(IF(N1813&lt;=IF($B$2=0,0,OFFSET(Sheet2!$B$1,Sheet1!$B$2-1,0)),$B$1/(365*100),$B$3/(365*100)))*100,1)/100</f>
        <v>103.49</v>
      </c>
      <c r="R1813" s="9">
        <f t="shared" ca="1" si="101"/>
        <v>253604.01410968765</v>
      </c>
    </row>
    <row r="1814" spans="1:18" x14ac:dyDescent="0.25">
      <c r="A1814">
        <v>16</v>
      </c>
      <c r="B1814">
        <v>9.9</v>
      </c>
      <c r="C1814">
        <v>8</v>
      </c>
      <c r="D1814">
        <v>19.899999999999999</v>
      </c>
      <c r="E1814">
        <v>42</v>
      </c>
      <c r="F1814">
        <v>3.1423438476806766E-2</v>
      </c>
      <c r="G1814" t="str">
        <f t="shared" si="102"/>
        <v>Insert into BlueCreditTypeRainbow Values (16, 9.9, 8, 19.9, 42, 0.0314234384768068)</v>
      </c>
      <c r="N1814" s="4">
        <v>1811</v>
      </c>
      <c r="O1814" s="8">
        <f>$B$7*COUNTIF(Sheet2!$B$1:$B$132,N1814)</f>
        <v>0</v>
      </c>
      <c r="P1814" s="8">
        <f t="shared" ca="1" si="100"/>
        <v>0</v>
      </c>
      <c r="Q1814" s="8">
        <f ca="1">CEILING(R1813*(IF(N1814&lt;=IF($B$2=0,0,OFFSET(Sheet2!$B$1,Sheet1!$B$2-1,0)),$B$1/(365*100),$B$3/(365*100)))*100,1)/100</f>
        <v>103.53</v>
      </c>
      <c r="R1814" s="9">
        <f t="shared" ca="1" si="101"/>
        <v>253707.54410968765</v>
      </c>
    </row>
    <row r="1815" spans="1:18" x14ac:dyDescent="0.25">
      <c r="A1815">
        <v>16</v>
      </c>
      <c r="B1815">
        <v>9.9</v>
      </c>
      <c r="C1815">
        <v>8</v>
      </c>
      <c r="D1815">
        <v>19.899999999999999</v>
      </c>
      <c r="E1815">
        <v>43</v>
      </c>
      <c r="F1815">
        <v>3.0915148858858096E-2</v>
      </c>
      <c r="G1815" t="str">
        <f t="shared" si="102"/>
        <v>Insert into BlueCreditTypeRainbow Values (16, 9.9, 8, 19.9, 43, 0.0309151488588581)</v>
      </c>
      <c r="N1815" s="4">
        <v>1812</v>
      </c>
      <c r="O1815" s="8">
        <f>$B$7*COUNTIF(Sheet2!$B$1:$B$132,N1815)</f>
        <v>0</v>
      </c>
      <c r="P1815" s="8">
        <f t="shared" ca="1" si="100"/>
        <v>0</v>
      </c>
      <c r="Q1815" s="8">
        <f ca="1">CEILING(R1814*(IF(N1815&lt;=IF($B$2=0,0,OFFSET(Sheet2!$B$1,Sheet1!$B$2-1,0)),$B$1/(365*100),$B$3/(365*100)))*100,1)/100</f>
        <v>103.57</v>
      </c>
      <c r="R1815" s="9">
        <f t="shared" ca="1" si="101"/>
        <v>253811.11410968765</v>
      </c>
    </row>
    <row r="1816" spans="1:18" x14ac:dyDescent="0.25">
      <c r="A1816">
        <v>16</v>
      </c>
      <c r="B1816">
        <v>9.9</v>
      </c>
      <c r="C1816">
        <v>8</v>
      </c>
      <c r="D1816">
        <v>19.899999999999999</v>
      </c>
      <c r="E1816">
        <v>44</v>
      </c>
      <c r="F1816">
        <v>3.0430902067435293E-2</v>
      </c>
      <c r="G1816" t="str">
        <f t="shared" si="102"/>
        <v>Insert into BlueCreditTypeRainbow Values (16, 9.9, 8, 19.9, 44, 0.0304309020674353)</v>
      </c>
      <c r="N1816" s="4">
        <v>1813</v>
      </c>
      <c r="O1816" s="8">
        <f>$B$7*COUNTIF(Sheet2!$B$1:$B$132,N1816)</f>
        <v>0</v>
      </c>
      <c r="P1816" s="8">
        <f t="shared" ca="1" si="100"/>
        <v>0</v>
      </c>
      <c r="Q1816" s="8">
        <f ca="1">CEILING(R1815*(IF(N1816&lt;=IF($B$2=0,0,OFFSET(Sheet2!$B$1,Sheet1!$B$2-1,0)),$B$1/(365*100),$B$3/(365*100)))*100,1)/100</f>
        <v>103.62</v>
      </c>
      <c r="R1816" s="9">
        <f t="shared" ca="1" si="101"/>
        <v>253914.73410968765</v>
      </c>
    </row>
    <row r="1817" spans="1:18" x14ac:dyDescent="0.25">
      <c r="A1817">
        <v>16</v>
      </c>
      <c r="B1817">
        <v>9.9</v>
      </c>
      <c r="C1817">
        <v>8</v>
      </c>
      <c r="D1817">
        <v>19.899999999999999</v>
      </c>
      <c r="E1817">
        <v>45</v>
      </c>
      <c r="F1817">
        <v>2.9969334567463236E-2</v>
      </c>
      <c r="G1817" t="str">
        <f t="shared" si="102"/>
        <v>Insert into BlueCreditTypeRainbow Values (16, 9.9, 8, 19.9, 45, 0.0299693345674632)</v>
      </c>
      <c r="N1817" s="4">
        <v>1814</v>
      </c>
      <c r="O1817" s="8">
        <f>$B$7*COUNTIF(Sheet2!$B$1:$B$132,N1817)</f>
        <v>0</v>
      </c>
      <c r="P1817" s="8">
        <f t="shared" ca="1" si="100"/>
        <v>0</v>
      </c>
      <c r="Q1817" s="8">
        <f ca="1">CEILING(R1816*(IF(N1817&lt;=IF($B$2=0,0,OFFSET(Sheet2!$B$1,Sheet1!$B$2-1,0)),$B$1/(365*100),$B$3/(365*100)))*100,1)/100</f>
        <v>103.66</v>
      </c>
      <c r="R1817" s="9">
        <f t="shared" ca="1" si="101"/>
        <v>254018.39410968765</v>
      </c>
    </row>
    <row r="1818" spans="1:18" x14ac:dyDescent="0.25">
      <c r="A1818">
        <v>16</v>
      </c>
      <c r="B1818">
        <v>9.9</v>
      </c>
      <c r="C1818">
        <v>8</v>
      </c>
      <c r="D1818">
        <v>19.899999999999999</v>
      </c>
      <c r="E1818">
        <v>46</v>
      </c>
      <c r="F1818">
        <v>2.9528711304347807E-2</v>
      </c>
      <c r="G1818" t="str">
        <f t="shared" si="102"/>
        <v>Insert into BlueCreditTypeRainbow Values (16, 9.9, 8, 19.9, 46, 0.0295287113043478)</v>
      </c>
      <c r="N1818" s="4">
        <v>1815</v>
      </c>
      <c r="O1818" s="8">
        <f>$B$7*COUNTIF(Sheet2!$B$1:$B$132,N1818)</f>
        <v>0</v>
      </c>
      <c r="P1818" s="8">
        <f t="shared" ca="1" si="100"/>
        <v>0</v>
      </c>
      <c r="Q1818" s="8">
        <f ca="1">CEILING(R1817*(IF(N1818&lt;=IF($B$2=0,0,OFFSET(Sheet2!$B$1,Sheet1!$B$2-1,0)),$B$1/(365*100),$B$3/(365*100)))*100,1)/100</f>
        <v>103.7</v>
      </c>
      <c r="R1818" s="9">
        <f t="shared" ca="1" si="101"/>
        <v>254122.09410968766</v>
      </c>
    </row>
    <row r="1819" spans="1:18" x14ac:dyDescent="0.25">
      <c r="A1819">
        <v>16</v>
      </c>
      <c r="B1819">
        <v>9.9</v>
      </c>
      <c r="C1819">
        <v>8</v>
      </c>
      <c r="D1819">
        <v>19.899999999999999</v>
      </c>
      <c r="E1819">
        <v>47</v>
      </c>
      <c r="F1819">
        <v>2.9107930851063928E-2</v>
      </c>
      <c r="G1819" t="str">
        <f t="shared" si="102"/>
        <v>Insert into BlueCreditTypeRainbow Values (16, 9.9, 8, 19.9, 47, 0.0291079308510639)</v>
      </c>
      <c r="N1819" s="4">
        <v>1816</v>
      </c>
      <c r="O1819" s="8">
        <f>$B$7*COUNTIF(Sheet2!$B$1:$B$132,N1819)</f>
        <v>0</v>
      </c>
      <c r="P1819" s="8">
        <f t="shared" ca="1" si="100"/>
        <v>0</v>
      </c>
      <c r="Q1819" s="8">
        <f ca="1">CEILING(R1818*(IF(N1819&lt;=IF($B$2=0,0,OFFSET(Sheet2!$B$1,Sheet1!$B$2-1,0)),$B$1/(365*100),$B$3/(365*100)))*100,1)/100</f>
        <v>103.74</v>
      </c>
      <c r="R1819" s="9">
        <f t="shared" ca="1" si="101"/>
        <v>254225.83410968765</v>
      </c>
    </row>
    <row r="1820" spans="1:18" x14ac:dyDescent="0.25">
      <c r="A1820">
        <v>16</v>
      </c>
      <c r="B1820">
        <v>9.9</v>
      </c>
      <c r="C1820">
        <v>8</v>
      </c>
      <c r="D1820">
        <v>19.899999999999999</v>
      </c>
      <c r="E1820">
        <v>48</v>
      </c>
      <c r="F1820">
        <v>2.8705517305647309E-2</v>
      </c>
      <c r="G1820" t="str">
        <f t="shared" si="102"/>
        <v>Insert into BlueCreditTypeRainbow Values (16, 9.9, 8, 19.9, 48, 0.0287055173056473)</v>
      </c>
      <c r="N1820" s="4">
        <v>1817</v>
      </c>
      <c r="O1820" s="8">
        <f>$B$7*COUNTIF(Sheet2!$B$1:$B$132,N1820)</f>
        <v>0</v>
      </c>
      <c r="P1820" s="8">
        <f t="shared" ca="1" si="100"/>
        <v>0</v>
      </c>
      <c r="Q1820" s="8">
        <f ca="1">CEILING(R1819*(IF(N1820&lt;=IF($B$2=0,0,OFFSET(Sheet2!$B$1,Sheet1!$B$2-1,0)),$B$1/(365*100),$B$3/(365*100)))*100,1)/100</f>
        <v>103.78</v>
      </c>
      <c r="R1820" s="9">
        <f t="shared" ca="1" si="101"/>
        <v>254329.61410968765</v>
      </c>
    </row>
    <row r="1821" spans="1:18" x14ac:dyDescent="0.25">
      <c r="A1821">
        <v>16</v>
      </c>
      <c r="B1821">
        <v>9.9</v>
      </c>
      <c r="C1821">
        <v>7</v>
      </c>
      <c r="D1821">
        <v>19.899999999999999</v>
      </c>
      <c r="E1821">
        <v>36</v>
      </c>
      <c r="F1821">
        <v>3.5314389749432344E-2</v>
      </c>
      <c r="G1821" t="str">
        <f t="shared" si="102"/>
        <v>Insert into BlueCreditTypeRainbow Values (16, 9.9, 7, 19.9, 36, 0.0353143897494323)</v>
      </c>
      <c r="N1821" s="4">
        <v>1818</v>
      </c>
      <c r="O1821" s="8">
        <f>$B$7*COUNTIF(Sheet2!$B$1:$B$132,N1821)</f>
        <v>0</v>
      </c>
      <c r="P1821" s="8">
        <f t="shared" ca="1" si="100"/>
        <v>0</v>
      </c>
      <c r="Q1821" s="8">
        <f ca="1">CEILING(R1820*(IF(N1821&lt;=IF($B$2=0,0,OFFSET(Sheet2!$B$1,Sheet1!$B$2-1,0)),$B$1/(365*100),$B$3/(365*100)))*100,1)/100</f>
        <v>103.83</v>
      </c>
      <c r="R1821" s="9">
        <f t="shared" ca="1" si="101"/>
        <v>254433.44410968764</v>
      </c>
    </row>
    <row r="1822" spans="1:18" x14ac:dyDescent="0.25">
      <c r="A1822">
        <v>16</v>
      </c>
      <c r="B1822">
        <v>9.9</v>
      </c>
      <c r="C1822">
        <v>7</v>
      </c>
      <c r="D1822">
        <v>19.899999999999999</v>
      </c>
      <c r="E1822">
        <v>37</v>
      </c>
      <c r="F1822">
        <v>3.4613531639829297E-2</v>
      </c>
      <c r="G1822" t="str">
        <f t="shared" si="102"/>
        <v>Insert into BlueCreditTypeRainbow Values (16, 9.9, 7, 19.9, 37, 0.0346135316398293)</v>
      </c>
      <c r="N1822" s="4">
        <v>1819</v>
      </c>
      <c r="O1822" s="8">
        <f>$B$7*COUNTIF(Sheet2!$B$1:$B$132,N1822)</f>
        <v>0</v>
      </c>
      <c r="P1822" s="8">
        <f t="shared" ca="1" si="100"/>
        <v>0</v>
      </c>
      <c r="Q1822" s="8">
        <f ca="1">CEILING(R1821*(IF(N1822&lt;=IF($B$2=0,0,OFFSET(Sheet2!$B$1,Sheet1!$B$2-1,0)),$B$1/(365*100),$B$3/(365*100)))*100,1)/100</f>
        <v>103.87</v>
      </c>
      <c r="R1822" s="9">
        <f t="shared" ca="1" si="101"/>
        <v>254537.31410968764</v>
      </c>
    </row>
    <row r="1823" spans="1:18" x14ac:dyDescent="0.25">
      <c r="A1823">
        <v>16</v>
      </c>
      <c r="B1823">
        <v>9.9</v>
      </c>
      <c r="C1823">
        <v>7</v>
      </c>
      <c r="D1823">
        <v>19.899999999999999</v>
      </c>
      <c r="E1823">
        <v>38</v>
      </c>
      <c r="F1823">
        <v>3.3950662950833155E-2</v>
      </c>
      <c r="G1823" t="str">
        <f t="shared" si="102"/>
        <v>Insert into BlueCreditTypeRainbow Values (16, 9.9, 7, 19.9, 38, 0.0339506629508332)</v>
      </c>
      <c r="N1823" s="4">
        <v>1820</v>
      </c>
      <c r="O1823" s="8">
        <f>$B$7*COUNTIF(Sheet2!$B$1:$B$132,N1823)</f>
        <v>0</v>
      </c>
      <c r="P1823" s="8">
        <f t="shared" ca="1" si="100"/>
        <v>0</v>
      </c>
      <c r="Q1823" s="8">
        <f ca="1">CEILING(R1822*(IF(N1823&lt;=IF($B$2=0,0,OFFSET(Sheet2!$B$1,Sheet1!$B$2-1,0)),$B$1/(365*100),$B$3/(365*100)))*100,1)/100</f>
        <v>103.91</v>
      </c>
      <c r="R1823" s="9">
        <f t="shared" ca="1" si="101"/>
        <v>254641.22410968764</v>
      </c>
    </row>
    <row r="1824" spans="1:18" x14ac:dyDescent="0.25">
      <c r="A1824">
        <v>16</v>
      </c>
      <c r="B1824">
        <v>9.9</v>
      </c>
      <c r="C1824">
        <v>7</v>
      </c>
      <c r="D1824">
        <v>19.899999999999999</v>
      </c>
      <c r="E1824">
        <v>39</v>
      </c>
      <c r="F1824">
        <v>3.3323198974359029E-2</v>
      </c>
      <c r="G1824" t="str">
        <f t="shared" si="102"/>
        <v>Insert into BlueCreditTypeRainbow Values (16, 9.9, 7, 19.9, 39, 0.033323198974359)</v>
      </c>
      <c r="N1824" s="4">
        <v>1821</v>
      </c>
      <c r="O1824" s="8">
        <f>$B$7*COUNTIF(Sheet2!$B$1:$B$132,N1824)</f>
        <v>0</v>
      </c>
      <c r="P1824" s="8">
        <f t="shared" ca="1" si="100"/>
        <v>0</v>
      </c>
      <c r="Q1824" s="8">
        <f ca="1">CEILING(R1823*(IF(N1824&lt;=IF($B$2=0,0,OFFSET(Sheet2!$B$1,Sheet1!$B$2-1,0)),$B$1/(365*100),$B$3/(365*100)))*100,1)/100</f>
        <v>103.95</v>
      </c>
      <c r="R1824" s="9">
        <f t="shared" ca="1" si="101"/>
        <v>254745.17410968765</v>
      </c>
    </row>
    <row r="1825" spans="1:18" x14ac:dyDescent="0.25">
      <c r="A1825">
        <v>16</v>
      </c>
      <c r="B1825">
        <v>9.9</v>
      </c>
      <c r="C1825">
        <v>7</v>
      </c>
      <c r="D1825">
        <v>19.899999999999999</v>
      </c>
      <c r="E1825">
        <v>40</v>
      </c>
      <c r="F1825">
        <v>3.272846425576785E-2</v>
      </c>
      <c r="G1825" t="str">
        <f t="shared" si="102"/>
        <v>Insert into BlueCreditTypeRainbow Values (16, 9.9, 7, 19.9, 40, 0.0327284642557679)</v>
      </c>
      <c r="N1825" s="4">
        <v>1822</v>
      </c>
      <c r="O1825" s="8">
        <f>$B$7*COUNTIF(Sheet2!$B$1:$B$132,N1825)</f>
        <v>0</v>
      </c>
      <c r="P1825" s="8">
        <f t="shared" ca="1" si="100"/>
        <v>0</v>
      </c>
      <c r="Q1825" s="8">
        <f ca="1">CEILING(R1824*(IF(N1825&lt;=IF($B$2=0,0,OFFSET(Sheet2!$B$1,Sheet1!$B$2-1,0)),$B$1/(365*100),$B$3/(365*100)))*100,1)/100</f>
        <v>104</v>
      </c>
      <c r="R1825" s="9">
        <f t="shared" ca="1" si="101"/>
        <v>254849.17410968765</v>
      </c>
    </row>
    <row r="1826" spans="1:18" x14ac:dyDescent="0.25">
      <c r="A1826">
        <v>16</v>
      </c>
      <c r="B1826">
        <v>9.9</v>
      </c>
      <c r="C1826">
        <v>7</v>
      </c>
      <c r="D1826">
        <v>19.899999999999999</v>
      </c>
      <c r="E1826">
        <v>41</v>
      </c>
      <c r="F1826">
        <v>3.2163723806532624E-2</v>
      </c>
      <c r="G1826" t="str">
        <f t="shared" si="102"/>
        <v>Insert into BlueCreditTypeRainbow Values (16, 9.9, 7, 19.9, 41, 0.0321637238065326)</v>
      </c>
      <c r="N1826" s="4">
        <v>1823</v>
      </c>
      <c r="O1826" s="8">
        <f>$B$7*COUNTIF(Sheet2!$B$1:$B$132,N1826)</f>
        <v>0</v>
      </c>
      <c r="P1826" s="8">
        <f t="shared" ca="1" si="100"/>
        <v>0</v>
      </c>
      <c r="Q1826" s="8">
        <f ca="1">CEILING(R1825*(IF(N1826&lt;=IF($B$2=0,0,OFFSET(Sheet2!$B$1,Sheet1!$B$2-1,0)),$B$1/(365*100),$B$3/(365*100)))*100,1)/100</f>
        <v>104.04</v>
      </c>
      <c r="R1826" s="9">
        <f t="shared" ca="1" si="101"/>
        <v>254953.21410968766</v>
      </c>
    </row>
    <row r="1827" spans="1:18" x14ac:dyDescent="0.25">
      <c r="A1827">
        <v>16</v>
      </c>
      <c r="B1827">
        <v>9.9</v>
      </c>
      <c r="C1827">
        <v>7</v>
      </c>
      <c r="D1827">
        <v>19.899999999999999</v>
      </c>
      <c r="E1827">
        <v>42</v>
      </c>
      <c r="F1827">
        <v>3.1627135544545763E-2</v>
      </c>
      <c r="G1827" t="str">
        <f t="shared" si="102"/>
        <v>Insert into BlueCreditTypeRainbow Values (16, 9.9, 7, 19.9, 42, 0.0316271355445458)</v>
      </c>
      <c r="N1827" s="4">
        <v>1824</v>
      </c>
      <c r="O1827" s="8">
        <f>$B$7*COUNTIF(Sheet2!$B$1:$B$132,N1827)</f>
        <v>0</v>
      </c>
      <c r="P1827" s="8">
        <f t="shared" ca="1" si="100"/>
        <v>0</v>
      </c>
      <c r="Q1827" s="8">
        <f ca="1">CEILING(R1826*(IF(N1827&lt;=IF($B$2=0,0,OFFSET(Sheet2!$B$1,Sheet1!$B$2-1,0)),$B$1/(365*100),$B$3/(365*100)))*100,1)/100</f>
        <v>104.08</v>
      </c>
      <c r="R1827" s="9">
        <f t="shared" ca="1" si="101"/>
        <v>255057.29410968765</v>
      </c>
    </row>
    <row r="1828" spans="1:18" x14ac:dyDescent="0.25">
      <c r="A1828">
        <v>16</v>
      </c>
      <c r="B1828">
        <v>9.9</v>
      </c>
      <c r="C1828">
        <v>7</v>
      </c>
      <c r="D1828">
        <v>19.899999999999999</v>
      </c>
      <c r="E1828">
        <v>43</v>
      </c>
      <c r="F1828">
        <v>3.1116437217750748E-2</v>
      </c>
      <c r="G1828" t="str">
        <f t="shared" si="102"/>
        <v>Insert into BlueCreditTypeRainbow Values (16, 9.9, 7, 19.9, 43, 0.0311164372177507)</v>
      </c>
      <c r="N1828" s="4">
        <v>1825</v>
      </c>
      <c r="O1828" s="8">
        <f>$B$7*COUNTIF(Sheet2!$B$1:$B$132,N1828)</f>
        <v>0</v>
      </c>
      <c r="P1828" s="8">
        <f t="shared" ca="1" si="100"/>
        <v>0</v>
      </c>
      <c r="Q1828" s="8">
        <f ca="1">CEILING(R1827*(IF(N1828&lt;=IF($B$2=0,0,OFFSET(Sheet2!$B$1,Sheet1!$B$2-1,0)),$B$1/(365*100),$B$3/(365*100)))*100,1)/100</f>
        <v>104.12</v>
      </c>
      <c r="R1828" s="9">
        <f t="shared" ca="1" si="101"/>
        <v>255161.41410968764</v>
      </c>
    </row>
    <row r="1829" spans="1:18" x14ac:dyDescent="0.25">
      <c r="A1829">
        <v>16</v>
      </c>
      <c r="B1829">
        <v>9.9</v>
      </c>
      <c r="C1829">
        <v>7</v>
      </c>
      <c r="D1829">
        <v>19.899999999999999</v>
      </c>
      <c r="E1829">
        <v>44</v>
      </c>
      <c r="F1829">
        <v>3.0629860924309971E-2</v>
      </c>
      <c r="G1829" t="str">
        <f t="shared" si="102"/>
        <v>Insert into BlueCreditTypeRainbow Values (16, 9.9, 7, 19.9, 44, 0.03062986092431)</v>
      </c>
      <c r="N1829" s="4">
        <v>1826</v>
      </c>
      <c r="O1829" s="8">
        <f>$B$7*COUNTIF(Sheet2!$B$1:$B$132,N1829)</f>
        <v>0</v>
      </c>
      <c r="P1829" s="8">
        <f t="shared" ca="1" si="100"/>
        <v>0</v>
      </c>
      <c r="Q1829" s="8">
        <f ca="1">CEILING(R1828*(IF(N1829&lt;=IF($B$2=0,0,OFFSET(Sheet2!$B$1,Sheet1!$B$2-1,0)),$B$1/(365*100),$B$3/(365*100)))*100,1)/100</f>
        <v>104.17</v>
      </c>
      <c r="R1829" s="9">
        <f t="shared" ca="1" si="101"/>
        <v>255265.58410968765</v>
      </c>
    </row>
    <row r="1830" spans="1:18" x14ac:dyDescent="0.25">
      <c r="A1830">
        <v>16</v>
      </c>
      <c r="B1830">
        <v>9.9</v>
      </c>
      <c r="C1830">
        <v>7</v>
      </c>
      <c r="D1830">
        <v>19.899999999999999</v>
      </c>
      <c r="E1830">
        <v>45</v>
      </c>
      <c r="F1830">
        <v>3.0166056463324337E-2</v>
      </c>
      <c r="G1830" t="str">
        <f t="shared" si="102"/>
        <v>Insert into BlueCreditTypeRainbow Values (16, 9.9, 7, 19.9, 45, 0.0301660564633243)</v>
      </c>
      <c r="N1830" s="4">
        <v>1827</v>
      </c>
      <c r="O1830" s="8">
        <f>$B$7*COUNTIF(Sheet2!$B$1:$B$132,N1830)</f>
        <v>0</v>
      </c>
      <c r="P1830" s="8">
        <f t="shared" ca="1" si="100"/>
        <v>0</v>
      </c>
      <c r="Q1830" s="8">
        <f ca="1">CEILING(R1829*(IF(N1830&lt;=IF($B$2=0,0,OFFSET(Sheet2!$B$1,Sheet1!$B$2-1,0)),$B$1/(365*100),$B$3/(365*100)))*100,1)/100</f>
        <v>104.21</v>
      </c>
      <c r="R1830" s="9">
        <f t="shared" ca="1" si="101"/>
        <v>255369.79410968765</v>
      </c>
    </row>
    <row r="1831" spans="1:18" x14ac:dyDescent="0.25">
      <c r="A1831">
        <v>16</v>
      </c>
      <c r="B1831">
        <v>9.9</v>
      </c>
      <c r="C1831">
        <v>7</v>
      </c>
      <c r="D1831">
        <v>19.899999999999999</v>
      </c>
      <c r="E1831">
        <v>46</v>
      </c>
      <c r="F1831">
        <v>2.9723279406333982E-2</v>
      </c>
      <c r="G1831" t="str">
        <f t="shared" si="102"/>
        <v>Insert into BlueCreditTypeRainbow Values (16, 9.9, 7, 19.9, 46, 0.029723279406334)</v>
      </c>
      <c r="N1831" s="4">
        <v>1828</v>
      </c>
      <c r="O1831" s="8">
        <f>$B$7*COUNTIF(Sheet2!$B$1:$B$132,N1831)</f>
        <v>0</v>
      </c>
      <c r="P1831" s="8">
        <f t="shared" ca="1" si="100"/>
        <v>0</v>
      </c>
      <c r="Q1831" s="8">
        <f ca="1">CEILING(R1830*(IF(N1831&lt;=IF($B$2=0,0,OFFSET(Sheet2!$B$1,Sheet1!$B$2-1,0)),$B$1/(365*100),$B$3/(365*100)))*100,1)/100</f>
        <v>104.25</v>
      </c>
      <c r="R1831" s="9">
        <f t="shared" ca="1" si="101"/>
        <v>255474.04410968765</v>
      </c>
    </row>
    <row r="1832" spans="1:18" x14ac:dyDescent="0.25">
      <c r="A1832">
        <v>16</v>
      </c>
      <c r="B1832">
        <v>9.9</v>
      </c>
      <c r="C1832">
        <v>7</v>
      </c>
      <c r="D1832">
        <v>19.899999999999999</v>
      </c>
      <c r="E1832">
        <v>47</v>
      </c>
      <c r="F1832">
        <v>2.930040469854828E-2</v>
      </c>
      <c r="G1832" t="str">
        <f t="shared" si="102"/>
        <v>Insert into BlueCreditTypeRainbow Values (16, 9.9, 7, 19.9, 47, 0.0293004046985483)</v>
      </c>
      <c r="N1832" s="4">
        <v>1829</v>
      </c>
      <c r="O1832" s="8">
        <f>$B$7*COUNTIF(Sheet2!$B$1:$B$132,N1832)</f>
        <v>21157.10552356458</v>
      </c>
      <c r="P1832" s="8">
        <f t="shared" ca="1" si="100"/>
        <v>21052.815523564579</v>
      </c>
      <c r="Q1832" s="8">
        <f ca="1">CEILING(R1831*(IF(N1832&lt;=IF($B$2=0,0,OFFSET(Sheet2!$B$1,Sheet1!$B$2-1,0)),$B$1/(365*100),$B$3/(365*100)))*100,1)/100</f>
        <v>104.29</v>
      </c>
      <c r="R1832" s="9">
        <f t="shared" ca="1" si="101"/>
        <v>234421.22858612306</v>
      </c>
    </row>
    <row r="1833" spans="1:18" x14ac:dyDescent="0.25">
      <c r="A1833">
        <v>16</v>
      </c>
      <c r="B1833">
        <v>9.9</v>
      </c>
      <c r="C1833">
        <v>7</v>
      </c>
      <c r="D1833">
        <v>19.899999999999999</v>
      </c>
      <c r="E1833">
        <v>48</v>
      </c>
      <c r="F1833">
        <v>2.8895976475581092E-2</v>
      </c>
      <c r="G1833" t="str">
        <f t="shared" si="102"/>
        <v>Insert into BlueCreditTypeRainbow Values (16, 9.9, 7, 19.9, 48, 0.0288959764755811)</v>
      </c>
      <c r="N1833" s="4">
        <v>1830</v>
      </c>
      <c r="O1833" s="8">
        <f>$B$7*COUNTIF(Sheet2!$B$1:$B$132,N1833)</f>
        <v>0</v>
      </c>
      <c r="P1833" s="8">
        <f t="shared" ca="1" si="100"/>
        <v>0</v>
      </c>
      <c r="Q1833" s="8">
        <f ca="1">CEILING(R1832*(IF(N1833&lt;=IF($B$2=0,0,OFFSET(Sheet2!$B$1,Sheet1!$B$2-1,0)),$B$1/(365*100),$B$3/(365*100)))*100,1)/100</f>
        <v>95.7</v>
      </c>
      <c r="R1833" s="9">
        <f t="shared" ca="1" si="101"/>
        <v>234516.92858612307</v>
      </c>
    </row>
    <row r="1834" spans="1:18" x14ac:dyDescent="0.25">
      <c r="A1834">
        <v>16</v>
      </c>
      <c r="B1834">
        <v>9.9</v>
      </c>
      <c r="C1834">
        <v>6</v>
      </c>
      <c r="D1834">
        <v>19.899999999999999</v>
      </c>
      <c r="E1834">
        <v>36</v>
      </c>
      <c r="F1834">
        <v>3.5553071413450432E-2</v>
      </c>
      <c r="G1834" t="str">
        <f t="shared" si="102"/>
        <v>Insert into BlueCreditTypeRainbow Values (16, 9.9, 6, 19.9, 36, 0.0355530714134504)</v>
      </c>
      <c r="N1834" s="4">
        <v>1831</v>
      </c>
      <c r="O1834" s="8">
        <f>$B$7*COUNTIF(Sheet2!$B$1:$B$132,N1834)</f>
        <v>0</v>
      </c>
      <c r="P1834" s="8">
        <f t="shared" ca="1" si="100"/>
        <v>0</v>
      </c>
      <c r="Q1834" s="8">
        <f ca="1">CEILING(R1833*(IF(N1834&lt;=IF($B$2=0,0,OFFSET(Sheet2!$B$1,Sheet1!$B$2-1,0)),$B$1/(365*100),$B$3/(365*100)))*100,1)/100</f>
        <v>95.74</v>
      </c>
      <c r="R1834" s="9">
        <f t="shared" ca="1" si="101"/>
        <v>234612.66858612307</v>
      </c>
    </row>
    <row r="1835" spans="1:18" x14ac:dyDescent="0.25">
      <c r="A1835">
        <v>16</v>
      </c>
      <c r="B1835">
        <v>9.9</v>
      </c>
      <c r="C1835">
        <v>6</v>
      </c>
      <c r="D1835">
        <v>19.899999999999999</v>
      </c>
      <c r="E1835">
        <v>37</v>
      </c>
      <c r="F1835">
        <v>3.4848692579122806E-2</v>
      </c>
      <c r="G1835" t="str">
        <f t="shared" si="102"/>
        <v>Insert into BlueCreditTypeRainbow Values (16, 9.9, 6, 19.9, 37, 0.0348486925791228)</v>
      </c>
      <c r="N1835" s="4">
        <v>1832</v>
      </c>
      <c r="O1835" s="8">
        <f>$B$7*COUNTIF(Sheet2!$B$1:$B$132,N1835)</f>
        <v>0</v>
      </c>
      <c r="P1835" s="8">
        <f t="shared" ca="1" si="100"/>
        <v>0</v>
      </c>
      <c r="Q1835" s="8">
        <f ca="1">CEILING(R1834*(IF(N1835&lt;=IF($B$2=0,0,OFFSET(Sheet2!$B$1,Sheet1!$B$2-1,0)),$B$1/(365*100),$B$3/(365*100)))*100,1)/100</f>
        <v>95.78</v>
      </c>
      <c r="R1835" s="9">
        <f t="shared" ca="1" si="101"/>
        <v>234708.44858612306</v>
      </c>
    </row>
    <row r="1836" spans="1:18" x14ac:dyDescent="0.25">
      <c r="A1836">
        <v>16</v>
      </c>
      <c r="B1836">
        <v>9.9</v>
      </c>
      <c r="C1836">
        <v>6</v>
      </c>
      <c r="D1836">
        <v>19.899999999999999</v>
      </c>
      <c r="E1836">
        <v>38</v>
      </c>
      <c r="F1836">
        <v>3.4182440583472889E-2</v>
      </c>
      <c r="G1836" t="str">
        <f t="shared" si="102"/>
        <v>Insert into BlueCreditTypeRainbow Values (16, 9.9, 6, 19.9, 38, 0.0341824405834729)</v>
      </c>
      <c r="N1836" s="4">
        <v>1833</v>
      </c>
      <c r="O1836" s="8">
        <f>$B$7*COUNTIF(Sheet2!$B$1:$B$132,N1836)</f>
        <v>0</v>
      </c>
      <c r="P1836" s="8">
        <f t="shared" ca="1" si="100"/>
        <v>0</v>
      </c>
      <c r="Q1836" s="8">
        <f ca="1">CEILING(R1835*(IF(N1836&lt;=IF($B$2=0,0,OFFSET(Sheet2!$B$1,Sheet1!$B$2-1,0)),$B$1/(365*100),$B$3/(365*100)))*100,1)/100</f>
        <v>95.82</v>
      </c>
      <c r="R1836" s="9">
        <f t="shared" ca="1" si="101"/>
        <v>234804.26858612307</v>
      </c>
    </row>
    <row r="1837" spans="1:18" x14ac:dyDescent="0.25">
      <c r="A1837">
        <v>16</v>
      </c>
      <c r="B1837">
        <v>9.9</v>
      </c>
      <c r="C1837">
        <v>6</v>
      </c>
      <c r="D1837">
        <v>19.899999999999999</v>
      </c>
      <c r="E1837">
        <v>39</v>
      </c>
      <c r="F1837">
        <v>3.3551740887772227E-2</v>
      </c>
      <c r="G1837" t="str">
        <f t="shared" si="102"/>
        <v>Insert into BlueCreditTypeRainbow Values (16, 9.9, 6, 19.9, 39, 0.0335517408877722)</v>
      </c>
      <c r="N1837" s="4">
        <v>1834</v>
      </c>
      <c r="O1837" s="8">
        <f>$B$7*COUNTIF(Sheet2!$B$1:$B$132,N1837)</f>
        <v>0</v>
      </c>
      <c r="P1837" s="8">
        <f t="shared" ca="1" si="100"/>
        <v>0</v>
      </c>
      <c r="Q1837" s="8">
        <f ca="1">CEILING(R1836*(IF(N1837&lt;=IF($B$2=0,0,OFFSET(Sheet2!$B$1,Sheet1!$B$2-1,0)),$B$1/(365*100),$B$3/(365*100)))*100,1)/100</f>
        <v>95.86</v>
      </c>
      <c r="R1837" s="9">
        <f t="shared" ca="1" si="101"/>
        <v>234900.12858612306</v>
      </c>
    </row>
    <row r="1838" spans="1:18" x14ac:dyDescent="0.25">
      <c r="A1838">
        <v>16</v>
      </c>
      <c r="B1838">
        <v>9.9</v>
      </c>
      <c r="C1838">
        <v>6</v>
      </c>
      <c r="D1838">
        <v>19.899999999999999</v>
      </c>
      <c r="E1838">
        <v>40</v>
      </c>
      <c r="F1838">
        <v>3.2953895265578376E-2</v>
      </c>
      <c r="G1838" t="str">
        <f t="shared" si="102"/>
        <v>Insert into BlueCreditTypeRainbow Values (16, 9.9, 6, 19.9, 40, 0.0329538952655784)</v>
      </c>
      <c r="N1838" s="4">
        <v>1835</v>
      </c>
      <c r="O1838" s="8">
        <f>$B$7*COUNTIF(Sheet2!$B$1:$B$132,N1838)</f>
        <v>0</v>
      </c>
      <c r="P1838" s="8">
        <f t="shared" ca="1" si="100"/>
        <v>0</v>
      </c>
      <c r="Q1838" s="8">
        <f ca="1">CEILING(R1837*(IF(N1838&lt;=IF($B$2=0,0,OFFSET(Sheet2!$B$1,Sheet1!$B$2-1,0)),$B$1/(365*100),$B$3/(365*100)))*100,1)/100</f>
        <v>95.9</v>
      </c>
      <c r="R1838" s="9">
        <f t="shared" ca="1" si="101"/>
        <v>234996.02858612305</v>
      </c>
    </row>
    <row r="1839" spans="1:18" x14ac:dyDescent="0.25">
      <c r="A1839">
        <v>16</v>
      </c>
      <c r="B1839">
        <v>9.9</v>
      </c>
      <c r="C1839">
        <v>6</v>
      </c>
      <c r="D1839">
        <v>19.899999999999999</v>
      </c>
      <c r="E1839">
        <v>41</v>
      </c>
      <c r="F1839">
        <v>3.2386173877580512E-2</v>
      </c>
      <c r="G1839" t="str">
        <f t="shared" si="102"/>
        <v>Insert into BlueCreditTypeRainbow Values (16, 9.9, 6, 19.9, 41, 0.0323861738775805)</v>
      </c>
      <c r="N1839" s="4">
        <v>1836</v>
      </c>
      <c r="O1839" s="8">
        <f>$B$7*COUNTIF(Sheet2!$B$1:$B$132,N1839)</f>
        <v>0</v>
      </c>
      <c r="P1839" s="8">
        <f t="shared" ca="1" si="100"/>
        <v>0</v>
      </c>
      <c r="Q1839" s="8">
        <f ca="1">CEILING(R1838*(IF(N1839&lt;=IF($B$2=0,0,OFFSET(Sheet2!$B$1,Sheet1!$B$2-1,0)),$B$1/(365*100),$B$3/(365*100)))*100,1)/100</f>
        <v>95.93</v>
      </c>
      <c r="R1839" s="9">
        <f t="shared" ca="1" si="101"/>
        <v>235091.95858612304</v>
      </c>
    </row>
    <row r="1840" spans="1:18" x14ac:dyDescent="0.25">
      <c r="A1840">
        <v>16</v>
      </c>
      <c r="B1840">
        <v>9.9</v>
      </c>
      <c r="C1840">
        <v>6</v>
      </c>
      <c r="D1840">
        <v>19.899999999999999</v>
      </c>
      <c r="E1840">
        <v>42</v>
      </c>
      <c r="F1840">
        <v>3.1846720496632237E-2</v>
      </c>
      <c r="G1840" t="str">
        <f t="shared" si="102"/>
        <v>Insert into BlueCreditTypeRainbow Values (16, 9.9, 6, 19.9, 42, 0.0318467204966322)</v>
      </c>
      <c r="N1840" s="4">
        <v>1837</v>
      </c>
      <c r="O1840" s="8">
        <f>$B$7*COUNTIF(Sheet2!$B$1:$B$132,N1840)</f>
        <v>0</v>
      </c>
      <c r="P1840" s="8">
        <f t="shared" ca="1" si="100"/>
        <v>0</v>
      </c>
      <c r="Q1840" s="8">
        <f ca="1">CEILING(R1839*(IF(N1840&lt;=IF($B$2=0,0,OFFSET(Sheet2!$B$1,Sheet1!$B$2-1,0)),$B$1/(365*100),$B$3/(365*100)))*100,1)/100</f>
        <v>95.97</v>
      </c>
      <c r="R1840" s="9">
        <f t="shared" ca="1" si="101"/>
        <v>235187.92858612305</v>
      </c>
    </row>
    <row r="1841" spans="1:18" x14ac:dyDescent="0.25">
      <c r="A1841">
        <v>16</v>
      </c>
      <c r="B1841">
        <v>9.9</v>
      </c>
      <c r="C1841">
        <v>6</v>
      </c>
      <c r="D1841">
        <v>19.899999999999999</v>
      </c>
      <c r="E1841">
        <v>43</v>
      </c>
      <c r="F1841">
        <v>3.1333270486597592E-2</v>
      </c>
      <c r="G1841" t="str">
        <f t="shared" si="102"/>
        <v>Insert into BlueCreditTypeRainbow Values (16, 9.9, 6, 19.9, 43, 0.0313332704865976)</v>
      </c>
      <c r="N1841" s="4">
        <v>1838</v>
      </c>
      <c r="O1841" s="8">
        <f>$B$7*COUNTIF(Sheet2!$B$1:$B$132,N1841)</f>
        <v>0</v>
      </c>
      <c r="P1841" s="8">
        <f t="shared" ca="1" si="100"/>
        <v>0</v>
      </c>
      <c r="Q1841" s="8">
        <f ca="1">CEILING(R1840*(IF(N1841&lt;=IF($B$2=0,0,OFFSET(Sheet2!$B$1,Sheet1!$B$2-1,0)),$B$1/(365*100),$B$3/(365*100)))*100,1)/100</f>
        <v>96.01</v>
      </c>
      <c r="R1841" s="9">
        <f t="shared" ca="1" si="101"/>
        <v>235283.93858612305</v>
      </c>
    </row>
    <row r="1842" spans="1:18" x14ac:dyDescent="0.25">
      <c r="A1842">
        <v>16</v>
      </c>
      <c r="B1842">
        <v>9.9</v>
      </c>
      <c r="C1842">
        <v>6</v>
      </c>
      <c r="D1842">
        <v>19.899999999999999</v>
      </c>
      <c r="E1842">
        <v>44</v>
      </c>
      <c r="F1842">
        <v>3.0844052045454585E-2</v>
      </c>
      <c r="G1842" t="str">
        <f t="shared" si="102"/>
        <v>Insert into BlueCreditTypeRainbow Values (16, 9.9, 6, 19.9, 44, 0.0308440520454546)</v>
      </c>
      <c r="N1842" s="4">
        <v>1839</v>
      </c>
      <c r="O1842" s="8">
        <f>$B$7*COUNTIF(Sheet2!$B$1:$B$132,N1842)</f>
        <v>0</v>
      </c>
      <c r="P1842" s="8">
        <f t="shared" ca="1" si="100"/>
        <v>0</v>
      </c>
      <c r="Q1842" s="8">
        <f ca="1">CEILING(R1841*(IF(N1842&lt;=IF($B$2=0,0,OFFSET(Sheet2!$B$1,Sheet1!$B$2-1,0)),$B$1/(365*100),$B$3/(365*100)))*100,1)/100</f>
        <v>96.05</v>
      </c>
      <c r="R1842" s="9">
        <f t="shared" ca="1" si="101"/>
        <v>235379.98858612304</v>
      </c>
    </row>
    <row r="1843" spans="1:18" x14ac:dyDescent="0.25">
      <c r="A1843">
        <v>16</v>
      </c>
      <c r="B1843">
        <v>9.9</v>
      </c>
      <c r="C1843">
        <v>6</v>
      </c>
      <c r="D1843">
        <v>19.899999999999999</v>
      </c>
      <c r="E1843">
        <v>45</v>
      </c>
      <c r="F1843">
        <v>3.0377701974874334E-2</v>
      </c>
      <c r="G1843" t="str">
        <f t="shared" si="102"/>
        <v>Insert into BlueCreditTypeRainbow Values (16, 9.9, 6, 19.9, 45, 0.0303777019748743)</v>
      </c>
      <c r="N1843" s="4">
        <v>1840</v>
      </c>
      <c r="O1843" s="8">
        <f>$B$7*COUNTIF(Sheet2!$B$1:$B$132,N1843)</f>
        <v>0</v>
      </c>
      <c r="P1843" s="8">
        <f t="shared" ca="1" si="100"/>
        <v>0</v>
      </c>
      <c r="Q1843" s="8">
        <f ca="1">CEILING(R1842*(IF(N1843&lt;=IF($B$2=0,0,OFFSET(Sheet2!$B$1,Sheet1!$B$2-1,0)),$B$1/(365*100),$B$3/(365*100)))*100,1)/100</f>
        <v>96.09</v>
      </c>
      <c r="R1843" s="9">
        <f t="shared" ca="1" si="101"/>
        <v>235476.07858612304</v>
      </c>
    </row>
    <row r="1844" spans="1:18" x14ac:dyDescent="0.25">
      <c r="A1844">
        <v>16</v>
      </c>
      <c r="B1844">
        <v>9.9</v>
      </c>
      <c r="C1844">
        <v>6</v>
      </c>
      <c r="D1844">
        <v>19.899999999999999</v>
      </c>
      <c r="E1844">
        <v>46</v>
      </c>
      <c r="F1844">
        <v>2.9932469580889465E-2</v>
      </c>
      <c r="G1844" t="str">
        <f t="shared" si="102"/>
        <v>Insert into BlueCreditTypeRainbow Values (16, 9.9, 6, 19.9, 46, 0.0299324695808895)</v>
      </c>
      <c r="N1844" s="4">
        <v>1841</v>
      </c>
      <c r="O1844" s="8">
        <f>$B$7*COUNTIF(Sheet2!$B$1:$B$132,N1844)</f>
        <v>0</v>
      </c>
      <c r="P1844" s="8">
        <f t="shared" ca="1" si="100"/>
        <v>0</v>
      </c>
      <c r="Q1844" s="8">
        <f ca="1">CEILING(R1843*(IF(N1844&lt;=IF($B$2=0,0,OFFSET(Sheet2!$B$1,Sheet1!$B$2-1,0)),$B$1/(365*100),$B$3/(365*100)))*100,1)/100</f>
        <v>96.13</v>
      </c>
      <c r="R1844" s="9">
        <f t="shared" ca="1" si="101"/>
        <v>235572.20858612304</v>
      </c>
    </row>
    <row r="1845" spans="1:18" x14ac:dyDescent="0.25">
      <c r="A1845">
        <v>16</v>
      </c>
      <c r="B1845">
        <v>9.9</v>
      </c>
      <c r="C1845">
        <v>6</v>
      </c>
      <c r="D1845">
        <v>19.899999999999999</v>
      </c>
      <c r="E1845">
        <v>47</v>
      </c>
      <c r="F1845">
        <v>2.9507244155626573E-2</v>
      </c>
      <c r="G1845" t="str">
        <f t="shared" si="102"/>
        <v>Insert into BlueCreditTypeRainbow Values (16, 9.9, 6, 19.9, 47, 0.0295072441556266)</v>
      </c>
      <c r="N1845" s="4">
        <v>1842</v>
      </c>
      <c r="O1845" s="8">
        <f>$B$7*COUNTIF(Sheet2!$B$1:$B$132,N1845)</f>
        <v>0</v>
      </c>
      <c r="P1845" s="8">
        <f t="shared" ca="1" si="100"/>
        <v>0</v>
      </c>
      <c r="Q1845" s="8">
        <f ca="1">CEILING(R1844*(IF(N1845&lt;=IF($B$2=0,0,OFFSET(Sheet2!$B$1,Sheet1!$B$2-1,0)),$B$1/(365*100),$B$3/(365*100)))*100,1)/100</f>
        <v>96.17</v>
      </c>
      <c r="R1845" s="9">
        <f t="shared" ca="1" si="101"/>
        <v>235668.37858612306</v>
      </c>
    </row>
    <row r="1846" spans="1:18" x14ac:dyDescent="0.25">
      <c r="A1846">
        <v>16</v>
      </c>
      <c r="B1846">
        <v>9.9</v>
      </c>
      <c r="C1846">
        <v>6</v>
      </c>
      <c r="D1846">
        <v>19.899999999999999</v>
      </c>
      <c r="E1846">
        <v>48</v>
      </c>
      <c r="F1846">
        <v>2.9100545432160785E-2</v>
      </c>
      <c r="G1846" t="str">
        <f t="shared" si="102"/>
        <v>Insert into BlueCreditTypeRainbow Values (16, 9.9, 6, 19.9, 48, 0.0291005454321608)</v>
      </c>
      <c r="N1846" s="4">
        <v>1843</v>
      </c>
      <c r="O1846" s="8">
        <f>$B$7*COUNTIF(Sheet2!$B$1:$B$132,N1846)</f>
        <v>0</v>
      </c>
      <c r="P1846" s="8">
        <f t="shared" ca="1" si="100"/>
        <v>0</v>
      </c>
      <c r="Q1846" s="8">
        <f ca="1">CEILING(R1845*(IF(N1846&lt;=IF($B$2=0,0,OFFSET(Sheet2!$B$1,Sheet1!$B$2-1,0)),$B$1/(365*100),$B$3/(365*100)))*100,1)/100</f>
        <v>96.21</v>
      </c>
      <c r="R1846" s="9">
        <f t="shared" ca="1" si="101"/>
        <v>235764.58858612305</v>
      </c>
    </row>
    <row r="1847" spans="1:18" x14ac:dyDescent="0.25">
      <c r="A1847">
        <v>16</v>
      </c>
      <c r="B1847">
        <v>9.9</v>
      </c>
      <c r="C1847">
        <v>5</v>
      </c>
      <c r="D1847">
        <v>19.899999999999999</v>
      </c>
      <c r="E1847">
        <v>36</v>
      </c>
      <c r="F1847">
        <v>3.5803252222222297E-2</v>
      </c>
      <c r="G1847" t="str">
        <f t="shared" si="102"/>
        <v>Insert into BlueCreditTypeRainbow Values (16, 9.9, 5, 19.9, 36, 0.0358032522222223)</v>
      </c>
      <c r="N1847" s="4">
        <v>1844</v>
      </c>
      <c r="O1847" s="8">
        <f>$B$7*COUNTIF(Sheet2!$B$1:$B$132,N1847)</f>
        <v>0</v>
      </c>
      <c r="P1847" s="8">
        <f t="shared" ca="1" si="100"/>
        <v>0</v>
      </c>
      <c r="Q1847" s="8">
        <f ca="1">CEILING(R1846*(IF(N1847&lt;=IF($B$2=0,0,OFFSET(Sheet2!$B$1,Sheet1!$B$2-1,0)),$B$1/(365*100),$B$3/(365*100)))*100,1)/100</f>
        <v>96.25</v>
      </c>
      <c r="R1847" s="9">
        <f t="shared" ca="1" si="101"/>
        <v>235860.83858612305</v>
      </c>
    </row>
    <row r="1848" spans="1:18" x14ac:dyDescent="0.25">
      <c r="A1848">
        <v>16</v>
      </c>
      <c r="B1848">
        <v>9.9</v>
      </c>
      <c r="C1848">
        <v>5</v>
      </c>
      <c r="D1848">
        <v>19.899999999999999</v>
      </c>
      <c r="E1848">
        <v>37</v>
      </c>
      <c r="F1848">
        <v>3.5094938942671149E-2</v>
      </c>
      <c r="G1848" t="str">
        <f t="shared" si="102"/>
        <v>Insert into BlueCreditTypeRainbow Values (16, 9.9, 5, 19.9, 37, 0.0350949389426711)</v>
      </c>
      <c r="N1848" s="4">
        <v>1845</v>
      </c>
      <c r="O1848" s="8">
        <f>$B$7*COUNTIF(Sheet2!$B$1:$B$132,N1848)</f>
        <v>0</v>
      </c>
      <c r="P1848" s="8">
        <f t="shared" ca="1" si="100"/>
        <v>0</v>
      </c>
      <c r="Q1848" s="8">
        <f ca="1">CEILING(R1847*(IF(N1848&lt;=IF($B$2=0,0,OFFSET(Sheet2!$B$1,Sheet1!$B$2-1,0)),$B$1/(365*100),$B$3/(365*100)))*100,1)/100</f>
        <v>96.29</v>
      </c>
      <c r="R1848" s="9">
        <f t="shared" ca="1" si="101"/>
        <v>235957.12858612306</v>
      </c>
    </row>
    <row r="1849" spans="1:18" x14ac:dyDescent="0.25">
      <c r="A1849">
        <v>16</v>
      </c>
      <c r="B1849">
        <v>9.9</v>
      </c>
      <c r="C1849">
        <v>5</v>
      </c>
      <c r="D1849">
        <v>19.899999999999999</v>
      </c>
      <c r="E1849">
        <v>38</v>
      </c>
      <c r="F1849">
        <v>3.4424931052631572E-2</v>
      </c>
      <c r="G1849" t="str">
        <f t="shared" si="102"/>
        <v>Insert into BlueCreditTypeRainbow Values (16, 9.9, 5, 19.9, 38, 0.0344249310526316)</v>
      </c>
      <c r="N1849" s="4">
        <v>1846</v>
      </c>
      <c r="O1849" s="8">
        <f>$B$7*COUNTIF(Sheet2!$B$1:$B$132,N1849)</f>
        <v>0</v>
      </c>
      <c r="P1849" s="8">
        <f t="shared" ca="1" si="100"/>
        <v>0</v>
      </c>
      <c r="Q1849" s="8">
        <f ca="1">CEILING(R1848*(IF(N1849&lt;=IF($B$2=0,0,OFFSET(Sheet2!$B$1,Sheet1!$B$2-1,0)),$B$1/(365*100),$B$3/(365*100)))*100,1)/100</f>
        <v>96.33</v>
      </c>
      <c r="R1849" s="9">
        <f t="shared" ca="1" si="101"/>
        <v>236053.45858612304</v>
      </c>
    </row>
    <row r="1850" spans="1:18" x14ac:dyDescent="0.25">
      <c r="A1850">
        <v>16</v>
      </c>
      <c r="B1850">
        <v>9.9</v>
      </c>
      <c r="C1850">
        <v>5</v>
      </c>
      <c r="D1850">
        <v>19.899999999999999</v>
      </c>
      <c r="E1850">
        <v>39</v>
      </c>
      <c r="F1850">
        <v>3.3790650769230796E-2</v>
      </c>
      <c r="G1850" t="str">
        <f t="shared" si="102"/>
        <v>Insert into BlueCreditTypeRainbow Values (16, 9.9, 5, 19.9, 39, 0.0337906507692308)</v>
      </c>
      <c r="N1850" s="4">
        <v>1847</v>
      </c>
      <c r="O1850" s="8">
        <f>$B$7*COUNTIF(Sheet2!$B$1:$B$132,N1850)</f>
        <v>0</v>
      </c>
      <c r="P1850" s="8">
        <f t="shared" ca="1" si="100"/>
        <v>0</v>
      </c>
      <c r="Q1850" s="8">
        <f ca="1">CEILING(R1849*(IF(N1850&lt;=IF($B$2=0,0,OFFSET(Sheet2!$B$1,Sheet1!$B$2-1,0)),$B$1/(365*100),$B$3/(365*100)))*100,1)/100</f>
        <v>96.37</v>
      </c>
      <c r="R1850" s="9">
        <f t="shared" ca="1" si="101"/>
        <v>236149.82858612304</v>
      </c>
    </row>
    <row r="1851" spans="1:18" x14ac:dyDescent="0.25">
      <c r="A1851">
        <v>16</v>
      </c>
      <c r="B1851">
        <v>9.9</v>
      </c>
      <c r="C1851">
        <v>5</v>
      </c>
      <c r="D1851">
        <v>19.899999999999999</v>
      </c>
      <c r="E1851">
        <v>40</v>
      </c>
      <c r="F1851">
        <v>3.3189366474036648E-2</v>
      </c>
      <c r="G1851" t="str">
        <f t="shared" si="102"/>
        <v>Insert into BlueCreditTypeRainbow Values (16, 9.9, 5, 19.9, 40, 0.0331893664740366)</v>
      </c>
      <c r="N1851" s="4">
        <v>1848</v>
      </c>
      <c r="O1851" s="8">
        <f>$B$7*COUNTIF(Sheet2!$B$1:$B$132,N1851)</f>
        <v>0</v>
      </c>
      <c r="P1851" s="8">
        <f t="shared" ca="1" si="100"/>
        <v>0</v>
      </c>
      <c r="Q1851" s="8">
        <f ca="1">CEILING(R1850*(IF(N1851&lt;=IF($B$2=0,0,OFFSET(Sheet2!$B$1,Sheet1!$B$2-1,0)),$B$1/(365*100),$B$3/(365*100)))*100,1)/100</f>
        <v>96.41</v>
      </c>
      <c r="R1851" s="9">
        <f t="shared" ca="1" si="101"/>
        <v>236246.23858612304</v>
      </c>
    </row>
    <row r="1852" spans="1:18" x14ac:dyDescent="0.25">
      <c r="A1852">
        <v>16</v>
      </c>
      <c r="B1852">
        <v>9.9</v>
      </c>
      <c r="C1852">
        <v>5</v>
      </c>
      <c r="D1852">
        <v>19.899999999999999</v>
      </c>
      <c r="E1852">
        <v>41</v>
      </c>
      <c r="F1852">
        <v>3.2618361485680307E-2</v>
      </c>
      <c r="G1852" t="str">
        <f t="shared" si="102"/>
        <v>Insert into BlueCreditTypeRainbow Values (16, 9.9, 5, 19.9, 41, 0.0326183614856803)</v>
      </c>
      <c r="N1852" s="4">
        <v>1849</v>
      </c>
      <c r="O1852" s="8">
        <f>$B$7*COUNTIF(Sheet2!$B$1:$B$132,N1852)</f>
        <v>0</v>
      </c>
      <c r="P1852" s="8">
        <f t="shared" ca="1" si="100"/>
        <v>0</v>
      </c>
      <c r="Q1852" s="8">
        <f ca="1">CEILING(R1851*(IF(N1852&lt;=IF($B$2=0,0,OFFSET(Sheet2!$B$1,Sheet1!$B$2-1,0)),$B$1/(365*100),$B$3/(365*100)))*100,1)/100</f>
        <v>96.45</v>
      </c>
      <c r="R1852" s="9">
        <f t="shared" ca="1" si="101"/>
        <v>236342.68858612305</v>
      </c>
    </row>
    <row r="1853" spans="1:18" x14ac:dyDescent="0.25">
      <c r="A1853">
        <v>16</v>
      </c>
      <c r="B1853">
        <v>9.9</v>
      </c>
      <c r="C1853">
        <v>5</v>
      </c>
      <c r="D1853">
        <v>19.899999999999999</v>
      </c>
      <c r="E1853">
        <v>42</v>
      </c>
      <c r="F1853">
        <v>3.2075761300620717E-2</v>
      </c>
      <c r="G1853" t="str">
        <f t="shared" si="102"/>
        <v>Insert into BlueCreditTypeRainbow Values (16, 9.9, 5, 19.9, 42, 0.0320757613006207)</v>
      </c>
      <c r="N1853" s="4">
        <v>1850</v>
      </c>
      <c r="O1853" s="8">
        <f>$B$7*COUNTIF(Sheet2!$B$1:$B$132,N1853)</f>
        <v>0</v>
      </c>
      <c r="P1853" s="8">
        <f t="shared" ca="1" si="100"/>
        <v>0</v>
      </c>
      <c r="Q1853" s="8">
        <f ca="1">CEILING(R1852*(IF(N1853&lt;=IF($B$2=0,0,OFFSET(Sheet2!$B$1,Sheet1!$B$2-1,0)),$B$1/(365*100),$B$3/(365*100)))*100,1)/100</f>
        <v>96.48</v>
      </c>
      <c r="R1853" s="9">
        <f t="shared" ca="1" si="101"/>
        <v>236439.16858612307</v>
      </c>
    </row>
    <row r="1854" spans="1:18" x14ac:dyDescent="0.25">
      <c r="A1854">
        <v>16</v>
      </c>
      <c r="B1854">
        <v>9.9</v>
      </c>
      <c r="C1854">
        <v>5</v>
      </c>
      <c r="D1854">
        <v>19.899999999999999</v>
      </c>
      <c r="E1854">
        <v>43</v>
      </c>
      <c r="F1854">
        <v>3.1559286289626592E-2</v>
      </c>
      <c r="G1854" t="str">
        <f t="shared" si="102"/>
        <v>Insert into BlueCreditTypeRainbow Values (16, 9.9, 5, 19.9, 43, 0.0315592862896266)</v>
      </c>
      <c r="N1854" s="4">
        <v>1851</v>
      </c>
      <c r="O1854" s="8">
        <f>$B$7*COUNTIF(Sheet2!$B$1:$B$132,N1854)</f>
        <v>0</v>
      </c>
      <c r="P1854" s="8">
        <f t="shared" ca="1" si="100"/>
        <v>0</v>
      </c>
      <c r="Q1854" s="8">
        <f ca="1">CEILING(R1853*(IF(N1854&lt;=IF($B$2=0,0,OFFSET(Sheet2!$B$1,Sheet1!$B$2-1,0)),$B$1/(365*100),$B$3/(365*100)))*100,1)/100</f>
        <v>96.52</v>
      </c>
      <c r="R1854" s="9">
        <f t="shared" ca="1" si="101"/>
        <v>236535.68858612305</v>
      </c>
    </row>
    <row r="1855" spans="1:18" x14ac:dyDescent="0.25">
      <c r="A1855">
        <v>16</v>
      </c>
      <c r="B1855">
        <v>9.9</v>
      </c>
      <c r="C1855">
        <v>5</v>
      </c>
      <c r="D1855">
        <v>19.899999999999999</v>
      </c>
      <c r="E1855">
        <v>44</v>
      </c>
      <c r="F1855">
        <v>3.1067169999999991E-2</v>
      </c>
      <c r="G1855" t="str">
        <f t="shared" si="102"/>
        <v>Insert into BlueCreditTypeRainbow Values (16, 9.9, 5, 19.9, 44, 0.03106717)</v>
      </c>
      <c r="N1855" s="4">
        <v>1852</v>
      </c>
      <c r="O1855" s="8">
        <f>$B$7*COUNTIF(Sheet2!$B$1:$B$132,N1855)</f>
        <v>0</v>
      </c>
      <c r="P1855" s="8">
        <f t="shared" ref="P1855:P1918" ca="1" si="103">IF(O1855-Q1855&gt; 0, O1855-Q1855, 0)</f>
        <v>0</v>
      </c>
      <c r="Q1855" s="8">
        <f ca="1">CEILING(R1854*(IF(N1855&lt;=IF($B$2=0,0,OFFSET(Sheet2!$B$1,Sheet1!$B$2-1,0)),$B$1/(365*100),$B$3/(365*100)))*100,1)/100</f>
        <v>96.56</v>
      </c>
      <c r="R1855" s="9">
        <f t="shared" ref="R1855:R1918" ca="1" si="104">R1854+Q1855-O1855</f>
        <v>236632.24858612305</v>
      </c>
    </row>
    <row r="1856" spans="1:18" x14ac:dyDescent="0.25">
      <c r="A1856">
        <v>16</v>
      </c>
      <c r="B1856">
        <v>9.9</v>
      </c>
      <c r="C1856">
        <v>5</v>
      </c>
      <c r="D1856">
        <v>19.899999999999999</v>
      </c>
      <c r="E1856">
        <v>45</v>
      </c>
      <c r="F1856">
        <v>3.0598038004135648E-2</v>
      </c>
      <c r="G1856" t="str">
        <f t="shared" si="102"/>
        <v>Insert into BlueCreditTypeRainbow Values (16, 9.9, 5, 19.9, 45, 0.0305980380041356)</v>
      </c>
      <c r="N1856" s="4">
        <v>1853</v>
      </c>
      <c r="O1856" s="8">
        <f>$B$7*COUNTIF(Sheet2!$B$1:$B$132,N1856)</f>
        <v>0</v>
      </c>
      <c r="P1856" s="8">
        <f t="shared" ca="1" si="103"/>
        <v>0</v>
      </c>
      <c r="Q1856" s="8">
        <f ca="1">CEILING(R1855*(IF(N1856&lt;=IF($B$2=0,0,OFFSET(Sheet2!$B$1,Sheet1!$B$2-1,0)),$B$1/(365*100),$B$3/(365*100)))*100,1)/100</f>
        <v>96.6</v>
      </c>
      <c r="R1856" s="9">
        <f t="shared" ca="1" si="104"/>
        <v>236728.84858612306</v>
      </c>
    </row>
    <row r="1857" spans="1:18" x14ac:dyDescent="0.25">
      <c r="A1857">
        <v>16</v>
      </c>
      <c r="B1857">
        <v>9.9</v>
      </c>
      <c r="C1857">
        <v>5</v>
      </c>
      <c r="D1857">
        <v>19.899999999999999</v>
      </c>
      <c r="E1857">
        <v>46</v>
      </c>
      <c r="F1857">
        <v>3.0150136956521779E-2</v>
      </c>
      <c r="G1857" t="str">
        <f t="shared" si="102"/>
        <v>Insert into BlueCreditTypeRainbow Values (16, 9.9, 5, 19.9, 46, 0.0301501369565218)</v>
      </c>
      <c r="N1857" s="4">
        <v>1854</v>
      </c>
      <c r="O1857" s="8">
        <f>$B$7*COUNTIF(Sheet2!$B$1:$B$132,N1857)</f>
        <v>0</v>
      </c>
      <c r="P1857" s="8">
        <f t="shared" ca="1" si="103"/>
        <v>0</v>
      </c>
      <c r="Q1857" s="8">
        <f ca="1">CEILING(R1856*(IF(N1857&lt;=IF($B$2=0,0,OFFSET(Sheet2!$B$1,Sheet1!$B$2-1,0)),$B$1/(365*100),$B$3/(365*100)))*100,1)/100</f>
        <v>96.64</v>
      </c>
      <c r="R1857" s="9">
        <f t="shared" ca="1" si="104"/>
        <v>236825.48858612307</v>
      </c>
    </row>
    <row r="1858" spans="1:18" x14ac:dyDescent="0.25">
      <c r="A1858">
        <v>16</v>
      </c>
      <c r="B1858">
        <v>9.9</v>
      </c>
      <c r="C1858">
        <v>5</v>
      </c>
      <c r="D1858">
        <v>19.899999999999999</v>
      </c>
      <c r="E1858">
        <v>47</v>
      </c>
      <c r="F1858">
        <v>2.9722347061190355E-2</v>
      </c>
      <c r="G1858" t="str">
        <f t="shared" si="102"/>
        <v>Insert into BlueCreditTypeRainbow Values (16, 9.9, 5, 19.9, 47, 0.0297223470611904)</v>
      </c>
      <c r="N1858" s="4">
        <v>1855</v>
      </c>
      <c r="O1858" s="8">
        <f>$B$7*COUNTIF(Sheet2!$B$1:$B$132,N1858)</f>
        <v>0</v>
      </c>
      <c r="P1858" s="8">
        <f t="shared" ca="1" si="103"/>
        <v>0</v>
      </c>
      <c r="Q1858" s="8">
        <f ca="1">CEILING(R1857*(IF(N1858&lt;=IF($B$2=0,0,OFFSET(Sheet2!$B$1,Sheet1!$B$2-1,0)),$B$1/(365*100),$B$3/(365*100)))*100,1)/100</f>
        <v>96.68</v>
      </c>
      <c r="R1858" s="9">
        <f t="shared" ca="1" si="104"/>
        <v>236922.16858612307</v>
      </c>
    </row>
    <row r="1859" spans="1:18" x14ac:dyDescent="0.25">
      <c r="A1859">
        <v>16</v>
      </c>
      <c r="B1859">
        <v>9.9</v>
      </c>
      <c r="C1859">
        <v>5</v>
      </c>
      <c r="D1859">
        <v>19.899999999999999</v>
      </c>
      <c r="E1859">
        <v>48</v>
      </c>
      <c r="F1859">
        <v>2.9313173125000057E-2</v>
      </c>
      <c r="G1859" t="str">
        <f t="shared" si="102"/>
        <v>Insert into BlueCreditTypeRainbow Values (16, 9.9, 5, 19.9, 48, 0.0293131731250001)</v>
      </c>
      <c r="N1859" s="4">
        <v>1856</v>
      </c>
      <c r="O1859" s="8">
        <f>$B$7*COUNTIF(Sheet2!$B$1:$B$132,N1859)</f>
        <v>0</v>
      </c>
      <c r="P1859" s="8">
        <f t="shared" ca="1" si="103"/>
        <v>0</v>
      </c>
      <c r="Q1859" s="8">
        <f ca="1">CEILING(R1858*(IF(N1859&lt;=IF($B$2=0,0,OFFSET(Sheet2!$B$1,Sheet1!$B$2-1,0)),$B$1/(365*100),$B$3/(365*100)))*100,1)/100</f>
        <v>96.72</v>
      </c>
      <c r="R1859" s="9">
        <f t="shared" ca="1" si="104"/>
        <v>237018.88858612307</v>
      </c>
    </row>
    <row r="1860" spans="1:18" x14ac:dyDescent="0.25">
      <c r="A1860">
        <v>16</v>
      </c>
      <c r="B1860">
        <v>9.9</v>
      </c>
      <c r="C1860">
        <v>4</v>
      </c>
      <c r="D1860">
        <v>19.899999999999999</v>
      </c>
      <c r="E1860">
        <v>36</v>
      </c>
      <c r="F1860">
        <v>3.6056892636258213E-2</v>
      </c>
      <c r="G1860" t="str">
        <f t="shared" si="102"/>
        <v>Insert into BlueCreditTypeRainbow Values (16, 9.9, 4, 19.9, 36, 0.0360568926362582)</v>
      </c>
      <c r="N1860" s="4">
        <v>1857</v>
      </c>
      <c r="O1860" s="8">
        <f>$B$7*COUNTIF(Sheet2!$B$1:$B$132,N1860)</f>
        <v>0</v>
      </c>
      <c r="P1860" s="8">
        <f t="shared" ca="1" si="103"/>
        <v>0</v>
      </c>
      <c r="Q1860" s="8">
        <f ca="1">CEILING(R1859*(IF(N1860&lt;=IF($B$2=0,0,OFFSET(Sheet2!$B$1,Sheet1!$B$2-1,0)),$B$1/(365*100),$B$3/(365*100)))*100,1)/100</f>
        <v>96.76</v>
      </c>
      <c r="R1860" s="9">
        <f t="shared" ca="1" si="104"/>
        <v>237115.64858612308</v>
      </c>
    </row>
    <row r="1861" spans="1:18" x14ac:dyDescent="0.25">
      <c r="A1861">
        <v>16</v>
      </c>
      <c r="B1861">
        <v>9.9</v>
      </c>
      <c r="C1861">
        <v>4</v>
      </c>
      <c r="D1861">
        <v>19.899999999999999</v>
      </c>
      <c r="E1861">
        <v>37</v>
      </c>
      <c r="F1861">
        <v>3.5344369476536262E-2</v>
      </c>
      <c r="G1861" t="str">
        <f t="shared" si="102"/>
        <v>Insert into BlueCreditTypeRainbow Values (16, 9.9, 4, 19.9, 37, 0.0353443694765363)</v>
      </c>
      <c r="N1861" s="4">
        <v>1858</v>
      </c>
      <c r="O1861" s="8">
        <f>$B$7*COUNTIF(Sheet2!$B$1:$B$132,N1861)</f>
        <v>0</v>
      </c>
      <c r="P1861" s="8">
        <f t="shared" ca="1" si="103"/>
        <v>0</v>
      </c>
      <c r="Q1861" s="8">
        <f ca="1">CEILING(R1860*(IF(N1861&lt;=IF($B$2=0,0,OFFSET(Sheet2!$B$1,Sheet1!$B$2-1,0)),$B$1/(365*100),$B$3/(365*100)))*100,1)/100</f>
        <v>96.8</v>
      </c>
      <c r="R1861" s="9">
        <f t="shared" ca="1" si="104"/>
        <v>237212.44858612306</v>
      </c>
    </row>
    <row r="1862" spans="1:18" x14ac:dyDescent="0.25">
      <c r="A1862">
        <v>16</v>
      </c>
      <c r="B1862">
        <v>9.9</v>
      </c>
      <c r="C1862">
        <v>4</v>
      </c>
      <c r="D1862">
        <v>19.899999999999999</v>
      </c>
      <c r="E1862">
        <v>38</v>
      </c>
      <c r="F1862">
        <v>3.4670355000000014E-2</v>
      </c>
      <c r="G1862" t="str">
        <f t="shared" si="102"/>
        <v>Insert into BlueCreditTypeRainbow Values (16, 9.9, 4, 19.9, 38, 0.034670355)</v>
      </c>
      <c r="N1862" s="4">
        <v>1859</v>
      </c>
      <c r="O1862" s="8">
        <f>$B$7*COUNTIF(Sheet2!$B$1:$B$132,N1862)</f>
        <v>21157.10552356458</v>
      </c>
      <c r="P1862" s="8">
        <f t="shared" ca="1" si="103"/>
        <v>21060.26552356458</v>
      </c>
      <c r="Q1862" s="8">
        <f ca="1">CEILING(R1861*(IF(N1862&lt;=IF($B$2=0,0,OFFSET(Sheet2!$B$1,Sheet1!$B$2-1,0)),$B$1/(365*100),$B$3/(365*100)))*100,1)/100</f>
        <v>96.84</v>
      </c>
      <c r="R1862" s="9">
        <f t="shared" ca="1" si="104"/>
        <v>216152.18306255847</v>
      </c>
    </row>
    <row r="1863" spans="1:18" x14ac:dyDescent="0.25">
      <c r="A1863">
        <v>16</v>
      </c>
      <c r="B1863">
        <v>9.9</v>
      </c>
      <c r="C1863">
        <v>4</v>
      </c>
      <c r="D1863">
        <v>19.899999999999999</v>
      </c>
      <c r="E1863">
        <v>39</v>
      </c>
      <c r="F1863">
        <v>3.4032231025641055E-2</v>
      </c>
      <c r="G1863" t="str">
        <f t="shared" si="102"/>
        <v>Insert into BlueCreditTypeRainbow Values (16, 9.9, 4, 19.9, 39, 0.0340322310256411)</v>
      </c>
      <c r="N1863" s="4">
        <v>1860</v>
      </c>
      <c r="O1863" s="8">
        <f>$B$7*COUNTIF(Sheet2!$B$1:$B$132,N1863)</f>
        <v>0</v>
      </c>
      <c r="P1863" s="8">
        <f t="shared" ca="1" si="103"/>
        <v>0</v>
      </c>
      <c r="Q1863" s="8">
        <f ca="1">CEILING(R1862*(IF(N1863&lt;=IF($B$2=0,0,OFFSET(Sheet2!$B$1,Sheet1!$B$2-1,0)),$B$1/(365*100),$B$3/(365*100)))*100,1)/100</f>
        <v>88.24</v>
      </c>
      <c r="R1863" s="9">
        <f t="shared" ca="1" si="104"/>
        <v>216240.42306255846</v>
      </c>
    </row>
    <row r="1864" spans="1:18" x14ac:dyDescent="0.25">
      <c r="A1864">
        <v>16</v>
      </c>
      <c r="B1864">
        <v>9.9</v>
      </c>
      <c r="C1864">
        <v>4</v>
      </c>
      <c r="D1864">
        <v>19.899999999999999</v>
      </c>
      <c r="E1864">
        <v>40</v>
      </c>
      <c r="F1864">
        <v>3.3427302270340568E-2</v>
      </c>
      <c r="G1864" t="str">
        <f t="shared" si="102"/>
        <v>Insert into BlueCreditTypeRainbow Values (16, 9.9, 4, 19.9, 40, 0.0334273022703406)</v>
      </c>
      <c r="N1864" s="4">
        <v>1861</v>
      </c>
      <c r="O1864" s="8">
        <f>$B$7*COUNTIF(Sheet2!$B$1:$B$132,N1864)</f>
        <v>0</v>
      </c>
      <c r="P1864" s="8">
        <f t="shared" ca="1" si="103"/>
        <v>0</v>
      </c>
      <c r="Q1864" s="8">
        <f ca="1">CEILING(R1863*(IF(N1864&lt;=IF($B$2=0,0,OFFSET(Sheet2!$B$1,Sheet1!$B$2-1,0)),$B$1/(365*100),$B$3/(365*100)))*100,1)/100</f>
        <v>88.28</v>
      </c>
      <c r="R1864" s="9">
        <f t="shared" ca="1" si="104"/>
        <v>216328.70306255846</v>
      </c>
    </row>
    <row r="1865" spans="1:18" x14ac:dyDescent="0.25">
      <c r="A1865">
        <v>16</v>
      </c>
      <c r="B1865">
        <v>9.9</v>
      </c>
      <c r="C1865">
        <v>4</v>
      </c>
      <c r="D1865">
        <v>19.899999999999999</v>
      </c>
      <c r="E1865">
        <v>41</v>
      </c>
      <c r="F1865">
        <v>3.2852809536517091E-2</v>
      </c>
      <c r="G1865" t="str">
        <f t="shared" si="102"/>
        <v>Insert into BlueCreditTypeRainbow Values (16, 9.9, 4, 19.9, 41, 0.0328528095365171)</v>
      </c>
      <c r="N1865" s="4">
        <v>1862</v>
      </c>
      <c r="O1865" s="8">
        <f>$B$7*COUNTIF(Sheet2!$B$1:$B$132,N1865)</f>
        <v>0</v>
      </c>
      <c r="P1865" s="8">
        <f t="shared" ca="1" si="103"/>
        <v>0</v>
      </c>
      <c r="Q1865" s="8">
        <f ca="1">CEILING(R1864*(IF(N1865&lt;=IF($B$2=0,0,OFFSET(Sheet2!$B$1,Sheet1!$B$2-1,0)),$B$1/(365*100),$B$3/(365*100)))*100,1)/100</f>
        <v>88.31</v>
      </c>
      <c r="R1865" s="9">
        <f t="shared" ca="1" si="104"/>
        <v>216417.01306255846</v>
      </c>
    </row>
    <row r="1866" spans="1:18" x14ac:dyDescent="0.25">
      <c r="A1866">
        <v>16</v>
      </c>
      <c r="B1866">
        <v>9.9</v>
      </c>
      <c r="C1866">
        <v>4</v>
      </c>
      <c r="D1866">
        <v>19.899999999999999</v>
      </c>
      <c r="E1866">
        <v>42</v>
      </c>
      <c r="F1866">
        <v>3.2306870476190547E-2</v>
      </c>
      <c r="G1866" t="str">
        <f t="shared" si="102"/>
        <v>Insert into BlueCreditTypeRainbow Values (16, 9.9, 4, 19.9, 42, 0.0323068704761905)</v>
      </c>
      <c r="N1866" s="4">
        <v>1863</v>
      </c>
      <c r="O1866" s="8">
        <f>$B$7*COUNTIF(Sheet2!$B$1:$B$132,N1866)</f>
        <v>0</v>
      </c>
      <c r="P1866" s="8">
        <f t="shared" ca="1" si="103"/>
        <v>0</v>
      </c>
      <c r="Q1866" s="8">
        <f ca="1">CEILING(R1865*(IF(N1866&lt;=IF($B$2=0,0,OFFSET(Sheet2!$B$1,Sheet1!$B$2-1,0)),$B$1/(365*100),$B$3/(365*100)))*100,1)/100</f>
        <v>88.35</v>
      </c>
      <c r="R1866" s="9">
        <f t="shared" ca="1" si="104"/>
        <v>216505.36306255846</v>
      </c>
    </row>
    <row r="1867" spans="1:18" x14ac:dyDescent="0.25">
      <c r="A1867">
        <v>16</v>
      </c>
      <c r="B1867">
        <v>9.9</v>
      </c>
      <c r="C1867">
        <v>4</v>
      </c>
      <c r="D1867">
        <v>19.899999999999999</v>
      </c>
      <c r="E1867">
        <v>43</v>
      </c>
      <c r="F1867">
        <v>3.1787212863102647E-2</v>
      </c>
      <c r="G1867" t="str">
        <f t="shared" si="102"/>
        <v>Insert into BlueCreditTypeRainbow Values (16, 9.9, 4, 19.9, 43, 0.0317872128631026)</v>
      </c>
      <c r="N1867" s="4">
        <v>1864</v>
      </c>
      <c r="O1867" s="8">
        <f>$B$7*COUNTIF(Sheet2!$B$1:$B$132,N1867)</f>
        <v>0</v>
      </c>
      <c r="P1867" s="8">
        <f t="shared" ca="1" si="103"/>
        <v>0</v>
      </c>
      <c r="Q1867" s="8">
        <f ca="1">CEILING(R1866*(IF(N1867&lt;=IF($B$2=0,0,OFFSET(Sheet2!$B$1,Sheet1!$B$2-1,0)),$B$1/(365*100),$B$3/(365*100)))*100,1)/100</f>
        <v>88.39</v>
      </c>
      <c r="R1867" s="9">
        <f t="shared" ca="1" si="104"/>
        <v>216593.75306255848</v>
      </c>
    </row>
    <row r="1868" spans="1:18" x14ac:dyDescent="0.25">
      <c r="A1868">
        <v>16</v>
      </c>
      <c r="B1868">
        <v>9.9</v>
      </c>
      <c r="C1868">
        <v>4</v>
      </c>
      <c r="D1868">
        <v>19.899999999999999</v>
      </c>
      <c r="E1868">
        <v>44</v>
      </c>
      <c r="F1868">
        <v>3.129204047569286E-2</v>
      </c>
      <c r="G1868" t="str">
        <f t="shared" si="102"/>
        <v>Insert into BlueCreditTypeRainbow Values (16, 9.9, 4, 19.9, 44, 0.0312920404756929)</v>
      </c>
      <c r="N1868" s="4">
        <v>1865</v>
      </c>
      <c r="O1868" s="8">
        <f>$B$7*COUNTIF(Sheet2!$B$1:$B$132,N1868)</f>
        <v>0</v>
      </c>
      <c r="P1868" s="8">
        <f t="shared" ca="1" si="103"/>
        <v>0</v>
      </c>
      <c r="Q1868" s="8">
        <f ca="1">CEILING(R1867*(IF(N1868&lt;=IF($B$2=0,0,OFFSET(Sheet2!$B$1,Sheet1!$B$2-1,0)),$B$1/(365*100),$B$3/(365*100)))*100,1)/100</f>
        <v>88.42</v>
      </c>
      <c r="R1868" s="9">
        <f t="shared" ca="1" si="104"/>
        <v>216682.17306255849</v>
      </c>
    </row>
    <row r="1869" spans="1:18" x14ac:dyDescent="0.25">
      <c r="A1869">
        <v>16</v>
      </c>
      <c r="B1869">
        <v>9.9</v>
      </c>
      <c r="C1869">
        <v>4</v>
      </c>
      <c r="D1869">
        <v>19.899999999999999</v>
      </c>
      <c r="E1869">
        <v>45</v>
      </c>
      <c r="F1869">
        <v>3.0819974683156282E-2</v>
      </c>
      <c r="G1869" t="str">
        <f t="shared" si="102"/>
        <v>Insert into BlueCreditTypeRainbow Values (16, 9.9, 4, 19.9, 45, 0.0308199746831563)</v>
      </c>
      <c r="N1869" s="4">
        <v>1866</v>
      </c>
      <c r="O1869" s="8">
        <f>$B$7*COUNTIF(Sheet2!$B$1:$B$132,N1869)</f>
        <v>0</v>
      </c>
      <c r="P1869" s="8">
        <f t="shared" ca="1" si="103"/>
        <v>0</v>
      </c>
      <c r="Q1869" s="8">
        <f ca="1">CEILING(R1868*(IF(N1869&lt;=IF($B$2=0,0,OFFSET(Sheet2!$B$1,Sheet1!$B$2-1,0)),$B$1/(365*100),$B$3/(365*100)))*100,1)/100</f>
        <v>88.46</v>
      </c>
      <c r="R1869" s="9">
        <f t="shared" ca="1" si="104"/>
        <v>216770.63306255848</v>
      </c>
    </row>
    <row r="1870" spans="1:18" x14ac:dyDescent="0.25">
      <c r="A1870">
        <v>16</v>
      </c>
      <c r="B1870">
        <v>9.9</v>
      </c>
      <c r="C1870">
        <v>4</v>
      </c>
      <c r="D1870">
        <v>19.899999999999999</v>
      </c>
      <c r="E1870">
        <v>46</v>
      </c>
      <c r="F1870">
        <v>3.0369271100689443E-2</v>
      </c>
      <c r="G1870" t="str">
        <f t="shared" si="102"/>
        <v>Insert into BlueCreditTypeRainbow Values (16, 9.9, 4, 19.9, 46, 0.0303692711006894)</v>
      </c>
      <c r="N1870" s="4">
        <v>1867</v>
      </c>
      <c r="O1870" s="8">
        <f>$B$7*COUNTIF(Sheet2!$B$1:$B$132,N1870)</f>
        <v>0</v>
      </c>
      <c r="P1870" s="8">
        <f t="shared" ca="1" si="103"/>
        <v>0</v>
      </c>
      <c r="Q1870" s="8">
        <f ca="1">CEILING(R1869*(IF(N1870&lt;=IF($B$2=0,0,OFFSET(Sheet2!$B$1,Sheet1!$B$2-1,0)),$B$1/(365*100),$B$3/(365*100)))*100,1)/100</f>
        <v>88.49</v>
      </c>
      <c r="R1870" s="9">
        <f t="shared" ca="1" si="104"/>
        <v>216859.12306255847</v>
      </c>
    </row>
    <row r="1871" spans="1:18" x14ac:dyDescent="0.25">
      <c r="A1871">
        <v>16</v>
      </c>
      <c r="B1871">
        <v>9.9</v>
      </c>
      <c r="C1871">
        <v>4</v>
      </c>
      <c r="D1871">
        <v>19.899999999999999</v>
      </c>
      <c r="E1871">
        <v>47</v>
      </c>
      <c r="F1871">
        <v>2.9938777890815838E-2</v>
      </c>
      <c r="G1871" t="str">
        <f t="shared" ref="G1871:G1934" si="105">CONCATENATE("Insert into BlueCreditTypeRainbow Values (",A1871,", ",B1871,", ",C1871,", ",D1871,", ",E1871,", ",F1871,")")</f>
        <v>Insert into BlueCreditTypeRainbow Values (16, 9.9, 4, 19.9, 47, 0.0299387778908158)</v>
      </c>
      <c r="N1871" s="4">
        <v>1868</v>
      </c>
      <c r="O1871" s="8">
        <f>$B$7*COUNTIF(Sheet2!$B$1:$B$132,N1871)</f>
        <v>0</v>
      </c>
      <c r="P1871" s="8">
        <f t="shared" ca="1" si="103"/>
        <v>0</v>
      </c>
      <c r="Q1871" s="8">
        <f ca="1">CEILING(R1870*(IF(N1871&lt;=IF($B$2=0,0,OFFSET(Sheet2!$B$1,Sheet1!$B$2-1,0)),$B$1/(365*100),$B$3/(365*100)))*100,1)/100</f>
        <v>88.53</v>
      </c>
      <c r="R1871" s="9">
        <f t="shared" ca="1" si="104"/>
        <v>216947.65306255847</v>
      </c>
    </row>
    <row r="1872" spans="1:18" x14ac:dyDescent="0.25">
      <c r="A1872">
        <v>16</v>
      </c>
      <c r="B1872">
        <v>9.9</v>
      </c>
      <c r="C1872">
        <v>4</v>
      </c>
      <c r="D1872">
        <v>19.899999999999999</v>
      </c>
      <c r="E1872">
        <v>48</v>
      </c>
      <c r="F1872">
        <v>2.9527017936134478E-2</v>
      </c>
      <c r="G1872" t="str">
        <f t="shared" si="105"/>
        <v>Insert into BlueCreditTypeRainbow Values (16, 9.9, 4, 19.9, 48, 0.0295270179361345)</v>
      </c>
      <c r="N1872" s="4">
        <v>1869</v>
      </c>
      <c r="O1872" s="8">
        <f>$B$7*COUNTIF(Sheet2!$B$1:$B$132,N1872)</f>
        <v>0</v>
      </c>
      <c r="P1872" s="8">
        <f t="shared" ca="1" si="103"/>
        <v>0</v>
      </c>
      <c r="Q1872" s="8">
        <f ca="1">CEILING(R1871*(IF(N1872&lt;=IF($B$2=0,0,OFFSET(Sheet2!$B$1,Sheet1!$B$2-1,0)),$B$1/(365*100),$B$3/(365*100)))*100,1)/100</f>
        <v>88.57</v>
      </c>
      <c r="R1872" s="9">
        <f t="shared" ca="1" si="104"/>
        <v>217036.22306255848</v>
      </c>
    </row>
    <row r="1873" spans="1:18" x14ac:dyDescent="0.25">
      <c r="A1873">
        <v>16</v>
      </c>
      <c r="B1873">
        <v>9.9</v>
      </c>
      <c r="C1873">
        <v>3</v>
      </c>
      <c r="D1873">
        <v>19.899999999999999</v>
      </c>
      <c r="E1873">
        <v>36</v>
      </c>
      <c r="F1873">
        <v>3.6331345857165763E-2</v>
      </c>
      <c r="G1873" t="str">
        <f t="shared" si="105"/>
        <v>Insert into BlueCreditTypeRainbow Values (16, 9.9, 3, 19.9, 36, 0.0363313458571658)</v>
      </c>
      <c r="N1873" s="4">
        <v>1870</v>
      </c>
      <c r="O1873" s="8">
        <f>$B$7*COUNTIF(Sheet2!$B$1:$B$132,N1873)</f>
        <v>0</v>
      </c>
      <c r="P1873" s="8">
        <f t="shared" ca="1" si="103"/>
        <v>0</v>
      </c>
      <c r="Q1873" s="8">
        <f ca="1">CEILING(R1872*(IF(N1873&lt;=IF($B$2=0,0,OFFSET(Sheet2!$B$1,Sheet1!$B$2-1,0)),$B$1/(365*100),$B$3/(365*100)))*100,1)/100</f>
        <v>88.6</v>
      </c>
      <c r="R1873" s="9">
        <f t="shared" ca="1" si="104"/>
        <v>217124.82306255848</v>
      </c>
    </row>
    <row r="1874" spans="1:18" x14ac:dyDescent="0.25">
      <c r="A1874">
        <v>16</v>
      </c>
      <c r="B1874">
        <v>9.9</v>
      </c>
      <c r="C1874">
        <v>3</v>
      </c>
      <c r="D1874">
        <v>19.899999999999999</v>
      </c>
      <c r="E1874">
        <v>37</v>
      </c>
      <c r="F1874">
        <v>3.5614035431117005E-2</v>
      </c>
      <c r="G1874" t="str">
        <f t="shared" si="105"/>
        <v>Insert into BlueCreditTypeRainbow Values (16, 9.9, 3, 19.9, 37, 0.035614035431117)</v>
      </c>
      <c r="N1874" s="4">
        <v>1871</v>
      </c>
      <c r="O1874" s="8">
        <f>$B$7*COUNTIF(Sheet2!$B$1:$B$132,N1874)</f>
        <v>0</v>
      </c>
      <c r="P1874" s="8">
        <f t="shared" ca="1" si="103"/>
        <v>0</v>
      </c>
      <c r="Q1874" s="8">
        <f ca="1">CEILING(R1873*(IF(N1874&lt;=IF($B$2=0,0,OFFSET(Sheet2!$B$1,Sheet1!$B$2-1,0)),$B$1/(365*100),$B$3/(365*100)))*100,1)/100</f>
        <v>88.64</v>
      </c>
      <c r="R1874" s="9">
        <f t="shared" ca="1" si="104"/>
        <v>217213.4630625585</v>
      </c>
    </row>
    <row r="1875" spans="1:18" x14ac:dyDescent="0.25">
      <c r="A1875">
        <v>16</v>
      </c>
      <c r="B1875">
        <v>9.9</v>
      </c>
      <c r="C1875">
        <v>3</v>
      </c>
      <c r="D1875">
        <v>19.899999999999999</v>
      </c>
      <c r="E1875">
        <v>38</v>
      </c>
      <c r="F1875">
        <v>3.4935470288898693E-2</v>
      </c>
      <c r="G1875" t="str">
        <f t="shared" si="105"/>
        <v>Insert into BlueCreditTypeRainbow Values (16, 9.9, 3, 19.9, 38, 0.0349354702888987)</v>
      </c>
      <c r="N1875" s="4">
        <v>1872</v>
      </c>
      <c r="O1875" s="8">
        <f>$B$7*COUNTIF(Sheet2!$B$1:$B$132,N1875)</f>
        <v>0</v>
      </c>
      <c r="P1875" s="8">
        <f t="shared" ca="1" si="103"/>
        <v>0</v>
      </c>
      <c r="Q1875" s="8">
        <f ca="1">CEILING(R1874*(IF(N1875&lt;=IF($B$2=0,0,OFFSET(Sheet2!$B$1,Sheet1!$B$2-1,0)),$B$1/(365*100),$B$3/(365*100)))*100,1)/100</f>
        <v>88.68</v>
      </c>
      <c r="R1875" s="9">
        <f t="shared" ca="1" si="104"/>
        <v>217302.14306255849</v>
      </c>
    </row>
    <row r="1876" spans="1:18" x14ac:dyDescent="0.25">
      <c r="A1876">
        <v>16</v>
      </c>
      <c r="B1876">
        <v>9.9</v>
      </c>
      <c r="C1876">
        <v>3</v>
      </c>
      <c r="D1876">
        <v>19.899999999999999</v>
      </c>
      <c r="E1876">
        <v>39</v>
      </c>
      <c r="F1876">
        <v>3.4293020535784299E-2</v>
      </c>
      <c r="G1876" t="str">
        <f t="shared" si="105"/>
        <v>Insert into BlueCreditTypeRainbow Values (16, 9.9, 3, 19.9, 39, 0.0342930205357843)</v>
      </c>
      <c r="N1876" s="4">
        <v>1873</v>
      </c>
      <c r="O1876" s="8">
        <f>$B$7*COUNTIF(Sheet2!$B$1:$B$132,N1876)</f>
        <v>0</v>
      </c>
      <c r="P1876" s="8">
        <f t="shared" ca="1" si="103"/>
        <v>0</v>
      </c>
      <c r="Q1876" s="8">
        <f ca="1">CEILING(R1875*(IF(N1876&lt;=IF($B$2=0,0,OFFSET(Sheet2!$B$1,Sheet1!$B$2-1,0)),$B$1/(365*100),$B$3/(365*100)))*100,1)/100</f>
        <v>88.71</v>
      </c>
      <c r="R1876" s="9">
        <f t="shared" ca="1" si="104"/>
        <v>217390.85306255848</v>
      </c>
    </row>
    <row r="1877" spans="1:18" x14ac:dyDescent="0.25">
      <c r="A1877">
        <v>16</v>
      </c>
      <c r="B1877">
        <v>9.9</v>
      </c>
      <c r="C1877">
        <v>3</v>
      </c>
      <c r="D1877">
        <v>19.899999999999999</v>
      </c>
      <c r="E1877">
        <v>40</v>
      </c>
      <c r="F1877">
        <v>3.3683977374371787E-2</v>
      </c>
      <c r="G1877" t="str">
        <f t="shared" si="105"/>
        <v>Insert into BlueCreditTypeRainbow Values (16, 9.9, 3, 19.9, 40, 0.0336839773743718)</v>
      </c>
      <c r="N1877" s="4">
        <v>1874</v>
      </c>
      <c r="O1877" s="8">
        <f>$B$7*COUNTIF(Sheet2!$B$1:$B$132,N1877)</f>
        <v>0</v>
      </c>
      <c r="P1877" s="8">
        <f t="shared" ca="1" si="103"/>
        <v>0</v>
      </c>
      <c r="Q1877" s="8">
        <f ca="1">CEILING(R1876*(IF(N1877&lt;=IF($B$2=0,0,OFFSET(Sheet2!$B$1,Sheet1!$B$2-1,0)),$B$1/(365*100),$B$3/(365*100)))*100,1)/100</f>
        <v>88.75</v>
      </c>
      <c r="R1877" s="9">
        <f t="shared" ca="1" si="104"/>
        <v>217479.60306255848</v>
      </c>
    </row>
    <row r="1878" spans="1:18" x14ac:dyDescent="0.25">
      <c r="A1878">
        <v>16</v>
      </c>
      <c r="B1878">
        <v>9.9</v>
      </c>
      <c r="C1878">
        <v>3</v>
      </c>
      <c r="D1878">
        <v>19.899999999999999</v>
      </c>
      <c r="E1878">
        <v>41</v>
      </c>
      <c r="F1878">
        <v>3.3105542950512094E-2</v>
      </c>
      <c r="G1878" t="str">
        <f t="shared" si="105"/>
        <v>Insert into BlueCreditTypeRainbow Values (16, 9.9, 3, 19.9, 41, 0.0331055429505121)</v>
      </c>
      <c r="N1878" s="4">
        <v>1875</v>
      </c>
      <c r="O1878" s="8">
        <f>$B$7*COUNTIF(Sheet2!$B$1:$B$132,N1878)</f>
        <v>0</v>
      </c>
      <c r="P1878" s="8">
        <f t="shared" ca="1" si="103"/>
        <v>0</v>
      </c>
      <c r="Q1878" s="8">
        <f ca="1">CEILING(R1877*(IF(N1878&lt;=IF($B$2=0,0,OFFSET(Sheet2!$B$1,Sheet1!$B$2-1,0)),$B$1/(365*100),$B$3/(365*100)))*100,1)/100</f>
        <v>88.78</v>
      </c>
      <c r="R1878" s="9">
        <f t="shared" ca="1" si="104"/>
        <v>217568.38306255848</v>
      </c>
    </row>
    <row r="1879" spans="1:18" x14ac:dyDescent="0.25">
      <c r="A1879">
        <v>16</v>
      </c>
      <c r="B1879">
        <v>9.9</v>
      </c>
      <c r="C1879">
        <v>3</v>
      </c>
      <c r="D1879">
        <v>19.899999999999999</v>
      </c>
      <c r="E1879">
        <v>42</v>
      </c>
      <c r="F1879">
        <v>3.2555854047619077E-2</v>
      </c>
      <c r="G1879" t="str">
        <f t="shared" si="105"/>
        <v>Insert into BlueCreditTypeRainbow Values (16, 9.9, 3, 19.9, 42, 0.0325558540476191)</v>
      </c>
      <c r="N1879" s="4">
        <v>1876</v>
      </c>
      <c r="O1879" s="8">
        <f>$B$7*COUNTIF(Sheet2!$B$1:$B$132,N1879)</f>
        <v>0</v>
      </c>
      <c r="P1879" s="8">
        <f t="shared" ca="1" si="103"/>
        <v>0</v>
      </c>
      <c r="Q1879" s="8">
        <f ca="1">CEILING(R1878*(IF(N1879&lt;=IF($B$2=0,0,OFFSET(Sheet2!$B$1,Sheet1!$B$2-1,0)),$B$1/(365*100),$B$3/(365*100)))*100,1)/100</f>
        <v>88.82</v>
      </c>
      <c r="R1879" s="9">
        <f t="shared" ca="1" si="104"/>
        <v>217657.20306255849</v>
      </c>
    </row>
    <row r="1880" spans="1:18" x14ac:dyDescent="0.25">
      <c r="A1880">
        <v>16</v>
      </c>
      <c r="B1880">
        <v>9.9</v>
      </c>
      <c r="C1880">
        <v>3</v>
      </c>
      <c r="D1880">
        <v>19.899999999999999</v>
      </c>
      <c r="E1880">
        <v>43</v>
      </c>
      <c r="F1880">
        <v>3.2032605597590275E-2</v>
      </c>
      <c r="G1880" t="str">
        <f t="shared" si="105"/>
        <v>Insert into BlueCreditTypeRainbow Values (16, 9.9, 3, 19.9, 43, 0.0320326055975903)</v>
      </c>
      <c r="N1880" s="4">
        <v>1877</v>
      </c>
      <c r="O1880" s="8">
        <f>$B$7*COUNTIF(Sheet2!$B$1:$B$132,N1880)</f>
        <v>0</v>
      </c>
      <c r="P1880" s="8">
        <f t="shared" ca="1" si="103"/>
        <v>0</v>
      </c>
      <c r="Q1880" s="8">
        <f ca="1">CEILING(R1879*(IF(N1880&lt;=IF($B$2=0,0,OFFSET(Sheet2!$B$1,Sheet1!$B$2-1,0)),$B$1/(365*100),$B$3/(365*100)))*100,1)/100</f>
        <v>88.86</v>
      </c>
      <c r="R1880" s="9">
        <f t="shared" ca="1" si="104"/>
        <v>217746.06306255847</v>
      </c>
    </row>
    <row r="1881" spans="1:18" x14ac:dyDescent="0.25">
      <c r="A1881">
        <v>16</v>
      </c>
      <c r="B1881">
        <v>9.9</v>
      </c>
      <c r="C1881">
        <v>3</v>
      </c>
      <c r="D1881">
        <v>19.899999999999999</v>
      </c>
      <c r="E1881">
        <v>44</v>
      </c>
      <c r="F1881">
        <v>3.1534005703547439E-2</v>
      </c>
      <c r="G1881" t="str">
        <f t="shared" si="105"/>
        <v>Insert into BlueCreditTypeRainbow Values (16, 9.9, 3, 19.9, 44, 0.0315340057035474)</v>
      </c>
      <c r="N1881" s="4">
        <v>1878</v>
      </c>
      <c r="O1881" s="8">
        <f>$B$7*COUNTIF(Sheet2!$B$1:$B$132,N1881)</f>
        <v>0</v>
      </c>
      <c r="P1881" s="8">
        <f t="shared" ca="1" si="103"/>
        <v>0</v>
      </c>
      <c r="Q1881" s="8">
        <f ca="1">CEILING(R1880*(IF(N1881&lt;=IF($B$2=0,0,OFFSET(Sheet2!$B$1,Sheet1!$B$2-1,0)),$B$1/(365*100),$B$3/(365*100)))*100,1)/100</f>
        <v>88.89</v>
      </c>
      <c r="R1881" s="9">
        <f t="shared" ca="1" si="104"/>
        <v>217834.95306255849</v>
      </c>
    </row>
    <row r="1882" spans="1:18" x14ac:dyDescent="0.25">
      <c r="A1882">
        <v>16</v>
      </c>
      <c r="B1882">
        <v>9.9</v>
      </c>
      <c r="C1882">
        <v>3</v>
      </c>
      <c r="D1882">
        <v>19.899999999999999</v>
      </c>
      <c r="E1882">
        <v>45</v>
      </c>
      <c r="F1882">
        <v>3.1058662820066304E-2</v>
      </c>
      <c r="G1882" t="str">
        <f t="shared" si="105"/>
        <v>Insert into BlueCreditTypeRainbow Values (16, 9.9, 3, 19.9, 45, 0.0310586628200663)</v>
      </c>
      <c r="N1882" s="4">
        <v>1879</v>
      </c>
      <c r="O1882" s="8">
        <f>$B$7*COUNTIF(Sheet2!$B$1:$B$132,N1882)</f>
        <v>0</v>
      </c>
      <c r="P1882" s="8">
        <f t="shared" ca="1" si="103"/>
        <v>0</v>
      </c>
      <c r="Q1882" s="8">
        <f ca="1">CEILING(R1881*(IF(N1882&lt;=IF($B$2=0,0,OFFSET(Sheet2!$B$1,Sheet1!$B$2-1,0)),$B$1/(365*100),$B$3/(365*100)))*100,1)/100</f>
        <v>88.93</v>
      </c>
      <c r="R1882" s="9">
        <f t="shared" ca="1" si="104"/>
        <v>217923.88306255848</v>
      </c>
    </row>
    <row r="1883" spans="1:18" x14ac:dyDescent="0.25">
      <c r="A1883">
        <v>16</v>
      </c>
      <c r="B1883">
        <v>9.9</v>
      </c>
      <c r="C1883">
        <v>3</v>
      </c>
      <c r="D1883">
        <v>19.899999999999999</v>
      </c>
      <c r="E1883">
        <v>46</v>
      </c>
      <c r="F1883">
        <v>3.0604805669126E-2</v>
      </c>
      <c r="G1883" t="str">
        <f t="shared" si="105"/>
        <v>Insert into BlueCreditTypeRainbow Values (16, 9.9, 3, 19.9, 46, 0.030604805669126)</v>
      </c>
      <c r="N1883" s="4">
        <v>1880</v>
      </c>
      <c r="O1883" s="8">
        <f>$B$7*COUNTIF(Sheet2!$B$1:$B$132,N1883)</f>
        <v>0</v>
      </c>
      <c r="P1883" s="8">
        <f t="shared" ca="1" si="103"/>
        <v>0</v>
      </c>
      <c r="Q1883" s="8">
        <f ca="1">CEILING(R1882*(IF(N1883&lt;=IF($B$2=0,0,OFFSET(Sheet2!$B$1,Sheet1!$B$2-1,0)),$B$1/(365*100),$B$3/(365*100)))*100,1)/100</f>
        <v>88.97</v>
      </c>
      <c r="R1883" s="9">
        <f t="shared" ca="1" si="104"/>
        <v>218012.85306255848</v>
      </c>
    </row>
    <row r="1884" spans="1:18" x14ac:dyDescent="0.25">
      <c r="A1884">
        <v>16</v>
      </c>
      <c r="B1884">
        <v>9.9</v>
      </c>
      <c r="C1884">
        <v>3</v>
      </c>
      <c r="D1884">
        <v>19.899999999999999</v>
      </c>
      <c r="E1884">
        <v>47</v>
      </c>
      <c r="F1884">
        <v>3.0171304893617034E-2</v>
      </c>
      <c r="G1884" t="str">
        <f t="shared" si="105"/>
        <v>Insert into BlueCreditTypeRainbow Values (16, 9.9, 3, 19.9, 47, 0.030171304893617)</v>
      </c>
      <c r="N1884" s="4">
        <v>1881</v>
      </c>
      <c r="O1884" s="8">
        <f>$B$7*COUNTIF(Sheet2!$B$1:$B$132,N1884)</f>
        <v>0</v>
      </c>
      <c r="P1884" s="8">
        <f t="shared" ca="1" si="103"/>
        <v>0</v>
      </c>
      <c r="Q1884" s="8">
        <f ca="1">CEILING(R1883*(IF(N1884&lt;=IF($B$2=0,0,OFFSET(Sheet2!$B$1,Sheet1!$B$2-1,0)),$B$1/(365*100),$B$3/(365*100)))*100,1)/100</f>
        <v>89</v>
      </c>
      <c r="R1884" s="9">
        <f t="shared" ca="1" si="104"/>
        <v>218101.85306255848</v>
      </c>
    </row>
    <row r="1885" spans="1:18" x14ac:dyDescent="0.25">
      <c r="A1885">
        <v>16</v>
      </c>
      <c r="B1885">
        <v>9.9</v>
      </c>
      <c r="C1885">
        <v>3</v>
      </c>
      <c r="D1885">
        <v>19.899999999999999</v>
      </c>
      <c r="E1885">
        <v>48</v>
      </c>
      <c r="F1885">
        <v>2.9756650334567557E-2</v>
      </c>
      <c r="G1885" t="str">
        <f t="shared" si="105"/>
        <v>Insert into BlueCreditTypeRainbow Values (16, 9.9, 3, 19.9, 48, 0.0297566503345676)</v>
      </c>
      <c r="N1885" s="4">
        <v>1882</v>
      </c>
      <c r="O1885" s="8">
        <f>$B$7*COUNTIF(Sheet2!$B$1:$B$132,N1885)</f>
        <v>0</v>
      </c>
      <c r="P1885" s="8">
        <f t="shared" ca="1" si="103"/>
        <v>0</v>
      </c>
      <c r="Q1885" s="8">
        <f ca="1">CEILING(R1884*(IF(N1885&lt;=IF($B$2=0,0,OFFSET(Sheet2!$B$1,Sheet1!$B$2-1,0)),$B$1/(365*100),$B$3/(365*100)))*100,1)/100</f>
        <v>89.04</v>
      </c>
      <c r="R1885" s="9">
        <f t="shared" ca="1" si="104"/>
        <v>218190.89306255849</v>
      </c>
    </row>
    <row r="1886" spans="1:18" x14ac:dyDescent="0.25">
      <c r="A1886">
        <v>16</v>
      </c>
      <c r="B1886">
        <v>9.9</v>
      </c>
      <c r="C1886">
        <v>2</v>
      </c>
      <c r="D1886">
        <v>19.899999999999999</v>
      </c>
      <c r="E1886">
        <v>36</v>
      </c>
      <c r="F1886">
        <v>3.6609391666666664E-2</v>
      </c>
      <c r="G1886" t="str">
        <f t="shared" si="105"/>
        <v>Insert into BlueCreditTypeRainbow Values (16, 9.9, 2, 19.9, 36, 0.0366093916666667)</v>
      </c>
      <c r="N1886" s="4">
        <v>1883</v>
      </c>
      <c r="O1886" s="8">
        <f>$B$7*COUNTIF(Sheet2!$B$1:$B$132,N1886)</f>
        <v>0</v>
      </c>
      <c r="P1886" s="8">
        <f t="shared" ca="1" si="103"/>
        <v>0</v>
      </c>
      <c r="Q1886" s="8">
        <f ca="1">CEILING(R1885*(IF(N1886&lt;=IF($B$2=0,0,OFFSET(Sheet2!$B$1,Sheet1!$B$2-1,0)),$B$1/(365*100),$B$3/(365*100)))*100,1)/100</f>
        <v>89.07</v>
      </c>
      <c r="R1886" s="9">
        <f t="shared" ca="1" si="104"/>
        <v>218279.9630625585</v>
      </c>
    </row>
    <row r="1887" spans="1:18" x14ac:dyDescent="0.25">
      <c r="A1887">
        <v>16</v>
      </c>
      <c r="B1887">
        <v>9.9</v>
      </c>
      <c r="C1887">
        <v>2</v>
      </c>
      <c r="D1887">
        <v>19.899999999999999</v>
      </c>
      <c r="E1887">
        <v>37</v>
      </c>
      <c r="F1887">
        <v>3.5887014890165464E-2</v>
      </c>
      <c r="G1887" t="str">
        <f t="shared" si="105"/>
        <v>Insert into BlueCreditTypeRainbow Values (16, 9.9, 2, 19.9, 37, 0.0358870148901655)</v>
      </c>
      <c r="N1887" s="4">
        <v>1884</v>
      </c>
      <c r="O1887" s="8">
        <f>$B$7*COUNTIF(Sheet2!$B$1:$B$132,N1887)</f>
        <v>0</v>
      </c>
      <c r="P1887" s="8">
        <f t="shared" ca="1" si="103"/>
        <v>0</v>
      </c>
      <c r="Q1887" s="8">
        <f ca="1">CEILING(R1886*(IF(N1887&lt;=IF($B$2=0,0,OFFSET(Sheet2!$B$1,Sheet1!$B$2-1,0)),$B$1/(365*100),$B$3/(365*100)))*100,1)/100</f>
        <v>89.11</v>
      </c>
      <c r="R1887" s="9">
        <f t="shared" ca="1" si="104"/>
        <v>218369.07306255848</v>
      </c>
    </row>
    <row r="1888" spans="1:18" x14ac:dyDescent="0.25">
      <c r="A1888">
        <v>16</v>
      </c>
      <c r="B1888">
        <v>9.9</v>
      </c>
      <c r="C1888">
        <v>2</v>
      </c>
      <c r="D1888">
        <v>19.899999999999999</v>
      </c>
      <c r="E1888">
        <v>38</v>
      </c>
      <c r="F1888">
        <v>3.5203640007838592E-2</v>
      </c>
      <c r="G1888" t="str">
        <f t="shared" si="105"/>
        <v>Insert into BlueCreditTypeRainbow Values (16, 9.9, 2, 19.9, 38, 0.0352036400078386)</v>
      </c>
      <c r="N1888" s="4">
        <v>1885</v>
      </c>
      <c r="O1888" s="8">
        <f>$B$7*COUNTIF(Sheet2!$B$1:$B$132,N1888)</f>
        <v>0</v>
      </c>
      <c r="P1888" s="8">
        <f t="shared" ca="1" si="103"/>
        <v>0</v>
      </c>
      <c r="Q1888" s="8">
        <f ca="1">CEILING(R1887*(IF(N1888&lt;=IF($B$2=0,0,OFFSET(Sheet2!$B$1,Sheet1!$B$2-1,0)),$B$1/(365*100),$B$3/(365*100)))*100,1)/100</f>
        <v>89.15</v>
      </c>
      <c r="R1888" s="9">
        <f t="shared" ca="1" si="104"/>
        <v>218458.22306255848</v>
      </c>
    </row>
    <row r="1889" spans="1:18" x14ac:dyDescent="0.25">
      <c r="A1889">
        <v>16</v>
      </c>
      <c r="B1889">
        <v>9.9</v>
      </c>
      <c r="C1889">
        <v>2</v>
      </c>
      <c r="D1889">
        <v>19.899999999999999</v>
      </c>
      <c r="E1889">
        <v>39</v>
      </c>
      <c r="F1889">
        <v>3.4556618519625111E-2</v>
      </c>
      <c r="G1889" t="str">
        <f t="shared" si="105"/>
        <v>Insert into BlueCreditTypeRainbow Values (16, 9.9, 2, 19.9, 39, 0.0345566185196251)</v>
      </c>
      <c r="N1889" s="4">
        <v>1886</v>
      </c>
      <c r="O1889" s="8">
        <f>$B$7*COUNTIF(Sheet2!$B$1:$B$132,N1889)</f>
        <v>0</v>
      </c>
      <c r="P1889" s="8">
        <f t="shared" ca="1" si="103"/>
        <v>0</v>
      </c>
      <c r="Q1889" s="8">
        <f ca="1">CEILING(R1888*(IF(N1889&lt;=IF($B$2=0,0,OFFSET(Sheet2!$B$1,Sheet1!$B$2-1,0)),$B$1/(365*100),$B$3/(365*100)))*100,1)/100</f>
        <v>89.18</v>
      </c>
      <c r="R1889" s="9">
        <f t="shared" ca="1" si="104"/>
        <v>218547.40306255847</v>
      </c>
    </row>
    <row r="1890" spans="1:18" x14ac:dyDescent="0.25">
      <c r="A1890">
        <v>16</v>
      </c>
      <c r="B1890">
        <v>9.9</v>
      </c>
      <c r="C1890">
        <v>2</v>
      </c>
      <c r="D1890">
        <v>19.899999999999999</v>
      </c>
      <c r="E1890">
        <v>40</v>
      </c>
      <c r="F1890">
        <v>3.394322006946493E-2</v>
      </c>
      <c r="G1890" t="str">
        <f t="shared" si="105"/>
        <v>Insert into BlueCreditTypeRainbow Values (16, 9.9, 2, 19.9, 40, 0.0339432200694649)</v>
      </c>
      <c r="N1890" s="4">
        <v>1887</v>
      </c>
      <c r="O1890" s="8">
        <f>$B$7*COUNTIF(Sheet2!$B$1:$B$132,N1890)</f>
        <v>0</v>
      </c>
      <c r="P1890" s="8">
        <f t="shared" ca="1" si="103"/>
        <v>0</v>
      </c>
      <c r="Q1890" s="8">
        <f ca="1">CEILING(R1889*(IF(N1890&lt;=IF($B$2=0,0,OFFSET(Sheet2!$B$1,Sheet1!$B$2-1,0)),$B$1/(365*100),$B$3/(365*100)))*100,1)/100</f>
        <v>89.22</v>
      </c>
      <c r="R1890" s="9">
        <f t="shared" ca="1" si="104"/>
        <v>218636.62306255847</v>
      </c>
    </row>
    <row r="1891" spans="1:18" x14ac:dyDescent="0.25">
      <c r="A1891">
        <v>16</v>
      </c>
      <c r="B1891">
        <v>9.9</v>
      </c>
      <c r="C1891">
        <v>2</v>
      </c>
      <c r="D1891">
        <v>19.899999999999999</v>
      </c>
      <c r="E1891">
        <v>41</v>
      </c>
      <c r="F1891">
        <v>3.3360659780485649E-2</v>
      </c>
      <c r="G1891" t="str">
        <f t="shared" si="105"/>
        <v>Insert into BlueCreditTypeRainbow Values (16, 9.9, 2, 19.9, 41, 0.0333606597804856)</v>
      </c>
      <c r="N1891" s="4">
        <v>1888</v>
      </c>
      <c r="O1891" s="8">
        <f>$B$7*COUNTIF(Sheet2!$B$1:$B$132,N1891)</f>
        <v>0</v>
      </c>
      <c r="P1891" s="8">
        <f t="shared" ca="1" si="103"/>
        <v>0</v>
      </c>
      <c r="Q1891" s="8">
        <f ca="1">CEILING(R1890*(IF(N1891&lt;=IF($B$2=0,0,OFFSET(Sheet2!$B$1,Sheet1!$B$2-1,0)),$B$1/(365*100),$B$3/(365*100)))*100,1)/100</f>
        <v>89.26</v>
      </c>
      <c r="R1891" s="9">
        <f t="shared" ca="1" si="104"/>
        <v>218725.88306255848</v>
      </c>
    </row>
    <row r="1892" spans="1:18" x14ac:dyDescent="0.25">
      <c r="A1892">
        <v>16</v>
      </c>
      <c r="B1892">
        <v>9.9</v>
      </c>
      <c r="C1892">
        <v>2</v>
      </c>
      <c r="D1892">
        <v>19.899999999999999</v>
      </c>
      <c r="E1892">
        <v>42</v>
      </c>
      <c r="F1892">
        <v>3.2807024047619045E-2</v>
      </c>
      <c r="G1892" t="str">
        <f t="shared" si="105"/>
        <v>Insert into BlueCreditTypeRainbow Values (16, 9.9, 2, 19.9, 42, 0.032807024047619)</v>
      </c>
      <c r="N1892" s="4">
        <v>1889</v>
      </c>
      <c r="O1892" s="8">
        <f>$B$7*COUNTIF(Sheet2!$B$1:$B$132,N1892)</f>
        <v>0</v>
      </c>
      <c r="P1892" s="8">
        <f t="shared" ca="1" si="103"/>
        <v>0</v>
      </c>
      <c r="Q1892" s="8">
        <f ca="1">CEILING(R1891*(IF(N1892&lt;=IF($B$2=0,0,OFFSET(Sheet2!$B$1,Sheet1!$B$2-1,0)),$B$1/(365*100),$B$3/(365*100)))*100,1)/100</f>
        <v>89.29</v>
      </c>
      <c r="R1892" s="9">
        <f t="shared" ca="1" si="104"/>
        <v>218815.17306255849</v>
      </c>
    </row>
    <row r="1893" spans="1:18" x14ac:dyDescent="0.25">
      <c r="A1893">
        <v>16</v>
      </c>
      <c r="B1893">
        <v>9.9</v>
      </c>
      <c r="C1893">
        <v>2</v>
      </c>
      <c r="D1893">
        <v>19.899999999999999</v>
      </c>
      <c r="E1893">
        <v>43</v>
      </c>
      <c r="F1893">
        <v>3.2280018604651232E-2</v>
      </c>
      <c r="G1893" t="str">
        <f t="shared" si="105"/>
        <v>Insert into BlueCreditTypeRainbow Values (16, 9.9, 2, 19.9, 43, 0.0322800186046512)</v>
      </c>
      <c r="N1893" s="4">
        <v>1890</v>
      </c>
      <c r="O1893" s="8">
        <f>$B$7*COUNTIF(Sheet2!$B$1:$B$132,N1893)</f>
        <v>21157.10552356458</v>
      </c>
      <c r="P1893" s="8">
        <f t="shared" ca="1" si="103"/>
        <v>21067.775523564578</v>
      </c>
      <c r="Q1893" s="8">
        <f ca="1">CEILING(R1892*(IF(N1893&lt;=IF($B$2=0,0,OFFSET(Sheet2!$B$1,Sheet1!$B$2-1,0)),$B$1/(365*100),$B$3/(365*100)))*100,1)/100</f>
        <v>89.33</v>
      </c>
      <c r="R1893" s="9">
        <f t="shared" ca="1" si="104"/>
        <v>197747.39753899389</v>
      </c>
    </row>
    <row r="1894" spans="1:18" x14ac:dyDescent="0.25">
      <c r="A1894">
        <v>16</v>
      </c>
      <c r="B1894">
        <v>9.9</v>
      </c>
      <c r="C1894">
        <v>2</v>
      </c>
      <c r="D1894">
        <v>19.899999999999999</v>
      </c>
      <c r="E1894">
        <v>44</v>
      </c>
      <c r="F1894">
        <v>3.177781547575681E-2</v>
      </c>
      <c r="G1894" t="str">
        <f t="shared" si="105"/>
        <v>Insert into BlueCreditTypeRainbow Values (16, 9.9, 2, 19.9, 44, 0.0317778154757568)</v>
      </c>
      <c r="N1894" s="4">
        <v>1891</v>
      </c>
      <c r="O1894" s="8">
        <f>$B$7*COUNTIF(Sheet2!$B$1:$B$132,N1894)</f>
        <v>0</v>
      </c>
      <c r="P1894" s="8">
        <f t="shared" ca="1" si="103"/>
        <v>0</v>
      </c>
      <c r="Q1894" s="8">
        <f ca="1">CEILING(R1893*(IF(N1894&lt;=IF($B$2=0,0,OFFSET(Sheet2!$B$1,Sheet1!$B$2-1,0)),$B$1/(365*100),$B$3/(365*100)))*100,1)/100</f>
        <v>80.73</v>
      </c>
      <c r="R1894" s="9">
        <f t="shared" ca="1" si="104"/>
        <v>197828.1275389939</v>
      </c>
    </row>
    <row r="1895" spans="1:18" x14ac:dyDescent="0.25">
      <c r="A1895">
        <v>16</v>
      </c>
      <c r="B1895">
        <v>9.9</v>
      </c>
      <c r="C1895">
        <v>2</v>
      </c>
      <c r="D1895">
        <v>19.899999999999999</v>
      </c>
      <c r="E1895">
        <v>45</v>
      </c>
      <c r="F1895">
        <v>3.1299044019954717E-2</v>
      </c>
      <c r="G1895" t="str">
        <f t="shared" si="105"/>
        <v>Insert into BlueCreditTypeRainbow Values (16, 9.9, 2, 19.9, 45, 0.0312990440199547)</v>
      </c>
      <c r="N1895" s="4">
        <v>1892</v>
      </c>
      <c r="O1895" s="8">
        <f>$B$7*COUNTIF(Sheet2!$B$1:$B$132,N1895)</f>
        <v>0</v>
      </c>
      <c r="P1895" s="8">
        <f t="shared" ca="1" si="103"/>
        <v>0</v>
      </c>
      <c r="Q1895" s="8">
        <f ca="1">CEILING(R1894*(IF(N1895&lt;=IF($B$2=0,0,OFFSET(Sheet2!$B$1,Sheet1!$B$2-1,0)),$B$1/(365*100),$B$3/(365*100)))*100,1)/100</f>
        <v>80.760000000000005</v>
      </c>
      <c r="R1895" s="9">
        <f t="shared" ca="1" si="104"/>
        <v>197908.88753899391</v>
      </c>
    </row>
    <row r="1896" spans="1:18" x14ac:dyDescent="0.25">
      <c r="A1896">
        <v>16</v>
      </c>
      <c r="B1896">
        <v>9.9</v>
      </c>
      <c r="C1896">
        <v>2</v>
      </c>
      <c r="D1896">
        <v>19.899999999999999</v>
      </c>
      <c r="E1896">
        <v>46</v>
      </c>
      <c r="F1896">
        <v>3.0841905454971258E-2</v>
      </c>
      <c r="G1896" t="str">
        <f t="shared" si="105"/>
        <v>Insert into BlueCreditTypeRainbow Values (16, 9.9, 2, 19.9, 46, 0.0308419054549713)</v>
      </c>
      <c r="N1896" s="4">
        <v>1893</v>
      </c>
      <c r="O1896" s="8">
        <f>$B$7*COUNTIF(Sheet2!$B$1:$B$132,N1896)</f>
        <v>0</v>
      </c>
      <c r="P1896" s="8">
        <f t="shared" ca="1" si="103"/>
        <v>0</v>
      </c>
      <c r="Q1896" s="8">
        <f ca="1">CEILING(R1895*(IF(N1896&lt;=IF($B$2=0,0,OFFSET(Sheet2!$B$1,Sheet1!$B$2-1,0)),$B$1/(365*100),$B$3/(365*100)))*100,1)/100</f>
        <v>80.8</v>
      </c>
      <c r="R1896" s="9">
        <f t="shared" ca="1" si="104"/>
        <v>197989.68753899389</v>
      </c>
    </row>
    <row r="1897" spans="1:18" x14ac:dyDescent="0.25">
      <c r="A1897">
        <v>16</v>
      </c>
      <c r="B1897">
        <v>9.9</v>
      </c>
      <c r="C1897">
        <v>2</v>
      </c>
      <c r="D1897">
        <v>19.899999999999999</v>
      </c>
      <c r="E1897">
        <v>47</v>
      </c>
      <c r="F1897">
        <v>3.0405261508892938E-2</v>
      </c>
      <c r="G1897" t="str">
        <f t="shared" si="105"/>
        <v>Insert into BlueCreditTypeRainbow Values (16, 9.9, 2, 19.9, 47, 0.0304052615088929)</v>
      </c>
      <c r="N1897" s="4">
        <v>1894</v>
      </c>
      <c r="O1897" s="8">
        <f>$B$7*COUNTIF(Sheet2!$B$1:$B$132,N1897)</f>
        <v>0</v>
      </c>
      <c r="P1897" s="8">
        <f t="shared" ca="1" si="103"/>
        <v>0</v>
      </c>
      <c r="Q1897" s="8">
        <f ca="1">CEILING(R1896*(IF(N1897&lt;=IF($B$2=0,0,OFFSET(Sheet2!$B$1,Sheet1!$B$2-1,0)),$B$1/(365*100),$B$3/(365*100)))*100,1)/100</f>
        <v>80.83</v>
      </c>
      <c r="R1897" s="9">
        <f t="shared" ca="1" si="104"/>
        <v>198070.51753899388</v>
      </c>
    </row>
    <row r="1898" spans="1:18" x14ac:dyDescent="0.25">
      <c r="A1898">
        <v>16</v>
      </c>
      <c r="B1898">
        <v>9.9</v>
      </c>
      <c r="C1898">
        <v>2</v>
      </c>
      <c r="D1898">
        <v>19.899999999999999</v>
      </c>
      <c r="E1898">
        <v>48</v>
      </c>
      <c r="F1898">
        <v>2.998759708333339E-2</v>
      </c>
      <c r="G1898" t="str">
        <f t="shared" si="105"/>
        <v>Insert into BlueCreditTypeRainbow Values (16, 9.9, 2, 19.9, 48, 0.0299875970833334)</v>
      </c>
      <c r="N1898" s="4">
        <v>1895</v>
      </c>
      <c r="O1898" s="8">
        <f>$B$7*COUNTIF(Sheet2!$B$1:$B$132,N1898)</f>
        <v>0</v>
      </c>
      <c r="P1898" s="8">
        <f t="shared" ca="1" si="103"/>
        <v>0</v>
      </c>
      <c r="Q1898" s="8">
        <f ca="1">CEILING(R1897*(IF(N1898&lt;=IF($B$2=0,0,OFFSET(Sheet2!$B$1,Sheet1!$B$2-1,0)),$B$1/(365*100),$B$3/(365*100)))*100,1)/100</f>
        <v>80.86</v>
      </c>
      <c r="R1898" s="9">
        <f t="shared" ca="1" si="104"/>
        <v>198151.37753899387</v>
      </c>
    </row>
    <row r="1899" spans="1:18" x14ac:dyDescent="0.25">
      <c r="A1899">
        <v>16</v>
      </c>
      <c r="B1899">
        <v>9.9</v>
      </c>
      <c r="C1899">
        <v>1</v>
      </c>
      <c r="D1899">
        <v>19.899999999999999</v>
      </c>
      <c r="E1899">
        <v>36</v>
      </c>
      <c r="F1899">
        <v>3.6900358899994219E-2</v>
      </c>
      <c r="G1899" t="str">
        <f t="shared" si="105"/>
        <v>Insert into BlueCreditTypeRainbow Values (16, 9.9, 1, 19.9, 36, 0.0369003588999942)</v>
      </c>
      <c r="N1899" s="4">
        <v>1896</v>
      </c>
      <c r="O1899" s="8">
        <f>$B$7*COUNTIF(Sheet2!$B$1:$B$132,N1899)</f>
        <v>0</v>
      </c>
      <c r="P1899" s="8">
        <f t="shared" ca="1" si="103"/>
        <v>0</v>
      </c>
      <c r="Q1899" s="8">
        <f ca="1">CEILING(R1898*(IF(N1899&lt;=IF($B$2=0,0,OFFSET(Sheet2!$B$1,Sheet1!$B$2-1,0)),$B$1/(365*100),$B$3/(365*100)))*100,1)/100</f>
        <v>80.89</v>
      </c>
      <c r="R1899" s="9">
        <f t="shared" ca="1" si="104"/>
        <v>198232.26753899388</v>
      </c>
    </row>
    <row r="1900" spans="1:18" x14ac:dyDescent="0.25">
      <c r="A1900">
        <v>16</v>
      </c>
      <c r="B1900">
        <v>9.9</v>
      </c>
      <c r="C1900">
        <v>1</v>
      </c>
      <c r="D1900">
        <v>19.899999999999999</v>
      </c>
      <c r="E1900">
        <v>37</v>
      </c>
      <c r="F1900">
        <v>3.6172452919771135E-2</v>
      </c>
      <c r="G1900" t="str">
        <f t="shared" si="105"/>
        <v>Insert into BlueCreditTypeRainbow Values (16, 9.9, 1, 19.9, 37, 0.0361724529197711)</v>
      </c>
      <c r="N1900" s="4">
        <v>1897</v>
      </c>
      <c r="O1900" s="8">
        <f>$B$7*COUNTIF(Sheet2!$B$1:$B$132,N1900)</f>
        <v>0</v>
      </c>
      <c r="P1900" s="8">
        <f t="shared" ca="1" si="103"/>
        <v>0</v>
      </c>
      <c r="Q1900" s="8">
        <f ca="1">CEILING(R1899*(IF(N1900&lt;=IF($B$2=0,0,OFFSET(Sheet2!$B$1,Sheet1!$B$2-1,0)),$B$1/(365*100),$B$3/(365*100)))*100,1)/100</f>
        <v>80.930000000000007</v>
      </c>
      <c r="R1900" s="9">
        <f t="shared" ca="1" si="104"/>
        <v>198313.19753899387</v>
      </c>
    </row>
    <row r="1901" spans="1:18" x14ac:dyDescent="0.25">
      <c r="A1901">
        <v>16</v>
      </c>
      <c r="B1901">
        <v>9.9</v>
      </c>
      <c r="C1901">
        <v>1</v>
      </c>
      <c r="D1901">
        <v>19.899999999999999</v>
      </c>
      <c r="E1901">
        <v>38</v>
      </c>
      <c r="F1901">
        <v>3.5483835263157924E-2</v>
      </c>
      <c r="G1901" t="str">
        <f t="shared" si="105"/>
        <v>Insert into BlueCreditTypeRainbow Values (16, 9.9, 1, 19.9, 38, 0.0354838352631579)</v>
      </c>
      <c r="N1901" s="4">
        <v>1898</v>
      </c>
      <c r="O1901" s="8">
        <f>$B$7*COUNTIF(Sheet2!$B$1:$B$132,N1901)</f>
        <v>0</v>
      </c>
      <c r="P1901" s="8">
        <f t="shared" ca="1" si="103"/>
        <v>0</v>
      </c>
      <c r="Q1901" s="8">
        <f ca="1">CEILING(R1900*(IF(N1901&lt;=IF($B$2=0,0,OFFSET(Sheet2!$B$1,Sheet1!$B$2-1,0)),$B$1/(365*100),$B$3/(365*100)))*100,1)/100</f>
        <v>80.959999999999994</v>
      </c>
      <c r="R1901" s="9">
        <f t="shared" ca="1" si="104"/>
        <v>198394.15753899387</v>
      </c>
    </row>
    <row r="1902" spans="1:18" x14ac:dyDescent="0.25">
      <c r="A1902">
        <v>16</v>
      </c>
      <c r="B1902">
        <v>9.9</v>
      </c>
      <c r="C1902">
        <v>1</v>
      </c>
      <c r="D1902">
        <v>19.899999999999999</v>
      </c>
      <c r="E1902">
        <v>39</v>
      </c>
      <c r="F1902">
        <v>3.4831852564102581E-2</v>
      </c>
      <c r="G1902" t="str">
        <f t="shared" si="105"/>
        <v>Insert into BlueCreditTypeRainbow Values (16, 9.9, 1, 19.9, 39, 0.0348318525641026)</v>
      </c>
      <c r="N1902" s="4">
        <v>1899</v>
      </c>
      <c r="O1902" s="8">
        <f>$B$7*COUNTIF(Sheet2!$B$1:$B$132,N1902)</f>
        <v>0</v>
      </c>
      <c r="P1902" s="8">
        <f t="shared" ca="1" si="103"/>
        <v>0</v>
      </c>
      <c r="Q1902" s="8">
        <f ca="1">CEILING(R1901*(IF(N1902&lt;=IF($B$2=0,0,OFFSET(Sheet2!$B$1,Sheet1!$B$2-1,0)),$B$1/(365*100),$B$3/(365*100)))*100,1)/100</f>
        <v>80.989999999999995</v>
      </c>
      <c r="R1902" s="9">
        <f t="shared" ca="1" si="104"/>
        <v>198475.14753899386</v>
      </c>
    </row>
    <row r="1903" spans="1:18" x14ac:dyDescent="0.25">
      <c r="A1903">
        <v>16</v>
      </c>
      <c r="B1903">
        <v>9.9</v>
      </c>
      <c r="C1903">
        <v>1</v>
      </c>
      <c r="D1903">
        <v>19.899999999999999</v>
      </c>
      <c r="E1903">
        <v>40</v>
      </c>
      <c r="F1903">
        <v>3.4213740061976521E-2</v>
      </c>
      <c r="G1903" t="str">
        <f t="shared" si="105"/>
        <v>Insert into BlueCreditTypeRainbow Values (16, 9.9, 1, 19.9, 40, 0.0342137400619765)</v>
      </c>
      <c r="N1903" s="4">
        <v>1900</v>
      </c>
      <c r="O1903" s="8">
        <f>$B$7*COUNTIF(Sheet2!$B$1:$B$132,N1903)</f>
        <v>0</v>
      </c>
      <c r="P1903" s="8">
        <f t="shared" ca="1" si="103"/>
        <v>0</v>
      </c>
      <c r="Q1903" s="8">
        <f ca="1">CEILING(R1902*(IF(N1903&lt;=IF($B$2=0,0,OFFSET(Sheet2!$B$1,Sheet1!$B$2-1,0)),$B$1/(365*100),$B$3/(365*100)))*100,1)/100</f>
        <v>81.03</v>
      </c>
      <c r="R1903" s="9">
        <f t="shared" ca="1" si="104"/>
        <v>198556.17753899386</v>
      </c>
    </row>
    <row r="1904" spans="1:18" x14ac:dyDescent="0.25">
      <c r="A1904">
        <v>16</v>
      </c>
      <c r="B1904">
        <v>9.9</v>
      </c>
      <c r="C1904">
        <v>1</v>
      </c>
      <c r="D1904">
        <v>19.899999999999999</v>
      </c>
      <c r="E1904">
        <v>41</v>
      </c>
      <c r="F1904">
        <v>3.3626691555325647E-2</v>
      </c>
      <c r="G1904" t="str">
        <f t="shared" si="105"/>
        <v>Insert into BlueCreditTypeRainbow Values (16, 9.9, 1, 19.9, 41, 0.0336266915553256)</v>
      </c>
      <c r="N1904" s="4">
        <v>1901</v>
      </c>
      <c r="O1904" s="8">
        <f>$B$7*COUNTIF(Sheet2!$B$1:$B$132,N1904)</f>
        <v>0</v>
      </c>
      <c r="P1904" s="8">
        <f t="shared" ca="1" si="103"/>
        <v>0</v>
      </c>
      <c r="Q1904" s="8">
        <f ca="1">CEILING(R1903*(IF(N1904&lt;=IF($B$2=0,0,OFFSET(Sheet2!$B$1,Sheet1!$B$2-1,0)),$B$1/(365*100),$B$3/(365*100)))*100,1)/100</f>
        <v>81.06</v>
      </c>
      <c r="R1904" s="9">
        <f t="shared" ca="1" si="104"/>
        <v>198637.23753899385</v>
      </c>
    </row>
    <row r="1905" spans="1:18" x14ac:dyDescent="0.25">
      <c r="A1905">
        <v>16</v>
      </c>
      <c r="B1905">
        <v>9.9</v>
      </c>
      <c r="C1905">
        <v>1</v>
      </c>
      <c r="D1905">
        <v>19.899999999999999</v>
      </c>
      <c r="E1905">
        <v>42</v>
      </c>
      <c r="F1905">
        <v>3.3068794761904746E-2</v>
      </c>
      <c r="G1905" t="str">
        <f t="shared" si="105"/>
        <v>Insert into BlueCreditTypeRainbow Values (16, 9.9, 1, 19.9, 42, 0.0330687947619047)</v>
      </c>
      <c r="N1905" s="4">
        <v>1902</v>
      </c>
      <c r="O1905" s="8">
        <f>$B$7*COUNTIF(Sheet2!$B$1:$B$132,N1905)</f>
        <v>0</v>
      </c>
      <c r="P1905" s="8">
        <f t="shared" ca="1" si="103"/>
        <v>0</v>
      </c>
      <c r="Q1905" s="8">
        <f ca="1">CEILING(R1904*(IF(N1905&lt;=IF($B$2=0,0,OFFSET(Sheet2!$B$1,Sheet1!$B$2-1,0)),$B$1/(365*100),$B$3/(365*100)))*100,1)/100</f>
        <v>81.09</v>
      </c>
      <c r="R1905" s="9">
        <f t="shared" ca="1" si="104"/>
        <v>198718.32753899385</v>
      </c>
    </row>
    <row r="1906" spans="1:18" x14ac:dyDescent="0.25">
      <c r="A1906">
        <v>16</v>
      </c>
      <c r="B1906">
        <v>9.9</v>
      </c>
      <c r="C1906">
        <v>1</v>
      </c>
      <c r="D1906">
        <v>19.899999999999999</v>
      </c>
      <c r="E1906">
        <v>43</v>
      </c>
      <c r="F1906">
        <v>3.2537723023255812E-2</v>
      </c>
      <c r="G1906" t="str">
        <f t="shared" si="105"/>
        <v>Insert into BlueCreditTypeRainbow Values (16, 9.9, 1, 19.9, 43, 0.0325377230232558)</v>
      </c>
      <c r="N1906" s="4">
        <v>1903</v>
      </c>
      <c r="O1906" s="8">
        <f>$B$7*COUNTIF(Sheet2!$B$1:$B$132,N1906)</f>
        <v>0</v>
      </c>
      <c r="P1906" s="8">
        <f t="shared" ca="1" si="103"/>
        <v>0</v>
      </c>
      <c r="Q1906" s="8">
        <f ca="1">CEILING(R1905*(IF(N1906&lt;=IF($B$2=0,0,OFFSET(Sheet2!$B$1,Sheet1!$B$2-1,0)),$B$1/(365*100),$B$3/(365*100)))*100,1)/100</f>
        <v>81.13</v>
      </c>
      <c r="R1906" s="9">
        <f t="shared" ca="1" si="104"/>
        <v>198799.45753899385</v>
      </c>
    </row>
    <row r="1907" spans="1:18" x14ac:dyDescent="0.25">
      <c r="A1907">
        <v>16</v>
      </c>
      <c r="B1907">
        <v>9.9</v>
      </c>
      <c r="C1907">
        <v>1</v>
      </c>
      <c r="D1907">
        <v>19.899999999999999</v>
      </c>
      <c r="E1907">
        <v>44</v>
      </c>
      <c r="F1907">
        <v>3.2031649558284803E-2</v>
      </c>
      <c r="G1907" t="str">
        <f t="shared" si="105"/>
        <v>Insert into BlueCreditTypeRainbow Values (16, 9.9, 1, 19.9, 44, 0.0320316495582848)</v>
      </c>
      <c r="N1907" s="4">
        <v>1904</v>
      </c>
      <c r="O1907" s="8">
        <f>$B$7*COUNTIF(Sheet2!$B$1:$B$132,N1907)</f>
        <v>0</v>
      </c>
      <c r="P1907" s="8">
        <f t="shared" ca="1" si="103"/>
        <v>0</v>
      </c>
      <c r="Q1907" s="8">
        <f ca="1">CEILING(R1906*(IF(N1907&lt;=IF($B$2=0,0,OFFSET(Sheet2!$B$1,Sheet1!$B$2-1,0)),$B$1/(365*100),$B$3/(365*100)))*100,1)/100</f>
        <v>81.16</v>
      </c>
      <c r="R1907" s="9">
        <f t="shared" ca="1" si="104"/>
        <v>198880.61753899386</v>
      </c>
    </row>
    <row r="1908" spans="1:18" x14ac:dyDescent="0.25">
      <c r="A1908">
        <v>16</v>
      </c>
      <c r="B1908">
        <v>9.9</v>
      </c>
      <c r="C1908">
        <v>1</v>
      </c>
      <c r="D1908">
        <v>19.899999999999999</v>
      </c>
      <c r="E1908">
        <v>45</v>
      </c>
      <c r="F1908">
        <v>3.1549168469677487E-2</v>
      </c>
      <c r="G1908" t="str">
        <f t="shared" si="105"/>
        <v>Insert into BlueCreditTypeRainbow Values (16, 9.9, 1, 19.9, 45, 0.0315491684696775)</v>
      </c>
      <c r="N1908" s="4">
        <v>1905</v>
      </c>
      <c r="O1908" s="8">
        <f>$B$7*COUNTIF(Sheet2!$B$1:$B$132,N1908)</f>
        <v>0</v>
      </c>
      <c r="P1908" s="8">
        <f t="shared" ca="1" si="103"/>
        <v>0</v>
      </c>
      <c r="Q1908" s="8">
        <f ca="1">CEILING(R1907*(IF(N1908&lt;=IF($B$2=0,0,OFFSET(Sheet2!$B$1,Sheet1!$B$2-1,0)),$B$1/(365*100),$B$3/(365*100)))*100,1)/100</f>
        <v>81.19</v>
      </c>
      <c r="R1908" s="9">
        <f t="shared" ca="1" si="104"/>
        <v>198961.80753899386</v>
      </c>
    </row>
    <row r="1909" spans="1:18" x14ac:dyDescent="0.25">
      <c r="A1909">
        <v>16</v>
      </c>
      <c r="B1909">
        <v>9.9</v>
      </c>
      <c r="C1909">
        <v>1</v>
      </c>
      <c r="D1909">
        <v>19.899999999999999</v>
      </c>
      <c r="E1909">
        <v>46</v>
      </c>
      <c r="F1909">
        <v>3.1088493260869581E-2</v>
      </c>
      <c r="G1909" t="str">
        <f t="shared" si="105"/>
        <v>Insert into BlueCreditTypeRainbow Values (16, 9.9, 1, 19.9, 46, 0.0310884932608696)</v>
      </c>
      <c r="N1909" s="4">
        <v>1906</v>
      </c>
      <c r="O1909" s="8">
        <f>$B$7*COUNTIF(Sheet2!$B$1:$B$132,N1909)</f>
        <v>0</v>
      </c>
      <c r="P1909" s="8">
        <f t="shared" ca="1" si="103"/>
        <v>0</v>
      </c>
      <c r="Q1909" s="8">
        <f ca="1">CEILING(R1908*(IF(N1909&lt;=IF($B$2=0,0,OFFSET(Sheet2!$B$1,Sheet1!$B$2-1,0)),$B$1/(365*100),$B$3/(365*100)))*100,1)/100</f>
        <v>81.23</v>
      </c>
      <c r="R1909" s="9">
        <f t="shared" ca="1" si="104"/>
        <v>199043.03753899387</v>
      </c>
    </row>
    <row r="1910" spans="1:18" x14ac:dyDescent="0.25">
      <c r="A1910">
        <v>16</v>
      </c>
      <c r="B1910">
        <v>9.9</v>
      </c>
      <c r="C1910">
        <v>1</v>
      </c>
      <c r="D1910">
        <v>19.899999999999999</v>
      </c>
      <c r="E1910">
        <v>47</v>
      </c>
      <c r="F1910">
        <v>3.064847108291574E-2</v>
      </c>
      <c r="G1910" t="str">
        <f t="shared" si="105"/>
        <v>Insert into BlueCreditTypeRainbow Values (16, 9.9, 1, 19.9, 47, 0.0306484710829157)</v>
      </c>
      <c r="N1910" s="4">
        <v>1907</v>
      </c>
      <c r="O1910" s="8">
        <f>$B$7*COUNTIF(Sheet2!$B$1:$B$132,N1910)</f>
        <v>0</v>
      </c>
      <c r="P1910" s="8">
        <f t="shared" ca="1" si="103"/>
        <v>0</v>
      </c>
      <c r="Q1910" s="8">
        <f ca="1">CEILING(R1909*(IF(N1910&lt;=IF($B$2=0,0,OFFSET(Sheet2!$B$1,Sheet1!$B$2-1,0)),$B$1/(365*100),$B$3/(365*100)))*100,1)/100</f>
        <v>81.260000000000005</v>
      </c>
      <c r="R1910" s="9">
        <f t="shared" ca="1" si="104"/>
        <v>199124.29753899388</v>
      </c>
    </row>
    <row r="1911" spans="1:18" x14ac:dyDescent="0.25">
      <c r="A1911">
        <v>16</v>
      </c>
      <c r="B1911">
        <v>9.9</v>
      </c>
      <c r="C1911">
        <v>1</v>
      </c>
      <c r="D1911">
        <v>19.899999999999999</v>
      </c>
      <c r="E1911">
        <v>48</v>
      </c>
      <c r="F1911">
        <v>3.0227568978612059E-2</v>
      </c>
      <c r="G1911" t="str">
        <f t="shared" si="105"/>
        <v>Insert into BlueCreditTypeRainbow Values (16, 9.9, 1, 19.9, 48, 0.0302275689786121)</v>
      </c>
      <c r="N1911" s="4">
        <v>1908</v>
      </c>
      <c r="O1911" s="8">
        <f>$B$7*COUNTIF(Sheet2!$B$1:$B$132,N1911)</f>
        <v>0</v>
      </c>
      <c r="P1911" s="8">
        <f t="shared" ca="1" si="103"/>
        <v>0</v>
      </c>
      <c r="Q1911" s="8">
        <f ca="1">CEILING(R1910*(IF(N1911&lt;=IF($B$2=0,0,OFFSET(Sheet2!$B$1,Sheet1!$B$2-1,0)),$B$1/(365*100),$B$3/(365*100)))*100,1)/100</f>
        <v>81.290000000000006</v>
      </c>
      <c r="R1911" s="9">
        <f t="shared" ca="1" si="104"/>
        <v>199205.58753899389</v>
      </c>
    </row>
    <row r="1912" spans="1:18" x14ac:dyDescent="0.25">
      <c r="A1912">
        <v>16</v>
      </c>
      <c r="B1912">
        <v>9.9</v>
      </c>
      <c r="C1912">
        <v>0</v>
      </c>
      <c r="D1912">
        <v>19.899999999999999</v>
      </c>
      <c r="E1912">
        <v>36</v>
      </c>
      <c r="F1912">
        <v>3.7214967107761003E-2</v>
      </c>
      <c r="G1912" t="str">
        <f t="shared" si="105"/>
        <v>Insert into BlueCreditTypeRainbow Values (16, 9.9, 0, 19.9, 36, 0.037214967107761)</v>
      </c>
      <c r="N1912" s="4">
        <v>1909</v>
      </c>
      <c r="O1912" s="8">
        <f>$B$7*COUNTIF(Sheet2!$B$1:$B$132,N1912)</f>
        <v>0</v>
      </c>
      <c r="P1912" s="8">
        <f t="shared" ca="1" si="103"/>
        <v>0</v>
      </c>
      <c r="Q1912" s="8">
        <f ca="1">CEILING(R1911*(IF(N1912&lt;=IF($B$2=0,0,OFFSET(Sheet2!$B$1,Sheet1!$B$2-1,0)),$B$1/(365*100),$B$3/(365*100)))*100,1)/100</f>
        <v>81.319999999999993</v>
      </c>
      <c r="R1912" s="9">
        <f t="shared" ca="1" si="104"/>
        <v>199286.9075389939</v>
      </c>
    </row>
    <row r="1913" spans="1:18" x14ac:dyDescent="0.25">
      <c r="A1913">
        <v>16</v>
      </c>
      <c r="B1913">
        <v>9.9</v>
      </c>
      <c r="C1913">
        <v>0</v>
      </c>
      <c r="D1913">
        <v>19.899999999999999</v>
      </c>
      <c r="E1913">
        <v>37</v>
      </c>
      <c r="F1913">
        <v>3.648085074277635E-2</v>
      </c>
      <c r="G1913" t="str">
        <f t="shared" si="105"/>
        <v>Insert into BlueCreditTypeRainbow Values (16, 9.9, 0, 19.9, 37, 0.0364808507427763)</v>
      </c>
      <c r="N1913" s="4">
        <v>1910</v>
      </c>
      <c r="O1913" s="8">
        <f>$B$7*COUNTIF(Sheet2!$B$1:$B$132,N1913)</f>
        <v>0</v>
      </c>
      <c r="P1913" s="8">
        <f t="shared" ca="1" si="103"/>
        <v>0</v>
      </c>
      <c r="Q1913" s="8">
        <f ca="1">CEILING(R1912*(IF(N1913&lt;=IF($B$2=0,0,OFFSET(Sheet2!$B$1,Sheet1!$B$2-1,0)),$B$1/(365*100),$B$3/(365*100)))*100,1)/100</f>
        <v>81.36</v>
      </c>
      <c r="R1913" s="9">
        <f t="shared" ca="1" si="104"/>
        <v>199368.26753899388</v>
      </c>
    </row>
    <row r="1914" spans="1:18" x14ac:dyDescent="0.25">
      <c r="A1914">
        <v>16</v>
      </c>
      <c r="B1914">
        <v>9.9</v>
      </c>
      <c r="C1914">
        <v>0</v>
      </c>
      <c r="D1914">
        <v>19.899999999999999</v>
      </c>
      <c r="E1914">
        <v>38</v>
      </c>
      <c r="F1914">
        <v>3.5786361395438497E-2</v>
      </c>
      <c r="G1914" t="str">
        <f t="shared" si="105"/>
        <v>Insert into BlueCreditTypeRainbow Values (16, 9.9, 0, 19.9, 38, 0.0357863613954385)</v>
      </c>
      <c r="N1914" s="4">
        <v>1911</v>
      </c>
      <c r="O1914" s="8">
        <f>$B$7*COUNTIF(Sheet2!$B$1:$B$132,N1914)</f>
        <v>0</v>
      </c>
      <c r="P1914" s="8">
        <f t="shared" ca="1" si="103"/>
        <v>0</v>
      </c>
      <c r="Q1914" s="8">
        <f ca="1">CEILING(R1913*(IF(N1914&lt;=IF($B$2=0,0,OFFSET(Sheet2!$B$1,Sheet1!$B$2-1,0)),$B$1/(365*100),$B$3/(365*100)))*100,1)/100</f>
        <v>81.39</v>
      </c>
      <c r="R1914" s="9">
        <f t="shared" ca="1" si="104"/>
        <v>199449.6575389939</v>
      </c>
    </row>
    <row r="1915" spans="1:18" x14ac:dyDescent="0.25">
      <c r="A1915">
        <v>16</v>
      </c>
      <c r="B1915">
        <v>9.9</v>
      </c>
      <c r="C1915">
        <v>0</v>
      </c>
      <c r="D1915">
        <v>19.899999999999999</v>
      </c>
      <c r="E1915">
        <v>39</v>
      </c>
      <c r="F1915">
        <v>3.5128825128205178E-2</v>
      </c>
      <c r="G1915" t="str">
        <f t="shared" si="105"/>
        <v>Insert into BlueCreditTypeRainbow Values (16, 9.9, 0, 19.9, 39, 0.0351288251282052)</v>
      </c>
      <c r="N1915" s="4">
        <v>1912</v>
      </c>
      <c r="O1915" s="8">
        <f>$B$7*COUNTIF(Sheet2!$B$1:$B$132,N1915)</f>
        <v>0</v>
      </c>
      <c r="P1915" s="8">
        <f t="shared" ca="1" si="103"/>
        <v>0</v>
      </c>
      <c r="Q1915" s="8">
        <f ca="1">CEILING(R1914*(IF(N1915&lt;=IF($B$2=0,0,OFFSET(Sheet2!$B$1,Sheet1!$B$2-1,0)),$B$1/(365*100),$B$3/(365*100)))*100,1)/100</f>
        <v>81.42</v>
      </c>
      <c r="R1915" s="9">
        <f t="shared" ca="1" si="104"/>
        <v>199531.07753899391</v>
      </c>
    </row>
    <row r="1916" spans="1:18" x14ac:dyDescent="0.25">
      <c r="A1916">
        <v>16</v>
      </c>
      <c r="B1916">
        <v>9.9</v>
      </c>
      <c r="C1916">
        <v>0</v>
      </c>
      <c r="D1916">
        <v>19.899999999999999</v>
      </c>
      <c r="E1916">
        <v>40</v>
      </c>
      <c r="F1916">
        <v>3.4505438000000069E-2</v>
      </c>
      <c r="G1916" t="str">
        <f t="shared" si="105"/>
        <v>Insert into BlueCreditTypeRainbow Values (16, 9.9, 0, 19.9, 40, 0.0345054380000001)</v>
      </c>
      <c r="N1916" s="4">
        <v>1913</v>
      </c>
      <c r="O1916" s="8">
        <f>$B$7*COUNTIF(Sheet2!$B$1:$B$132,N1916)</f>
        <v>0</v>
      </c>
      <c r="P1916" s="8">
        <f t="shared" ca="1" si="103"/>
        <v>0</v>
      </c>
      <c r="Q1916" s="8">
        <f ca="1">CEILING(R1915*(IF(N1916&lt;=IF($B$2=0,0,OFFSET(Sheet2!$B$1,Sheet1!$B$2-1,0)),$B$1/(365*100),$B$3/(365*100)))*100,1)/100</f>
        <v>81.459999999999994</v>
      </c>
      <c r="R1916" s="9">
        <f t="shared" ca="1" si="104"/>
        <v>199612.5375389939</v>
      </c>
    </row>
    <row r="1917" spans="1:18" x14ac:dyDescent="0.25">
      <c r="A1917">
        <v>16</v>
      </c>
      <c r="B1917">
        <v>9.9</v>
      </c>
      <c r="C1917">
        <v>0</v>
      </c>
      <c r="D1917">
        <v>19.899999999999999</v>
      </c>
      <c r="E1917">
        <v>41</v>
      </c>
      <c r="F1917">
        <v>3.3913382682926943E-2</v>
      </c>
      <c r="G1917" t="str">
        <f t="shared" si="105"/>
        <v>Insert into BlueCreditTypeRainbow Values (16, 9.9, 0, 19.9, 41, 0.0339133826829269)</v>
      </c>
      <c r="N1917" s="4">
        <v>1914</v>
      </c>
      <c r="O1917" s="8">
        <f>$B$7*COUNTIF(Sheet2!$B$1:$B$132,N1917)</f>
        <v>0</v>
      </c>
      <c r="P1917" s="8">
        <f t="shared" ca="1" si="103"/>
        <v>0</v>
      </c>
      <c r="Q1917" s="8">
        <f ca="1">CEILING(R1916*(IF(N1917&lt;=IF($B$2=0,0,OFFSET(Sheet2!$B$1,Sheet1!$B$2-1,0)),$B$1/(365*100),$B$3/(365*100)))*100,1)/100</f>
        <v>81.489999999999995</v>
      </c>
      <c r="R1917" s="9">
        <f t="shared" ca="1" si="104"/>
        <v>199694.02753899389</v>
      </c>
    </row>
    <row r="1918" spans="1:18" x14ac:dyDescent="0.25">
      <c r="A1918">
        <v>16</v>
      </c>
      <c r="B1918">
        <v>9.9</v>
      </c>
      <c r="C1918">
        <v>0</v>
      </c>
      <c r="D1918">
        <v>19.899999999999999</v>
      </c>
      <c r="E1918">
        <v>42</v>
      </c>
      <c r="F1918">
        <v>3.3350733595060127E-2</v>
      </c>
      <c r="G1918" t="str">
        <f t="shared" si="105"/>
        <v>Insert into BlueCreditTypeRainbow Values (16, 9.9, 0, 19.9, 42, 0.0333507335950601)</v>
      </c>
      <c r="N1918" s="4">
        <v>1915</v>
      </c>
      <c r="O1918" s="8">
        <f>$B$7*COUNTIF(Sheet2!$B$1:$B$132,N1918)</f>
        <v>0</v>
      </c>
      <c r="P1918" s="8">
        <f t="shared" ca="1" si="103"/>
        <v>0</v>
      </c>
      <c r="Q1918" s="8">
        <f ca="1">CEILING(R1917*(IF(N1918&lt;=IF($B$2=0,0,OFFSET(Sheet2!$B$1,Sheet1!$B$2-1,0)),$B$1/(365*100),$B$3/(365*100)))*100,1)/100</f>
        <v>81.52</v>
      </c>
      <c r="R1918" s="9">
        <f t="shared" ca="1" si="104"/>
        <v>199775.54753899388</v>
      </c>
    </row>
    <row r="1919" spans="1:18" x14ac:dyDescent="0.25">
      <c r="A1919">
        <v>16</v>
      </c>
      <c r="B1919">
        <v>9.9</v>
      </c>
      <c r="C1919">
        <v>0</v>
      </c>
      <c r="D1919">
        <v>19.899999999999999</v>
      </c>
      <c r="E1919">
        <v>43</v>
      </c>
      <c r="F1919">
        <v>3.2815135138228035E-2</v>
      </c>
      <c r="G1919" t="str">
        <f t="shared" si="105"/>
        <v>Insert into BlueCreditTypeRainbow Values (16, 9.9, 0, 19.9, 43, 0.032815135138228)</v>
      </c>
      <c r="N1919" s="4">
        <v>1916</v>
      </c>
      <c r="O1919" s="8">
        <f>$B$7*COUNTIF(Sheet2!$B$1:$B$132,N1919)</f>
        <v>0</v>
      </c>
      <c r="P1919" s="8">
        <f t="shared" ref="P1919:P1982" ca="1" si="106">IF(O1919-Q1919&gt; 0, O1919-Q1919, 0)</f>
        <v>0</v>
      </c>
      <c r="Q1919" s="8">
        <f ca="1">CEILING(R1918*(IF(N1919&lt;=IF($B$2=0,0,OFFSET(Sheet2!$B$1,Sheet1!$B$2-1,0)),$B$1/(365*100),$B$3/(365*100)))*100,1)/100</f>
        <v>81.56</v>
      </c>
      <c r="R1919" s="9">
        <f t="shared" ref="R1919:R1982" ca="1" si="107">R1918+Q1919-O1919</f>
        <v>199857.10753899388</v>
      </c>
    </row>
    <row r="1920" spans="1:18" x14ac:dyDescent="0.25">
      <c r="A1920">
        <v>16</v>
      </c>
      <c r="B1920">
        <v>9.9</v>
      </c>
      <c r="C1920">
        <v>0</v>
      </c>
      <c r="D1920">
        <v>19.899999999999999</v>
      </c>
      <c r="E1920">
        <v>44</v>
      </c>
      <c r="F1920">
        <v>3.2304740452955193E-2</v>
      </c>
      <c r="G1920" t="str">
        <f t="shared" si="105"/>
        <v>Insert into BlueCreditTypeRainbow Values (16, 9.9, 0, 19.9, 44, 0.0323047404529552)</v>
      </c>
      <c r="N1920" s="4">
        <v>1917</v>
      </c>
      <c r="O1920" s="8">
        <f>$B$7*COUNTIF(Sheet2!$B$1:$B$132,N1920)</f>
        <v>0</v>
      </c>
      <c r="P1920" s="8">
        <f t="shared" ca="1" si="106"/>
        <v>0</v>
      </c>
      <c r="Q1920" s="8">
        <f ca="1">CEILING(R1919*(IF(N1920&lt;=IF($B$2=0,0,OFFSET(Sheet2!$B$1,Sheet1!$B$2-1,0)),$B$1/(365*100),$B$3/(365*100)))*100,1)/100</f>
        <v>81.59</v>
      </c>
      <c r="R1920" s="9">
        <f t="shared" ca="1" si="107"/>
        <v>199938.69753899387</v>
      </c>
    </row>
    <row r="1921" spans="1:18" x14ac:dyDescent="0.25">
      <c r="A1921">
        <v>16</v>
      </c>
      <c r="B1921">
        <v>9.9</v>
      </c>
      <c r="C1921">
        <v>0</v>
      </c>
      <c r="D1921">
        <v>19.899999999999999</v>
      </c>
      <c r="E1921">
        <v>45</v>
      </c>
      <c r="F1921">
        <v>3.18181537941815E-2</v>
      </c>
      <c r="G1921" t="str">
        <f t="shared" si="105"/>
        <v>Insert into BlueCreditTypeRainbow Values (16, 9.9, 0, 19.9, 45, 0.0318181537941815)</v>
      </c>
      <c r="N1921" s="4">
        <v>1918</v>
      </c>
      <c r="O1921" s="8">
        <f>$B$7*COUNTIF(Sheet2!$B$1:$B$132,N1921)</f>
        <v>0</v>
      </c>
      <c r="P1921" s="8">
        <f t="shared" ca="1" si="106"/>
        <v>0</v>
      </c>
      <c r="Q1921" s="8">
        <f ca="1">CEILING(R1920*(IF(N1921&lt;=IF($B$2=0,0,OFFSET(Sheet2!$B$1,Sheet1!$B$2-1,0)),$B$1/(365*100),$B$3/(365*100)))*100,1)/100</f>
        <v>81.62</v>
      </c>
      <c r="R1921" s="9">
        <f t="shared" ca="1" si="107"/>
        <v>200020.31753899387</v>
      </c>
    </row>
    <row r="1922" spans="1:18" x14ac:dyDescent="0.25">
      <c r="A1922">
        <v>16</v>
      </c>
      <c r="B1922">
        <v>9.9</v>
      </c>
      <c r="C1922">
        <v>0</v>
      </c>
      <c r="D1922">
        <v>19.899999999999999</v>
      </c>
      <c r="E1922">
        <v>46</v>
      </c>
      <c r="F1922">
        <v>3.1353544352937898E-2</v>
      </c>
      <c r="G1922" t="str">
        <f t="shared" si="105"/>
        <v>Insert into BlueCreditTypeRainbow Values (16, 9.9, 0, 19.9, 46, 0.0313535443529379)</v>
      </c>
      <c r="N1922" s="4">
        <v>1919</v>
      </c>
      <c r="O1922" s="8">
        <f>$B$7*COUNTIF(Sheet2!$B$1:$B$132,N1922)</f>
        <v>0</v>
      </c>
      <c r="P1922" s="8">
        <f t="shared" ca="1" si="106"/>
        <v>0</v>
      </c>
      <c r="Q1922" s="8">
        <f ca="1">CEILING(R1921*(IF(N1922&lt;=IF($B$2=0,0,OFFSET(Sheet2!$B$1,Sheet1!$B$2-1,0)),$B$1/(365*100),$B$3/(365*100)))*100,1)/100</f>
        <v>81.66</v>
      </c>
      <c r="R1922" s="9">
        <f t="shared" ca="1" si="107"/>
        <v>200101.97753899387</v>
      </c>
    </row>
    <row r="1923" spans="1:18" x14ac:dyDescent="0.25">
      <c r="A1923">
        <v>16</v>
      </c>
      <c r="B1923">
        <v>9.9</v>
      </c>
      <c r="C1923">
        <v>0</v>
      </c>
      <c r="D1923">
        <v>19.899999999999999</v>
      </c>
      <c r="E1923">
        <v>47</v>
      </c>
      <c r="F1923">
        <v>3.0909771063829822E-2</v>
      </c>
      <c r="G1923" t="str">
        <f t="shared" si="105"/>
        <v>Insert into BlueCreditTypeRainbow Values (16, 9.9, 0, 19.9, 47, 0.0309097710638298)</v>
      </c>
      <c r="N1923" s="4">
        <v>1920</v>
      </c>
      <c r="O1923" s="8">
        <f>$B$7*COUNTIF(Sheet2!$B$1:$B$132,N1923)</f>
        <v>21157.10552356458</v>
      </c>
      <c r="P1923" s="8">
        <f t="shared" ca="1" si="106"/>
        <v>21075.415523564581</v>
      </c>
      <c r="Q1923" s="8">
        <f ca="1">CEILING(R1922*(IF(N1923&lt;=IF($B$2=0,0,OFFSET(Sheet2!$B$1,Sheet1!$B$2-1,0)),$B$1/(365*100),$B$3/(365*100)))*100,1)/100</f>
        <v>81.69</v>
      </c>
      <c r="R1923" s="9">
        <f t="shared" ca="1" si="107"/>
        <v>179026.56201542928</v>
      </c>
    </row>
    <row r="1924" spans="1:18" x14ac:dyDescent="0.25">
      <c r="A1924">
        <v>16</v>
      </c>
      <c r="B1924">
        <v>9.9</v>
      </c>
      <c r="C1924">
        <v>0</v>
      </c>
      <c r="D1924">
        <v>19.899999999999999</v>
      </c>
      <c r="E1924">
        <v>48</v>
      </c>
      <c r="F1924">
        <v>3.0485281898239586E-2</v>
      </c>
      <c r="G1924" t="str">
        <f t="shared" si="105"/>
        <v>Insert into BlueCreditTypeRainbow Values (16, 9.9, 0, 19.9, 48, 0.0304852818982396)</v>
      </c>
      <c r="N1924" s="4">
        <v>1921</v>
      </c>
      <c r="O1924" s="8">
        <f>$B$7*COUNTIF(Sheet2!$B$1:$B$132,N1924)</f>
        <v>0</v>
      </c>
      <c r="P1924" s="8">
        <f t="shared" ca="1" si="106"/>
        <v>0</v>
      </c>
      <c r="Q1924" s="8">
        <f ca="1">CEILING(R1923*(IF(N1924&lt;=IF($B$2=0,0,OFFSET(Sheet2!$B$1,Sheet1!$B$2-1,0)),$B$1/(365*100),$B$3/(365*100)))*100,1)/100</f>
        <v>73.09</v>
      </c>
      <c r="R1924" s="9">
        <f t="shared" ca="1" si="107"/>
        <v>179099.65201542928</v>
      </c>
    </row>
    <row r="1925" spans="1:18" x14ac:dyDescent="0.25">
      <c r="A1925">
        <v>21</v>
      </c>
      <c r="B1925">
        <v>0</v>
      </c>
      <c r="C1925">
        <v>0</v>
      </c>
      <c r="D1925">
        <v>14.9</v>
      </c>
      <c r="E1925">
        <v>3</v>
      </c>
      <c r="F1925">
        <v>0.34171934029007828</v>
      </c>
      <c r="G1925" t="str">
        <f t="shared" si="105"/>
        <v>Insert into BlueCreditTypeRainbow Values (21, 0, 0, 14.9, 3, 0.341719340290078)</v>
      </c>
      <c r="N1925" s="4">
        <v>1922</v>
      </c>
      <c r="O1925" s="8">
        <f>$B$7*COUNTIF(Sheet2!$B$1:$B$132,N1925)</f>
        <v>0</v>
      </c>
      <c r="P1925" s="8">
        <f t="shared" ca="1" si="106"/>
        <v>0</v>
      </c>
      <c r="Q1925" s="8">
        <f ca="1">CEILING(R1924*(IF(N1925&lt;=IF($B$2=0,0,OFFSET(Sheet2!$B$1,Sheet1!$B$2-1,0)),$B$1/(365*100),$B$3/(365*100)))*100,1)/100</f>
        <v>73.12</v>
      </c>
      <c r="R1925" s="9">
        <f t="shared" ca="1" si="107"/>
        <v>179172.77201542928</v>
      </c>
    </row>
    <row r="1926" spans="1:18" x14ac:dyDescent="0.25">
      <c r="A1926">
        <v>21</v>
      </c>
      <c r="B1926">
        <v>0</v>
      </c>
      <c r="C1926">
        <v>0</v>
      </c>
      <c r="D1926">
        <v>14.9</v>
      </c>
      <c r="E1926">
        <v>4</v>
      </c>
      <c r="F1926">
        <v>0.25787792250000025</v>
      </c>
      <c r="G1926" t="str">
        <f t="shared" si="105"/>
        <v>Insert into BlueCreditTypeRainbow Values (21, 0, 0, 14.9, 4, 0.2578779225)</v>
      </c>
      <c r="N1926" s="4">
        <v>1923</v>
      </c>
      <c r="O1926" s="8">
        <f>$B$7*COUNTIF(Sheet2!$B$1:$B$132,N1926)</f>
        <v>0</v>
      </c>
      <c r="P1926" s="8">
        <f t="shared" ca="1" si="106"/>
        <v>0</v>
      </c>
      <c r="Q1926" s="8">
        <f ca="1">CEILING(R1925*(IF(N1926&lt;=IF($B$2=0,0,OFFSET(Sheet2!$B$1,Sheet1!$B$2-1,0)),$B$1/(365*100),$B$3/(365*100)))*100,1)/100</f>
        <v>73.150000000000006</v>
      </c>
      <c r="R1926" s="9">
        <f t="shared" ca="1" si="107"/>
        <v>179245.92201542927</v>
      </c>
    </row>
    <row r="1927" spans="1:18" x14ac:dyDescent="0.25">
      <c r="A1927">
        <v>21</v>
      </c>
      <c r="B1927">
        <v>0</v>
      </c>
      <c r="C1927">
        <v>0</v>
      </c>
      <c r="D1927">
        <v>14.9</v>
      </c>
      <c r="E1927">
        <v>5</v>
      </c>
      <c r="F1927">
        <v>0.20757003399999999</v>
      </c>
      <c r="G1927" t="str">
        <f t="shared" si="105"/>
        <v>Insert into BlueCreditTypeRainbow Values (21, 0, 0, 14.9, 5, 0.207570034)</v>
      </c>
      <c r="N1927" s="4">
        <v>1924</v>
      </c>
      <c r="O1927" s="8">
        <f>$B$7*COUNTIF(Sheet2!$B$1:$B$132,N1927)</f>
        <v>0</v>
      </c>
      <c r="P1927" s="8">
        <f t="shared" ca="1" si="106"/>
        <v>0</v>
      </c>
      <c r="Q1927" s="8">
        <f ca="1">CEILING(R1926*(IF(N1927&lt;=IF($B$2=0,0,OFFSET(Sheet2!$B$1,Sheet1!$B$2-1,0)),$B$1/(365*100),$B$3/(365*100)))*100,1)/100</f>
        <v>73.180000000000007</v>
      </c>
      <c r="R1927" s="9">
        <f t="shared" ca="1" si="107"/>
        <v>179319.10201542926</v>
      </c>
    </row>
    <row r="1928" spans="1:18" x14ac:dyDescent="0.25">
      <c r="A1928">
        <v>21</v>
      </c>
      <c r="B1928">
        <v>0</v>
      </c>
      <c r="C1928">
        <v>0</v>
      </c>
      <c r="D1928">
        <v>14.9</v>
      </c>
      <c r="E1928">
        <v>6</v>
      </c>
      <c r="F1928">
        <v>0.17404374833333336</v>
      </c>
      <c r="G1928" t="str">
        <f t="shared" si="105"/>
        <v>Insert into BlueCreditTypeRainbow Values (21, 0, 0, 14.9, 6, 0.174043748333333)</v>
      </c>
      <c r="N1928" s="4">
        <v>1925</v>
      </c>
      <c r="O1928" s="8">
        <f>$B$7*COUNTIF(Sheet2!$B$1:$B$132,N1928)</f>
        <v>0</v>
      </c>
      <c r="P1928" s="8">
        <f t="shared" ca="1" si="106"/>
        <v>0</v>
      </c>
      <c r="Q1928" s="8">
        <f ca="1">CEILING(R1927*(IF(N1928&lt;=IF($B$2=0,0,OFFSET(Sheet2!$B$1,Sheet1!$B$2-1,0)),$B$1/(365*100),$B$3/(365*100)))*100,1)/100</f>
        <v>73.209999999999994</v>
      </c>
      <c r="R1928" s="9">
        <f t="shared" ca="1" si="107"/>
        <v>179392.31201542926</v>
      </c>
    </row>
    <row r="1929" spans="1:18" x14ac:dyDescent="0.25">
      <c r="A1929">
        <v>21</v>
      </c>
      <c r="B1929">
        <v>0</v>
      </c>
      <c r="C1929">
        <v>0</v>
      </c>
      <c r="D1929">
        <v>14.9</v>
      </c>
      <c r="E1929">
        <v>7</v>
      </c>
      <c r="F1929">
        <v>0.15010407291881489</v>
      </c>
      <c r="G1929" t="str">
        <f t="shared" si="105"/>
        <v>Insert into BlueCreditTypeRainbow Values (21, 0, 0, 14.9, 7, 0.150104072918815)</v>
      </c>
      <c r="N1929" s="4">
        <v>1926</v>
      </c>
      <c r="O1929" s="8">
        <f>$B$7*COUNTIF(Sheet2!$B$1:$B$132,N1929)</f>
        <v>0</v>
      </c>
      <c r="P1929" s="8">
        <f t="shared" ca="1" si="106"/>
        <v>0</v>
      </c>
      <c r="Q1929" s="8">
        <f ca="1">CEILING(R1928*(IF(N1929&lt;=IF($B$2=0,0,OFFSET(Sheet2!$B$1,Sheet1!$B$2-1,0)),$B$1/(365*100),$B$3/(365*100)))*100,1)/100</f>
        <v>73.239999999999995</v>
      </c>
      <c r="R1929" s="9">
        <f t="shared" ca="1" si="107"/>
        <v>179465.55201542925</v>
      </c>
    </row>
    <row r="1930" spans="1:18" x14ac:dyDescent="0.25">
      <c r="A1930">
        <v>21</v>
      </c>
      <c r="B1930">
        <v>0</v>
      </c>
      <c r="C1930">
        <v>0</v>
      </c>
      <c r="D1930">
        <v>14.9</v>
      </c>
      <c r="E1930">
        <v>8</v>
      </c>
      <c r="F1930">
        <v>0.13214830760774615</v>
      </c>
      <c r="G1930" t="str">
        <f t="shared" si="105"/>
        <v>Insert into BlueCreditTypeRainbow Values (21, 0, 0, 14.9, 8, 0.132148307607746)</v>
      </c>
      <c r="N1930" s="4">
        <v>1927</v>
      </c>
      <c r="O1930" s="8">
        <f>$B$7*COUNTIF(Sheet2!$B$1:$B$132,N1930)</f>
        <v>0</v>
      </c>
      <c r="P1930" s="8">
        <f t="shared" ca="1" si="106"/>
        <v>0</v>
      </c>
      <c r="Q1930" s="8">
        <f ca="1">CEILING(R1929*(IF(N1930&lt;=IF($B$2=0,0,OFFSET(Sheet2!$B$1,Sheet1!$B$2-1,0)),$B$1/(365*100),$B$3/(365*100)))*100,1)/100</f>
        <v>73.27</v>
      </c>
      <c r="R1930" s="9">
        <f t="shared" ca="1" si="107"/>
        <v>179538.82201542924</v>
      </c>
    </row>
    <row r="1931" spans="1:18" x14ac:dyDescent="0.25">
      <c r="A1931">
        <v>21</v>
      </c>
      <c r="B1931">
        <v>0</v>
      </c>
      <c r="C1931">
        <v>0</v>
      </c>
      <c r="D1931">
        <v>14.9</v>
      </c>
      <c r="E1931">
        <v>9</v>
      </c>
      <c r="F1931">
        <v>0.11818305004673531</v>
      </c>
      <c r="G1931" t="str">
        <f t="shared" si="105"/>
        <v>Insert into BlueCreditTypeRainbow Values (21, 0, 0, 14.9, 9, 0.118183050046735)</v>
      </c>
      <c r="N1931" s="4">
        <v>1928</v>
      </c>
      <c r="O1931" s="8">
        <f>$B$7*COUNTIF(Sheet2!$B$1:$B$132,N1931)</f>
        <v>0</v>
      </c>
      <c r="P1931" s="8">
        <f t="shared" ca="1" si="106"/>
        <v>0</v>
      </c>
      <c r="Q1931" s="8">
        <f ca="1">CEILING(R1930*(IF(N1931&lt;=IF($B$2=0,0,OFFSET(Sheet2!$B$1,Sheet1!$B$2-1,0)),$B$1/(365*100),$B$3/(365*100)))*100,1)/100</f>
        <v>73.3</v>
      </c>
      <c r="R1931" s="9">
        <f t="shared" ca="1" si="107"/>
        <v>179612.12201542922</v>
      </c>
    </row>
    <row r="1932" spans="1:18" x14ac:dyDescent="0.25">
      <c r="A1932">
        <v>21</v>
      </c>
      <c r="B1932">
        <v>0</v>
      </c>
      <c r="C1932">
        <v>0</v>
      </c>
      <c r="D1932">
        <v>14.9</v>
      </c>
      <c r="E1932">
        <v>10</v>
      </c>
      <c r="F1932">
        <v>0.107011811</v>
      </c>
      <c r="G1932" t="str">
        <f t="shared" si="105"/>
        <v>Insert into BlueCreditTypeRainbow Values (21, 0, 0, 14.9, 10, 0.107011811)</v>
      </c>
      <c r="N1932" s="4">
        <v>1929</v>
      </c>
      <c r="O1932" s="8">
        <f>$B$7*COUNTIF(Sheet2!$B$1:$B$132,N1932)</f>
        <v>0</v>
      </c>
      <c r="P1932" s="8">
        <f t="shared" ca="1" si="106"/>
        <v>0</v>
      </c>
      <c r="Q1932" s="8">
        <f ca="1">CEILING(R1931*(IF(N1932&lt;=IF($B$2=0,0,OFFSET(Sheet2!$B$1,Sheet1!$B$2-1,0)),$B$1/(365*100),$B$3/(365*100)))*100,1)/100</f>
        <v>73.33</v>
      </c>
      <c r="R1932" s="9">
        <f t="shared" ca="1" si="107"/>
        <v>179685.45201542921</v>
      </c>
    </row>
    <row r="1933" spans="1:18" x14ac:dyDescent="0.25">
      <c r="A1933">
        <v>21</v>
      </c>
      <c r="B1933">
        <v>0</v>
      </c>
      <c r="C1933">
        <v>0</v>
      </c>
      <c r="D1933">
        <v>14.9</v>
      </c>
      <c r="E1933">
        <v>11</v>
      </c>
      <c r="F1933">
        <v>9.7876378635419328E-2</v>
      </c>
      <c r="G1933" t="str">
        <f t="shared" si="105"/>
        <v>Insert into BlueCreditTypeRainbow Values (21, 0, 0, 14.9, 11, 0.0978763786354193)</v>
      </c>
      <c r="N1933" s="4">
        <v>1930</v>
      </c>
      <c r="O1933" s="8">
        <f>$B$7*COUNTIF(Sheet2!$B$1:$B$132,N1933)</f>
        <v>0</v>
      </c>
      <c r="P1933" s="8">
        <f t="shared" ca="1" si="106"/>
        <v>0</v>
      </c>
      <c r="Q1933" s="8">
        <f ca="1">CEILING(R1932*(IF(N1933&lt;=IF($B$2=0,0,OFFSET(Sheet2!$B$1,Sheet1!$B$2-1,0)),$B$1/(365*100),$B$3/(365*100)))*100,1)/100</f>
        <v>73.36</v>
      </c>
      <c r="R1933" s="9">
        <f t="shared" ca="1" si="107"/>
        <v>179758.8120154292</v>
      </c>
    </row>
    <row r="1934" spans="1:18" x14ac:dyDescent="0.25">
      <c r="A1934">
        <v>21</v>
      </c>
      <c r="B1934">
        <v>0</v>
      </c>
      <c r="C1934">
        <v>0</v>
      </c>
      <c r="D1934">
        <v>14.9</v>
      </c>
      <c r="E1934">
        <v>12</v>
      </c>
      <c r="F1934">
        <v>9.0264415833333347E-2</v>
      </c>
      <c r="G1934" t="str">
        <f t="shared" si="105"/>
        <v>Insert into BlueCreditTypeRainbow Values (21, 0, 0, 14.9, 12, 0.0902644158333333)</v>
      </c>
      <c r="N1934" s="4">
        <v>1931</v>
      </c>
      <c r="O1934" s="8">
        <f>$B$7*COUNTIF(Sheet2!$B$1:$B$132,N1934)</f>
        <v>0</v>
      </c>
      <c r="P1934" s="8">
        <f t="shared" ca="1" si="106"/>
        <v>0</v>
      </c>
      <c r="Q1934" s="8">
        <f ca="1">CEILING(R1933*(IF(N1934&lt;=IF($B$2=0,0,OFFSET(Sheet2!$B$1,Sheet1!$B$2-1,0)),$B$1/(365*100),$B$3/(365*100)))*100,1)/100</f>
        <v>73.39</v>
      </c>
      <c r="R1934" s="9">
        <f t="shared" ca="1" si="107"/>
        <v>179832.20201542921</v>
      </c>
    </row>
    <row r="1935" spans="1:18" x14ac:dyDescent="0.25">
      <c r="A1935">
        <v>21</v>
      </c>
      <c r="B1935">
        <v>0</v>
      </c>
      <c r="C1935">
        <v>0</v>
      </c>
      <c r="D1935">
        <v>14.9</v>
      </c>
      <c r="E1935">
        <v>13</v>
      </c>
      <c r="F1935">
        <v>8.382705538461542E-2</v>
      </c>
      <c r="G1935" t="str">
        <f t="shared" ref="G1935:G1998" si="108">CONCATENATE("Insert into BlueCreditTypeRainbow Values (",A1935,", ",B1935,", ",C1935,", ",D1935,", ",E1935,", ",F1935,")")</f>
        <v>Insert into BlueCreditTypeRainbow Values (21, 0, 0, 14.9, 13, 0.0838270553846154)</v>
      </c>
      <c r="N1935" s="4">
        <v>1932</v>
      </c>
      <c r="O1935" s="8">
        <f>$B$7*COUNTIF(Sheet2!$B$1:$B$132,N1935)</f>
        <v>0</v>
      </c>
      <c r="P1935" s="8">
        <f t="shared" ca="1" si="106"/>
        <v>0</v>
      </c>
      <c r="Q1935" s="8">
        <f ca="1">CEILING(R1934*(IF(N1935&lt;=IF($B$2=0,0,OFFSET(Sheet2!$B$1,Sheet1!$B$2-1,0)),$B$1/(365*100),$B$3/(365*100)))*100,1)/100</f>
        <v>73.42</v>
      </c>
      <c r="R1935" s="9">
        <f t="shared" ca="1" si="107"/>
        <v>179905.62201542922</v>
      </c>
    </row>
    <row r="1936" spans="1:18" x14ac:dyDescent="0.25">
      <c r="A1936">
        <v>21</v>
      </c>
      <c r="B1936">
        <v>0</v>
      </c>
      <c r="C1936">
        <v>0</v>
      </c>
      <c r="D1936">
        <v>14.9</v>
      </c>
      <c r="E1936">
        <v>14</v>
      </c>
      <c r="F1936">
        <v>7.8312300772260951E-2</v>
      </c>
      <c r="G1936" t="str">
        <f t="shared" si="108"/>
        <v>Insert into BlueCreditTypeRainbow Values (21, 0, 0, 14.9, 14, 0.078312300772261)</v>
      </c>
      <c r="N1936" s="4">
        <v>1933</v>
      </c>
      <c r="O1936" s="8">
        <f>$B$7*COUNTIF(Sheet2!$B$1:$B$132,N1936)</f>
        <v>0</v>
      </c>
      <c r="P1936" s="8">
        <f t="shared" ca="1" si="106"/>
        <v>0</v>
      </c>
      <c r="Q1936" s="8">
        <f ca="1">CEILING(R1935*(IF(N1936&lt;=IF($B$2=0,0,OFFSET(Sheet2!$B$1,Sheet1!$B$2-1,0)),$B$1/(365*100),$B$3/(365*100)))*100,1)/100</f>
        <v>73.45</v>
      </c>
      <c r="R1936" s="9">
        <f t="shared" ca="1" si="107"/>
        <v>179979.07201542924</v>
      </c>
    </row>
    <row r="1937" spans="1:18" x14ac:dyDescent="0.25">
      <c r="A1937">
        <v>21</v>
      </c>
      <c r="B1937">
        <v>0</v>
      </c>
      <c r="C1937">
        <v>0</v>
      </c>
      <c r="D1937">
        <v>14.9</v>
      </c>
      <c r="E1937">
        <v>15</v>
      </c>
      <c r="F1937">
        <v>7.3533595999999993E-2</v>
      </c>
      <c r="G1937" t="str">
        <f t="shared" si="108"/>
        <v>Insert into BlueCreditTypeRainbow Values (21, 0, 0, 14.9, 15, 0.073533596)</v>
      </c>
      <c r="N1937" s="4">
        <v>1934</v>
      </c>
      <c r="O1937" s="8">
        <f>$B$7*COUNTIF(Sheet2!$B$1:$B$132,N1937)</f>
        <v>0</v>
      </c>
      <c r="P1937" s="8">
        <f t="shared" ca="1" si="106"/>
        <v>0</v>
      </c>
      <c r="Q1937" s="8">
        <f ca="1">CEILING(R1936*(IF(N1937&lt;=IF($B$2=0,0,OFFSET(Sheet2!$B$1,Sheet1!$B$2-1,0)),$B$1/(365*100),$B$3/(365*100)))*100,1)/100</f>
        <v>73.48</v>
      </c>
      <c r="R1937" s="9">
        <f t="shared" ca="1" si="107"/>
        <v>180052.55201542925</v>
      </c>
    </row>
    <row r="1938" spans="1:18" x14ac:dyDescent="0.25">
      <c r="A1938">
        <v>22</v>
      </c>
      <c r="B1938">
        <v>0</v>
      </c>
      <c r="C1938">
        <v>0</v>
      </c>
      <c r="D1938">
        <v>14.9</v>
      </c>
      <c r="E1938">
        <v>6</v>
      </c>
      <c r="F1938">
        <v>0.17404374833333339</v>
      </c>
      <c r="G1938" t="str">
        <f t="shared" si="108"/>
        <v>Insert into BlueCreditTypeRainbow Values (22, 0, 0, 14.9, 6, 0.174043748333333)</v>
      </c>
      <c r="N1938" s="4">
        <v>1935</v>
      </c>
      <c r="O1938" s="8">
        <f>$B$7*COUNTIF(Sheet2!$B$1:$B$132,N1938)</f>
        <v>0</v>
      </c>
      <c r="P1938" s="8">
        <f t="shared" ca="1" si="106"/>
        <v>0</v>
      </c>
      <c r="Q1938" s="8">
        <f ca="1">CEILING(R1937*(IF(N1938&lt;=IF($B$2=0,0,OFFSET(Sheet2!$B$1,Sheet1!$B$2-1,0)),$B$1/(365*100),$B$3/(365*100)))*100,1)/100</f>
        <v>73.510000000000005</v>
      </c>
      <c r="R1938" s="9">
        <f t="shared" ca="1" si="107"/>
        <v>180126.06201542926</v>
      </c>
    </row>
    <row r="1939" spans="1:18" x14ac:dyDescent="0.25">
      <c r="A1939">
        <v>22</v>
      </c>
      <c r="B1939">
        <v>0</v>
      </c>
      <c r="C1939">
        <v>0</v>
      </c>
      <c r="D1939">
        <v>14.9</v>
      </c>
      <c r="E1939">
        <v>7</v>
      </c>
      <c r="F1939">
        <v>0.15010407291881489</v>
      </c>
      <c r="G1939" t="str">
        <f t="shared" si="108"/>
        <v>Insert into BlueCreditTypeRainbow Values (22, 0, 0, 14.9, 7, 0.150104072918815)</v>
      </c>
      <c r="N1939" s="4">
        <v>1936</v>
      </c>
      <c r="O1939" s="8">
        <f>$B$7*COUNTIF(Sheet2!$B$1:$B$132,N1939)</f>
        <v>0</v>
      </c>
      <c r="P1939" s="8">
        <f t="shared" ca="1" si="106"/>
        <v>0</v>
      </c>
      <c r="Q1939" s="8">
        <f ca="1">CEILING(R1938*(IF(N1939&lt;=IF($B$2=0,0,OFFSET(Sheet2!$B$1,Sheet1!$B$2-1,0)),$B$1/(365*100),$B$3/(365*100)))*100,1)/100</f>
        <v>73.540000000000006</v>
      </c>
      <c r="R1939" s="9">
        <f t="shared" ca="1" si="107"/>
        <v>180199.60201542926</v>
      </c>
    </row>
    <row r="1940" spans="1:18" x14ac:dyDescent="0.25">
      <c r="A1940">
        <v>22</v>
      </c>
      <c r="B1940">
        <v>0</v>
      </c>
      <c r="C1940">
        <v>0</v>
      </c>
      <c r="D1940">
        <v>14.9</v>
      </c>
      <c r="E1940">
        <v>8</v>
      </c>
      <c r="F1940">
        <v>0.13214830760774615</v>
      </c>
      <c r="G1940" t="str">
        <f t="shared" si="108"/>
        <v>Insert into BlueCreditTypeRainbow Values (22, 0, 0, 14.9, 8, 0.132148307607746)</v>
      </c>
      <c r="N1940" s="4">
        <v>1937</v>
      </c>
      <c r="O1940" s="8">
        <f>$B$7*COUNTIF(Sheet2!$B$1:$B$132,N1940)</f>
        <v>0</v>
      </c>
      <c r="P1940" s="8">
        <f t="shared" ca="1" si="106"/>
        <v>0</v>
      </c>
      <c r="Q1940" s="8">
        <f ca="1">CEILING(R1939*(IF(N1940&lt;=IF($B$2=0,0,OFFSET(Sheet2!$B$1,Sheet1!$B$2-1,0)),$B$1/(365*100),$B$3/(365*100)))*100,1)/100</f>
        <v>73.569999999999993</v>
      </c>
      <c r="R1940" s="9">
        <f t="shared" ca="1" si="107"/>
        <v>180273.17201542927</v>
      </c>
    </row>
    <row r="1941" spans="1:18" x14ac:dyDescent="0.25">
      <c r="A1941">
        <v>22</v>
      </c>
      <c r="B1941">
        <v>0</v>
      </c>
      <c r="C1941">
        <v>0</v>
      </c>
      <c r="D1941">
        <v>14.9</v>
      </c>
      <c r="E1941">
        <v>9</v>
      </c>
      <c r="F1941">
        <v>0.11818305004673531</v>
      </c>
      <c r="G1941" t="str">
        <f t="shared" si="108"/>
        <v>Insert into BlueCreditTypeRainbow Values (22, 0, 0, 14.9, 9, 0.118183050046735)</v>
      </c>
      <c r="N1941" s="4">
        <v>1938</v>
      </c>
      <c r="O1941" s="8">
        <f>$B$7*COUNTIF(Sheet2!$B$1:$B$132,N1941)</f>
        <v>0</v>
      </c>
      <c r="P1941" s="8">
        <f t="shared" ca="1" si="106"/>
        <v>0</v>
      </c>
      <c r="Q1941" s="8">
        <f ca="1">CEILING(R1940*(IF(N1941&lt;=IF($B$2=0,0,OFFSET(Sheet2!$B$1,Sheet1!$B$2-1,0)),$B$1/(365*100),$B$3/(365*100)))*100,1)/100</f>
        <v>73.599999999999994</v>
      </c>
      <c r="R1941" s="9">
        <f t="shared" ca="1" si="107"/>
        <v>180346.77201542928</v>
      </c>
    </row>
    <row r="1942" spans="1:18" x14ac:dyDescent="0.25">
      <c r="A1942">
        <v>22</v>
      </c>
      <c r="B1942">
        <v>0</v>
      </c>
      <c r="C1942">
        <v>0</v>
      </c>
      <c r="D1942">
        <v>14.9</v>
      </c>
      <c r="E1942">
        <v>10</v>
      </c>
      <c r="F1942">
        <v>0.107011811</v>
      </c>
      <c r="G1942" t="str">
        <f t="shared" si="108"/>
        <v>Insert into BlueCreditTypeRainbow Values (22, 0, 0, 14.9, 10, 0.107011811)</v>
      </c>
      <c r="N1942" s="4">
        <v>1939</v>
      </c>
      <c r="O1942" s="8">
        <f>$B$7*COUNTIF(Sheet2!$B$1:$B$132,N1942)</f>
        <v>0</v>
      </c>
      <c r="P1942" s="8">
        <f t="shared" ca="1" si="106"/>
        <v>0</v>
      </c>
      <c r="Q1942" s="8">
        <f ca="1">CEILING(R1941*(IF(N1942&lt;=IF($B$2=0,0,OFFSET(Sheet2!$B$1,Sheet1!$B$2-1,0)),$B$1/(365*100),$B$3/(365*100)))*100,1)/100</f>
        <v>73.63</v>
      </c>
      <c r="R1942" s="9">
        <f t="shared" ca="1" si="107"/>
        <v>180420.40201542928</v>
      </c>
    </row>
    <row r="1943" spans="1:18" x14ac:dyDescent="0.25">
      <c r="A1943">
        <v>22</v>
      </c>
      <c r="B1943">
        <v>0</v>
      </c>
      <c r="C1943">
        <v>0</v>
      </c>
      <c r="D1943">
        <v>14.9</v>
      </c>
      <c r="E1943">
        <v>11</v>
      </c>
      <c r="F1943">
        <v>9.7876378635419328E-2</v>
      </c>
      <c r="G1943" t="str">
        <f t="shared" si="108"/>
        <v>Insert into BlueCreditTypeRainbow Values (22, 0, 0, 14.9, 11, 0.0978763786354193)</v>
      </c>
      <c r="N1943" s="4">
        <v>1940</v>
      </c>
      <c r="O1943" s="8">
        <f>$B$7*COUNTIF(Sheet2!$B$1:$B$132,N1943)</f>
        <v>0</v>
      </c>
      <c r="P1943" s="8">
        <f t="shared" ca="1" si="106"/>
        <v>0</v>
      </c>
      <c r="Q1943" s="8">
        <f ca="1">CEILING(R1942*(IF(N1943&lt;=IF($B$2=0,0,OFFSET(Sheet2!$B$1,Sheet1!$B$2-1,0)),$B$1/(365*100),$B$3/(365*100)))*100,1)/100</f>
        <v>73.66</v>
      </c>
      <c r="R1943" s="9">
        <f t="shared" ca="1" si="107"/>
        <v>180494.06201542928</v>
      </c>
    </row>
    <row r="1944" spans="1:18" x14ac:dyDescent="0.25">
      <c r="A1944">
        <v>22</v>
      </c>
      <c r="B1944">
        <v>0</v>
      </c>
      <c r="C1944">
        <v>0</v>
      </c>
      <c r="D1944">
        <v>14.9</v>
      </c>
      <c r="E1944">
        <v>12</v>
      </c>
      <c r="F1944">
        <v>9.0264415833333347E-2</v>
      </c>
      <c r="G1944" t="str">
        <f t="shared" si="108"/>
        <v>Insert into BlueCreditTypeRainbow Values (22, 0, 0, 14.9, 12, 0.0902644158333333)</v>
      </c>
      <c r="N1944" s="4">
        <v>1941</v>
      </c>
      <c r="O1944" s="8">
        <f>$B$7*COUNTIF(Sheet2!$B$1:$B$132,N1944)</f>
        <v>0</v>
      </c>
      <c r="P1944" s="8">
        <f t="shared" ca="1" si="106"/>
        <v>0</v>
      </c>
      <c r="Q1944" s="8">
        <f ca="1">CEILING(R1943*(IF(N1944&lt;=IF($B$2=0,0,OFFSET(Sheet2!$B$1,Sheet1!$B$2-1,0)),$B$1/(365*100),$B$3/(365*100)))*100,1)/100</f>
        <v>73.69</v>
      </c>
      <c r="R1944" s="9">
        <f t="shared" ca="1" si="107"/>
        <v>180567.75201542929</v>
      </c>
    </row>
    <row r="1945" spans="1:18" x14ac:dyDescent="0.25">
      <c r="A1945">
        <v>22</v>
      </c>
      <c r="B1945">
        <v>0</v>
      </c>
      <c r="C1945">
        <v>0</v>
      </c>
      <c r="D1945">
        <v>14.9</v>
      </c>
      <c r="E1945">
        <v>13</v>
      </c>
      <c r="F1945">
        <v>8.382705538461542E-2</v>
      </c>
      <c r="G1945" t="str">
        <f t="shared" si="108"/>
        <v>Insert into BlueCreditTypeRainbow Values (22, 0, 0, 14.9, 13, 0.0838270553846154)</v>
      </c>
      <c r="N1945" s="4">
        <v>1942</v>
      </c>
      <c r="O1945" s="8">
        <f>$B$7*COUNTIF(Sheet2!$B$1:$B$132,N1945)</f>
        <v>0</v>
      </c>
      <c r="P1945" s="8">
        <f t="shared" ca="1" si="106"/>
        <v>0</v>
      </c>
      <c r="Q1945" s="8">
        <f ca="1">CEILING(R1944*(IF(N1945&lt;=IF($B$2=0,0,OFFSET(Sheet2!$B$1,Sheet1!$B$2-1,0)),$B$1/(365*100),$B$3/(365*100)))*100,1)/100</f>
        <v>73.72</v>
      </c>
      <c r="R1945" s="9">
        <f t="shared" ca="1" si="107"/>
        <v>180641.47201542929</v>
      </c>
    </row>
    <row r="1946" spans="1:18" x14ac:dyDescent="0.25">
      <c r="A1946">
        <v>22</v>
      </c>
      <c r="B1946">
        <v>0</v>
      </c>
      <c r="C1946">
        <v>0</v>
      </c>
      <c r="D1946">
        <v>14.9</v>
      </c>
      <c r="E1946">
        <v>14</v>
      </c>
      <c r="F1946">
        <v>7.8312300772260951E-2</v>
      </c>
      <c r="G1946" t="str">
        <f t="shared" si="108"/>
        <v>Insert into BlueCreditTypeRainbow Values (22, 0, 0, 14.9, 14, 0.078312300772261)</v>
      </c>
      <c r="N1946" s="4">
        <v>1943</v>
      </c>
      <c r="O1946" s="8">
        <f>$B$7*COUNTIF(Sheet2!$B$1:$B$132,N1946)</f>
        <v>0</v>
      </c>
      <c r="P1946" s="8">
        <f t="shared" ca="1" si="106"/>
        <v>0</v>
      </c>
      <c r="Q1946" s="8">
        <f ca="1">CEILING(R1945*(IF(N1946&lt;=IF($B$2=0,0,OFFSET(Sheet2!$B$1,Sheet1!$B$2-1,0)),$B$1/(365*100),$B$3/(365*100)))*100,1)/100</f>
        <v>73.75</v>
      </c>
      <c r="R1946" s="9">
        <f t="shared" ca="1" si="107"/>
        <v>180715.22201542929</v>
      </c>
    </row>
    <row r="1947" spans="1:18" x14ac:dyDescent="0.25">
      <c r="A1947">
        <v>22</v>
      </c>
      <c r="B1947">
        <v>0</v>
      </c>
      <c r="C1947">
        <v>0</v>
      </c>
      <c r="D1947">
        <v>14.9</v>
      </c>
      <c r="E1947">
        <v>15</v>
      </c>
      <c r="F1947">
        <v>7.3533595999999993E-2</v>
      </c>
      <c r="G1947" t="str">
        <f t="shared" si="108"/>
        <v>Insert into BlueCreditTypeRainbow Values (22, 0, 0, 14.9, 15, 0.073533596)</v>
      </c>
      <c r="N1947" s="4">
        <v>1944</v>
      </c>
      <c r="O1947" s="8">
        <f>$B$7*COUNTIF(Sheet2!$B$1:$B$132,N1947)</f>
        <v>0</v>
      </c>
      <c r="P1947" s="8">
        <f t="shared" ca="1" si="106"/>
        <v>0</v>
      </c>
      <c r="Q1947" s="8">
        <f ca="1">CEILING(R1946*(IF(N1947&lt;=IF($B$2=0,0,OFFSET(Sheet2!$B$1,Sheet1!$B$2-1,0)),$B$1/(365*100),$B$3/(365*100)))*100,1)/100</f>
        <v>73.78</v>
      </c>
      <c r="R1947" s="9">
        <f t="shared" ca="1" si="107"/>
        <v>180789.00201542929</v>
      </c>
    </row>
    <row r="1948" spans="1:18" x14ac:dyDescent="0.25">
      <c r="A1948">
        <v>22</v>
      </c>
      <c r="B1948">
        <v>0</v>
      </c>
      <c r="C1948">
        <v>0</v>
      </c>
      <c r="D1948">
        <v>14.9</v>
      </c>
      <c r="E1948">
        <v>16</v>
      </c>
      <c r="F1948">
        <v>6.9354703125000056E-2</v>
      </c>
      <c r="G1948" t="str">
        <f t="shared" si="108"/>
        <v>Insert into BlueCreditTypeRainbow Values (22, 0, 0, 14.9, 16, 0.0693547031250001)</v>
      </c>
      <c r="N1948" s="4">
        <v>1945</v>
      </c>
      <c r="O1948" s="8">
        <f>$B$7*COUNTIF(Sheet2!$B$1:$B$132,N1948)</f>
        <v>0</v>
      </c>
      <c r="P1948" s="8">
        <f t="shared" ca="1" si="106"/>
        <v>0</v>
      </c>
      <c r="Q1948" s="8">
        <f ca="1">CEILING(R1947*(IF(N1948&lt;=IF($B$2=0,0,OFFSET(Sheet2!$B$1,Sheet1!$B$2-1,0)),$B$1/(365*100),$B$3/(365*100)))*100,1)/100</f>
        <v>73.81</v>
      </c>
      <c r="R1948" s="9">
        <f t="shared" ca="1" si="107"/>
        <v>180862.81201542928</v>
      </c>
    </row>
    <row r="1949" spans="1:18" x14ac:dyDescent="0.25">
      <c r="A1949">
        <v>22</v>
      </c>
      <c r="B1949">
        <v>0</v>
      </c>
      <c r="C1949">
        <v>0</v>
      </c>
      <c r="D1949">
        <v>14.9</v>
      </c>
      <c r="E1949">
        <v>17</v>
      </c>
      <c r="F1949">
        <v>6.5668211228364498E-2</v>
      </c>
      <c r="G1949" t="str">
        <f t="shared" si="108"/>
        <v>Insert into BlueCreditTypeRainbow Values (22, 0, 0, 14.9, 17, 0.0656682112283645)</v>
      </c>
      <c r="N1949" s="4">
        <v>1946</v>
      </c>
      <c r="O1949" s="8">
        <f>$B$7*COUNTIF(Sheet2!$B$1:$B$132,N1949)</f>
        <v>0</v>
      </c>
      <c r="P1949" s="8">
        <f t="shared" ca="1" si="106"/>
        <v>0</v>
      </c>
      <c r="Q1949" s="8">
        <f ca="1">CEILING(R1948*(IF(N1949&lt;=IF($B$2=0,0,OFFSET(Sheet2!$B$1,Sheet1!$B$2-1,0)),$B$1/(365*100),$B$3/(365*100)))*100,1)/100</f>
        <v>73.84</v>
      </c>
      <c r="R1949" s="9">
        <f t="shared" ca="1" si="107"/>
        <v>180936.65201542928</v>
      </c>
    </row>
    <row r="1950" spans="1:18" x14ac:dyDescent="0.25">
      <c r="A1950">
        <v>22</v>
      </c>
      <c r="B1950">
        <v>0</v>
      </c>
      <c r="C1950">
        <v>0</v>
      </c>
      <c r="D1950">
        <v>14.9</v>
      </c>
      <c r="E1950">
        <v>18</v>
      </c>
      <c r="F1950">
        <v>6.2393440042025086E-2</v>
      </c>
      <c r="G1950" t="str">
        <f t="shared" si="108"/>
        <v>Insert into BlueCreditTypeRainbow Values (22, 0, 0, 14.9, 18, 0.0623934400420251)</v>
      </c>
      <c r="N1950" s="4">
        <v>1947</v>
      </c>
      <c r="O1950" s="8">
        <f>$B$7*COUNTIF(Sheet2!$B$1:$B$132,N1950)</f>
        <v>0</v>
      </c>
      <c r="P1950" s="8">
        <f t="shared" ca="1" si="106"/>
        <v>0</v>
      </c>
      <c r="Q1950" s="8">
        <f ca="1">CEILING(R1949*(IF(N1950&lt;=IF($B$2=0,0,OFFSET(Sheet2!$B$1,Sheet1!$B$2-1,0)),$B$1/(365*100),$B$3/(365*100)))*100,1)/100</f>
        <v>73.87</v>
      </c>
      <c r="R1950" s="9">
        <f t="shared" ca="1" si="107"/>
        <v>181010.52201542928</v>
      </c>
    </row>
    <row r="1951" spans="1:18" x14ac:dyDescent="0.25">
      <c r="A1951">
        <v>23</v>
      </c>
      <c r="B1951">
        <v>0</v>
      </c>
      <c r="C1951">
        <v>0</v>
      </c>
      <c r="D1951">
        <v>14.9</v>
      </c>
      <c r="E1951">
        <v>9</v>
      </c>
      <c r="F1951">
        <v>0.11818305005603262</v>
      </c>
      <c r="G1951" t="str">
        <f t="shared" si="108"/>
        <v>Insert into BlueCreditTypeRainbow Values (23, 0, 0, 14.9, 9, 0.118183050056033)</v>
      </c>
      <c r="N1951" s="4">
        <v>1948</v>
      </c>
      <c r="O1951" s="8">
        <f>$B$7*COUNTIF(Sheet2!$B$1:$B$132,N1951)</f>
        <v>0</v>
      </c>
      <c r="P1951" s="8">
        <f t="shared" ca="1" si="106"/>
        <v>0</v>
      </c>
      <c r="Q1951" s="8">
        <f ca="1">CEILING(R1950*(IF(N1951&lt;=IF($B$2=0,0,OFFSET(Sheet2!$B$1,Sheet1!$B$2-1,0)),$B$1/(365*100),$B$3/(365*100)))*100,1)/100</f>
        <v>73.900000000000006</v>
      </c>
      <c r="R1951" s="9">
        <f t="shared" ca="1" si="107"/>
        <v>181084.42201542927</v>
      </c>
    </row>
    <row r="1952" spans="1:18" x14ac:dyDescent="0.25">
      <c r="A1952">
        <v>23</v>
      </c>
      <c r="B1952">
        <v>0</v>
      </c>
      <c r="C1952">
        <v>0</v>
      </c>
      <c r="D1952">
        <v>14.9</v>
      </c>
      <c r="E1952">
        <v>10</v>
      </c>
      <c r="F1952">
        <v>0.10701181100000003</v>
      </c>
      <c r="G1952" t="str">
        <f t="shared" si="108"/>
        <v>Insert into BlueCreditTypeRainbow Values (23, 0, 0, 14.9, 10, 0.107011811)</v>
      </c>
      <c r="N1952" s="4">
        <v>1949</v>
      </c>
      <c r="O1952" s="8">
        <f>$B$7*COUNTIF(Sheet2!$B$1:$B$132,N1952)</f>
        <v>0</v>
      </c>
      <c r="P1952" s="8">
        <f t="shared" ca="1" si="106"/>
        <v>0</v>
      </c>
      <c r="Q1952" s="8">
        <f ca="1">CEILING(R1951*(IF(N1952&lt;=IF($B$2=0,0,OFFSET(Sheet2!$B$1,Sheet1!$B$2-1,0)),$B$1/(365*100),$B$3/(365*100)))*100,1)/100</f>
        <v>73.930000000000007</v>
      </c>
      <c r="R1952" s="9">
        <f t="shared" ca="1" si="107"/>
        <v>181158.35201542926</v>
      </c>
    </row>
    <row r="1953" spans="1:18" x14ac:dyDescent="0.25">
      <c r="A1953">
        <v>23</v>
      </c>
      <c r="B1953">
        <v>0</v>
      </c>
      <c r="C1953">
        <v>0</v>
      </c>
      <c r="D1953">
        <v>14.9</v>
      </c>
      <c r="E1953">
        <v>11</v>
      </c>
      <c r="F1953">
        <v>9.7876378635419328E-2</v>
      </c>
      <c r="G1953" t="str">
        <f t="shared" si="108"/>
        <v>Insert into BlueCreditTypeRainbow Values (23, 0, 0, 14.9, 11, 0.0978763786354193)</v>
      </c>
      <c r="N1953" s="4">
        <v>1950</v>
      </c>
      <c r="O1953" s="8">
        <f>$B$7*COUNTIF(Sheet2!$B$1:$B$132,N1953)</f>
        <v>0</v>
      </c>
      <c r="P1953" s="8">
        <f t="shared" ca="1" si="106"/>
        <v>0</v>
      </c>
      <c r="Q1953" s="8">
        <f ca="1">CEILING(R1952*(IF(N1953&lt;=IF($B$2=0,0,OFFSET(Sheet2!$B$1,Sheet1!$B$2-1,0)),$B$1/(365*100),$B$3/(365*100)))*100,1)/100</f>
        <v>73.959999999999994</v>
      </c>
      <c r="R1953" s="9">
        <f t="shared" ca="1" si="107"/>
        <v>181232.31201542926</v>
      </c>
    </row>
    <row r="1954" spans="1:18" x14ac:dyDescent="0.25">
      <c r="A1954">
        <v>23</v>
      </c>
      <c r="B1954">
        <v>0</v>
      </c>
      <c r="C1954">
        <v>0</v>
      </c>
      <c r="D1954">
        <v>14.9</v>
      </c>
      <c r="E1954">
        <v>12</v>
      </c>
      <c r="F1954">
        <v>9.0264415833333347E-2</v>
      </c>
      <c r="G1954" t="str">
        <f t="shared" si="108"/>
        <v>Insert into BlueCreditTypeRainbow Values (23, 0, 0, 14.9, 12, 0.0902644158333333)</v>
      </c>
      <c r="N1954" s="4">
        <v>1951</v>
      </c>
      <c r="O1954" s="8">
        <f>$B$7*COUNTIF(Sheet2!$B$1:$B$132,N1954)</f>
        <v>21157.10552356458</v>
      </c>
      <c r="P1954" s="8">
        <f t="shared" ca="1" si="106"/>
        <v>21083.115523564578</v>
      </c>
      <c r="Q1954" s="8">
        <f ca="1">CEILING(R1953*(IF(N1954&lt;=IF($B$2=0,0,OFFSET(Sheet2!$B$1,Sheet1!$B$2-1,0)),$B$1/(365*100),$B$3/(365*100)))*100,1)/100</f>
        <v>73.989999999999995</v>
      </c>
      <c r="R1954" s="9">
        <f t="shared" ca="1" si="107"/>
        <v>160149.19649186466</v>
      </c>
    </row>
    <row r="1955" spans="1:18" x14ac:dyDescent="0.25">
      <c r="A1955">
        <v>23</v>
      </c>
      <c r="B1955">
        <v>0</v>
      </c>
      <c r="C1955">
        <v>0</v>
      </c>
      <c r="D1955">
        <v>14.9</v>
      </c>
      <c r="E1955">
        <v>13</v>
      </c>
      <c r="F1955">
        <v>8.382705538461542E-2</v>
      </c>
      <c r="G1955" t="str">
        <f t="shared" si="108"/>
        <v>Insert into BlueCreditTypeRainbow Values (23, 0, 0, 14.9, 13, 0.0838270553846154)</v>
      </c>
      <c r="N1955" s="4">
        <v>1952</v>
      </c>
      <c r="O1955" s="8">
        <f>$B$7*COUNTIF(Sheet2!$B$1:$B$132,N1955)</f>
        <v>0</v>
      </c>
      <c r="P1955" s="8">
        <f t="shared" ca="1" si="106"/>
        <v>0</v>
      </c>
      <c r="Q1955" s="8">
        <f ca="1">CEILING(R1954*(IF(N1955&lt;=IF($B$2=0,0,OFFSET(Sheet2!$B$1,Sheet1!$B$2-1,0)),$B$1/(365*100),$B$3/(365*100)))*100,1)/100</f>
        <v>65.38</v>
      </c>
      <c r="R1955" s="9">
        <f t="shared" ca="1" si="107"/>
        <v>160214.57649186466</v>
      </c>
    </row>
    <row r="1956" spans="1:18" x14ac:dyDescent="0.25">
      <c r="A1956">
        <v>23</v>
      </c>
      <c r="B1956">
        <v>0</v>
      </c>
      <c r="C1956">
        <v>0</v>
      </c>
      <c r="D1956">
        <v>14.9</v>
      </c>
      <c r="E1956">
        <v>14</v>
      </c>
      <c r="F1956">
        <v>7.8312300772260951E-2</v>
      </c>
      <c r="G1956" t="str">
        <f t="shared" si="108"/>
        <v>Insert into BlueCreditTypeRainbow Values (23, 0, 0, 14.9, 14, 0.078312300772261)</v>
      </c>
      <c r="N1956" s="4">
        <v>1953</v>
      </c>
      <c r="O1956" s="8">
        <f>$B$7*COUNTIF(Sheet2!$B$1:$B$132,N1956)</f>
        <v>0</v>
      </c>
      <c r="P1956" s="8">
        <f t="shared" ca="1" si="106"/>
        <v>0</v>
      </c>
      <c r="Q1956" s="8">
        <f ca="1">CEILING(R1955*(IF(N1956&lt;=IF($B$2=0,0,OFFSET(Sheet2!$B$1,Sheet1!$B$2-1,0)),$B$1/(365*100),$B$3/(365*100)))*100,1)/100</f>
        <v>65.41</v>
      </c>
      <c r="R1956" s="9">
        <f t="shared" ca="1" si="107"/>
        <v>160279.98649186466</v>
      </c>
    </row>
    <row r="1957" spans="1:18" x14ac:dyDescent="0.25">
      <c r="A1957">
        <v>23</v>
      </c>
      <c r="B1957">
        <v>0</v>
      </c>
      <c r="C1957">
        <v>0</v>
      </c>
      <c r="D1957">
        <v>14.9</v>
      </c>
      <c r="E1957">
        <v>15</v>
      </c>
      <c r="F1957">
        <v>7.3533595999999993E-2</v>
      </c>
      <c r="G1957" t="str">
        <f t="shared" si="108"/>
        <v>Insert into BlueCreditTypeRainbow Values (23, 0, 0, 14.9, 15, 0.073533596)</v>
      </c>
      <c r="N1957" s="4">
        <v>1954</v>
      </c>
      <c r="O1957" s="8">
        <f>$B$7*COUNTIF(Sheet2!$B$1:$B$132,N1957)</f>
        <v>0</v>
      </c>
      <c r="P1957" s="8">
        <f t="shared" ca="1" si="106"/>
        <v>0</v>
      </c>
      <c r="Q1957" s="8">
        <f ca="1">CEILING(R1956*(IF(N1957&lt;=IF($B$2=0,0,OFFSET(Sheet2!$B$1,Sheet1!$B$2-1,0)),$B$1/(365*100),$B$3/(365*100)))*100,1)/100</f>
        <v>65.430000000000007</v>
      </c>
      <c r="R1957" s="9">
        <f t="shared" ca="1" si="107"/>
        <v>160345.41649186466</v>
      </c>
    </row>
    <row r="1958" spans="1:18" x14ac:dyDescent="0.25">
      <c r="A1958">
        <v>23</v>
      </c>
      <c r="B1958">
        <v>0</v>
      </c>
      <c r="C1958">
        <v>0</v>
      </c>
      <c r="D1958">
        <v>14.9</v>
      </c>
      <c r="E1958">
        <v>16</v>
      </c>
      <c r="F1958">
        <v>6.9354703125000056E-2</v>
      </c>
      <c r="G1958" t="str">
        <f t="shared" si="108"/>
        <v>Insert into BlueCreditTypeRainbow Values (23, 0, 0, 14.9, 16, 0.0693547031250001)</v>
      </c>
      <c r="N1958" s="4">
        <v>1955</v>
      </c>
      <c r="O1958" s="8">
        <f>$B$7*COUNTIF(Sheet2!$B$1:$B$132,N1958)</f>
        <v>0</v>
      </c>
      <c r="P1958" s="8">
        <f t="shared" ca="1" si="106"/>
        <v>0</v>
      </c>
      <c r="Q1958" s="8">
        <f ca="1">CEILING(R1957*(IF(N1958&lt;=IF($B$2=0,0,OFFSET(Sheet2!$B$1,Sheet1!$B$2-1,0)),$B$1/(365*100),$B$3/(365*100)))*100,1)/100</f>
        <v>65.459999999999994</v>
      </c>
      <c r="R1958" s="9">
        <f t="shared" ca="1" si="107"/>
        <v>160410.87649186465</v>
      </c>
    </row>
    <row r="1959" spans="1:18" x14ac:dyDescent="0.25">
      <c r="A1959">
        <v>23</v>
      </c>
      <c r="B1959">
        <v>0</v>
      </c>
      <c r="C1959">
        <v>0</v>
      </c>
      <c r="D1959">
        <v>14.9</v>
      </c>
      <c r="E1959">
        <v>17</v>
      </c>
      <c r="F1959">
        <v>6.5668211228364498E-2</v>
      </c>
      <c r="G1959" t="str">
        <f t="shared" si="108"/>
        <v>Insert into BlueCreditTypeRainbow Values (23, 0, 0, 14.9, 17, 0.0656682112283645)</v>
      </c>
      <c r="N1959" s="4">
        <v>1956</v>
      </c>
      <c r="O1959" s="8">
        <f>$B$7*COUNTIF(Sheet2!$B$1:$B$132,N1959)</f>
        <v>0</v>
      </c>
      <c r="P1959" s="8">
        <f t="shared" ca="1" si="106"/>
        <v>0</v>
      </c>
      <c r="Q1959" s="8">
        <f ca="1">CEILING(R1958*(IF(N1959&lt;=IF($B$2=0,0,OFFSET(Sheet2!$B$1,Sheet1!$B$2-1,0)),$B$1/(365*100),$B$3/(365*100)))*100,1)/100</f>
        <v>65.489999999999995</v>
      </c>
      <c r="R1959" s="9">
        <f t="shared" ca="1" si="107"/>
        <v>160476.36649186464</v>
      </c>
    </row>
    <row r="1960" spans="1:18" x14ac:dyDescent="0.25">
      <c r="A1960">
        <v>23</v>
      </c>
      <c r="B1960">
        <v>0</v>
      </c>
      <c r="C1960">
        <v>0</v>
      </c>
      <c r="D1960">
        <v>14.9</v>
      </c>
      <c r="E1960">
        <v>18</v>
      </c>
      <c r="F1960">
        <v>6.2393440042025086E-2</v>
      </c>
      <c r="G1960" t="str">
        <f t="shared" si="108"/>
        <v>Insert into BlueCreditTypeRainbow Values (23, 0, 0, 14.9, 18, 0.0623934400420251)</v>
      </c>
      <c r="N1960" s="4">
        <v>1957</v>
      </c>
      <c r="O1960" s="8">
        <f>$B$7*COUNTIF(Sheet2!$B$1:$B$132,N1960)</f>
        <v>0</v>
      </c>
      <c r="P1960" s="8">
        <f t="shared" ca="1" si="106"/>
        <v>0</v>
      </c>
      <c r="Q1960" s="8">
        <f ca="1">CEILING(R1959*(IF(N1960&lt;=IF($B$2=0,0,OFFSET(Sheet2!$B$1,Sheet1!$B$2-1,0)),$B$1/(365*100),$B$3/(365*100)))*100,1)/100</f>
        <v>65.510000000000005</v>
      </c>
      <c r="R1960" s="9">
        <f t="shared" ca="1" si="107"/>
        <v>160541.87649186465</v>
      </c>
    </row>
    <row r="1961" spans="1:18" x14ac:dyDescent="0.25">
      <c r="A1961">
        <v>23</v>
      </c>
      <c r="B1961">
        <v>0</v>
      </c>
      <c r="C1961">
        <v>0</v>
      </c>
      <c r="D1961">
        <v>14.9</v>
      </c>
      <c r="E1961">
        <v>19</v>
      </c>
      <c r="F1961">
        <v>5.9464146799402998E-2</v>
      </c>
      <c r="G1961" t="str">
        <f t="shared" si="108"/>
        <v>Insert into BlueCreditTypeRainbow Values (23, 0, 0, 14.9, 19, 0.059464146799403)</v>
      </c>
      <c r="N1961" s="4">
        <v>1958</v>
      </c>
      <c r="O1961" s="8">
        <f>$B$7*COUNTIF(Sheet2!$B$1:$B$132,N1961)</f>
        <v>0</v>
      </c>
      <c r="P1961" s="8">
        <f t="shared" ca="1" si="106"/>
        <v>0</v>
      </c>
      <c r="Q1961" s="8">
        <f ca="1">CEILING(R1960*(IF(N1961&lt;=IF($B$2=0,0,OFFSET(Sheet2!$B$1,Sheet1!$B$2-1,0)),$B$1/(365*100),$B$3/(365*100)))*100,1)/100</f>
        <v>65.540000000000006</v>
      </c>
      <c r="R1961" s="9">
        <f t="shared" ca="1" si="107"/>
        <v>160607.41649186466</v>
      </c>
    </row>
    <row r="1962" spans="1:18" x14ac:dyDescent="0.25">
      <c r="A1962">
        <v>23</v>
      </c>
      <c r="B1962">
        <v>0</v>
      </c>
      <c r="C1962">
        <v>0</v>
      </c>
      <c r="D1962">
        <v>14.9</v>
      </c>
      <c r="E1962">
        <v>20</v>
      </c>
      <c r="F1962">
        <v>5.6828574532834339E-2</v>
      </c>
      <c r="G1962" t="str">
        <f t="shared" si="108"/>
        <v>Insert into BlueCreditTypeRainbow Values (23, 0, 0, 14.9, 20, 0.0568285745328343)</v>
      </c>
      <c r="N1962" s="4">
        <v>1959</v>
      </c>
      <c r="O1962" s="8">
        <f>$B$7*COUNTIF(Sheet2!$B$1:$B$132,N1962)</f>
        <v>0</v>
      </c>
      <c r="P1962" s="8">
        <f t="shared" ca="1" si="106"/>
        <v>0</v>
      </c>
      <c r="Q1962" s="8">
        <f ca="1">CEILING(R1961*(IF(N1962&lt;=IF($B$2=0,0,OFFSET(Sheet2!$B$1,Sheet1!$B$2-1,0)),$B$1/(365*100),$B$3/(365*100)))*100,1)/100</f>
        <v>65.569999999999993</v>
      </c>
      <c r="R1962" s="9">
        <f t="shared" ca="1" si="107"/>
        <v>160672.98649186466</v>
      </c>
    </row>
    <row r="1963" spans="1:18" x14ac:dyDescent="0.25">
      <c r="A1963">
        <v>23</v>
      </c>
      <c r="B1963">
        <v>0</v>
      </c>
      <c r="C1963">
        <v>0</v>
      </c>
      <c r="D1963">
        <v>14.9</v>
      </c>
      <c r="E1963">
        <v>21</v>
      </c>
      <c r="F1963">
        <v>5.4445778591636705E-2</v>
      </c>
      <c r="G1963" t="str">
        <f t="shared" si="108"/>
        <v>Insert into BlueCreditTypeRainbow Values (23, 0, 0, 14.9, 21, 0.0544457785916367)</v>
      </c>
      <c r="N1963" s="4">
        <v>1960</v>
      </c>
      <c r="O1963" s="8">
        <f>$B$7*COUNTIF(Sheet2!$B$1:$B$132,N1963)</f>
        <v>0</v>
      </c>
      <c r="P1963" s="8">
        <f t="shared" ca="1" si="106"/>
        <v>0</v>
      </c>
      <c r="Q1963" s="8">
        <f ca="1">CEILING(R1962*(IF(N1963&lt;=IF($B$2=0,0,OFFSET(Sheet2!$B$1,Sheet1!$B$2-1,0)),$B$1/(365*100),$B$3/(365*100)))*100,1)/100</f>
        <v>65.59</v>
      </c>
      <c r="R1963" s="9">
        <f t="shared" ca="1" si="107"/>
        <v>160738.57649186466</v>
      </c>
    </row>
    <row r="1964" spans="1:18" x14ac:dyDescent="0.25">
      <c r="A1964">
        <v>24</v>
      </c>
      <c r="B1964">
        <v>0</v>
      </c>
      <c r="C1964">
        <v>0</v>
      </c>
      <c r="D1964">
        <v>14.9</v>
      </c>
      <c r="E1964">
        <v>12</v>
      </c>
      <c r="F1964">
        <v>9.0264415902294462E-2</v>
      </c>
      <c r="G1964" t="str">
        <f t="shared" si="108"/>
        <v>Insert into BlueCreditTypeRainbow Values (24, 0, 0, 14.9, 12, 0.0902644159022945)</v>
      </c>
      <c r="N1964" s="4">
        <v>1961</v>
      </c>
      <c r="O1964" s="8">
        <f>$B$7*COUNTIF(Sheet2!$B$1:$B$132,N1964)</f>
        <v>0</v>
      </c>
      <c r="P1964" s="8">
        <f t="shared" ca="1" si="106"/>
        <v>0</v>
      </c>
      <c r="Q1964" s="8">
        <f ca="1">CEILING(R1963*(IF(N1964&lt;=IF($B$2=0,0,OFFSET(Sheet2!$B$1,Sheet1!$B$2-1,0)),$B$1/(365*100),$B$3/(365*100)))*100,1)/100</f>
        <v>65.62</v>
      </c>
      <c r="R1964" s="9">
        <f t="shared" ca="1" si="107"/>
        <v>160804.19649186466</v>
      </c>
    </row>
    <row r="1965" spans="1:18" x14ac:dyDescent="0.25">
      <c r="A1965">
        <v>24</v>
      </c>
      <c r="B1965">
        <v>0</v>
      </c>
      <c r="C1965">
        <v>0</v>
      </c>
      <c r="D1965">
        <v>14.9</v>
      </c>
      <c r="E1965">
        <v>13</v>
      </c>
      <c r="F1965">
        <v>8.3827055384615393E-2</v>
      </c>
      <c r="G1965" t="str">
        <f t="shared" si="108"/>
        <v>Insert into BlueCreditTypeRainbow Values (24, 0, 0, 14.9, 13, 0.0838270553846154)</v>
      </c>
      <c r="N1965" s="4">
        <v>1962</v>
      </c>
      <c r="O1965" s="8">
        <f>$B$7*COUNTIF(Sheet2!$B$1:$B$132,N1965)</f>
        <v>0</v>
      </c>
      <c r="P1965" s="8">
        <f t="shared" ca="1" si="106"/>
        <v>0</v>
      </c>
      <c r="Q1965" s="8">
        <f ca="1">CEILING(R1964*(IF(N1965&lt;=IF($B$2=0,0,OFFSET(Sheet2!$B$1,Sheet1!$B$2-1,0)),$B$1/(365*100),$B$3/(365*100)))*100,1)/100</f>
        <v>65.650000000000006</v>
      </c>
      <c r="R1965" s="9">
        <f t="shared" ca="1" si="107"/>
        <v>160869.84649186465</v>
      </c>
    </row>
    <row r="1966" spans="1:18" x14ac:dyDescent="0.25">
      <c r="A1966">
        <v>24</v>
      </c>
      <c r="B1966">
        <v>0</v>
      </c>
      <c r="C1966">
        <v>0</v>
      </c>
      <c r="D1966">
        <v>14.9</v>
      </c>
      <c r="E1966">
        <v>14</v>
      </c>
      <c r="F1966">
        <v>7.8312300772260951E-2</v>
      </c>
      <c r="G1966" t="str">
        <f t="shared" si="108"/>
        <v>Insert into BlueCreditTypeRainbow Values (24, 0, 0, 14.9, 14, 0.078312300772261)</v>
      </c>
      <c r="N1966" s="4">
        <v>1963</v>
      </c>
      <c r="O1966" s="8">
        <f>$B$7*COUNTIF(Sheet2!$B$1:$B$132,N1966)</f>
        <v>0</v>
      </c>
      <c r="P1966" s="8">
        <f t="shared" ca="1" si="106"/>
        <v>0</v>
      </c>
      <c r="Q1966" s="8">
        <f ca="1">CEILING(R1965*(IF(N1966&lt;=IF($B$2=0,0,OFFSET(Sheet2!$B$1,Sheet1!$B$2-1,0)),$B$1/(365*100),$B$3/(365*100)))*100,1)/100</f>
        <v>65.680000000000007</v>
      </c>
      <c r="R1966" s="9">
        <f t="shared" ca="1" si="107"/>
        <v>160935.52649186464</v>
      </c>
    </row>
    <row r="1967" spans="1:18" x14ac:dyDescent="0.25">
      <c r="A1967">
        <v>24</v>
      </c>
      <c r="B1967">
        <v>0</v>
      </c>
      <c r="C1967">
        <v>0</v>
      </c>
      <c r="D1967">
        <v>14.9</v>
      </c>
      <c r="E1967">
        <v>15</v>
      </c>
      <c r="F1967">
        <v>7.3533595999999993E-2</v>
      </c>
      <c r="G1967" t="str">
        <f t="shared" si="108"/>
        <v>Insert into BlueCreditTypeRainbow Values (24, 0, 0, 14.9, 15, 0.073533596)</v>
      </c>
      <c r="N1967" s="4">
        <v>1964</v>
      </c>
      <c r="O1967" s="8">
        <f>$B$7*COUNTIF(Sheet2!$B$1:$B$132,N1967)</f>
        <v>0</v>
      </c>
      <c r="P1967" s="8">
        <f t="shared" ca="1" si="106"/>
        <v>0</v>
      </c>
      <c r="Q1967" s="8">
        <f ca="1">CEILING(R1966*(IF(N1967&lt;=IF($B$2=0,0,OFFSET(Sheet2!$B$1,Sheet1!$B$2-1,0)),$B$1/(365*100),$B$3/(365*100)))*100,1)/100</f>
        <v>65.7</v>
      </c>
      <c r="R1967" s="9">
        <f t="shared" ca="1" si="107"/>
        <v>161001.22649186465</v>
      </c>
    </row>
    <row r="1968" spans="1:18" x14ac:dyDescent="0.25">
      <c r="A1968">
        <v>24</v>
      </c>
      <c r="B1968">
        <v>0</v>
      </c>
      <c r="C1968">
        <v>0</v>
      </c>
      <c r="D1968">
        <v>14.9</v>
      </c>
      <c r="E1968">
        <v>16</v>
      </c>
      <c r="F1968">
        <v>6.9354703125000056E-2</v>
      </c>
      <c r="G1968" t="str">
        <f t="shared" si="108"/>
        <v>Insert into BlueCreditTypeRainbow Values (24, 0, 0, 14.9, 16, 0.0693547031250001)</v>
      </c>
      <c r="N1968" s="4">
        <v>1965</v>
      </c>
      <c r="O1968" s="8">
        <f>$B$7*COUNTIF(Sheet2!$B$1:$B$132,N1968)</f>
        <v>0</v>
      </c>
      <c r="P1968" s="8">
        <f t="shared" ca="1" si="106"/>
        <v>0</v>
      </c>
      <c r="Q1968" s="8">
        <f ca="1">CEILING(R1967*(IF(N1968&lt;=IF($B$2=0,0,OFFSET(Sheet2!$B$1,Sheet1!$B$2-1,0)),$B$1/(365*100),$B$3/(365*100)))*100,1)/100</f>
        <v>65.73</v>
      </c>
      <c r="R1968" s="9">
        <f t="shared" ca="1" si="107"/>
        <v>161066.95649186466</v>
      </c>
    </row>
    <row r="1969" spans="1:18" x14ac:dyDescent="0.25">
      <c r="A1969">
        <v>24</v>
      </c>
      <c r="B1969">
        <v>0</v>
      </c>
      <c r="C1969">
        <v>0</v>
      </c>
      <c r="D1969">
        <v>14.9</v>
      </c>
      <c r="E1969">
        <v>17</v>
      </c>
      <c r="F1969">
        <v>6.5668211228364498E-2</v>
      </c>
      <c r="G1969" t="str">
        <f t="shared" si="108"/>
        <v>Insert into BlueCreditTypeRainbow Values (24, 0, 0, 14.9, 17, 0.0656682112283645)</v>
      </c>
      <c r="N1969" s="4">
        <v>1966</v>
      </c>
      <c r="O1969" s="8">
        <f>$B$7*COUNTIF(Sheet2!$B$1:$B$132,N1969)</f>
        <v>0</v>
      </c>
      <c r="P1969" s="8">
        <f t="shared" ca="1" si="106"/>
        <v>0</v>
      </c>
      <c r="Q1969" s="8">
        <f ca="1">CEILING(R1968*(IF(N1969&lt;=IF($B$2=0,0,OFFSET(Sheet2!$B$1,Sheet1!$B$2-1,0)),$B$1/(365*100),$B$3/(365*100)))*100,1)/100</f>
        <v>65.760000000000005</v>
      </c>
      <c r="R1969" s="9">
        <f t="shared" ca="1" si="107"/>
        <v>161132.71649186467</v>
      </c>
    </row>
    <row r="1970" spans="1:18" x14ac:dyDescent="0.25">
      <c r="A1970">
        <v>24</v>
      </c>
      <c r="B1970">
        <v>0</v>
      </c>
      <c r="C1970">
        <v>0</v>
      </c>
      <c r="D1970">
        <v>14.9</v>
      </c>
      <c r="E1970">
        <v>18</v>
      </c>
      <c r="F1970">
        <v>6.2393440042025086E-2</v>
      </c>
      <c r="G1970" t="str">
        <f t="shared" si="108"/>
        <v>Insert into BlueCreditTypeRainbow Values (24, 0, 0, 14.9, 18, 0.0623934400420251)</v>
      </c>
      <c r="N1970" s="4">
        <v>1967</v>
      </c>
      <c r="O1970" s="8">
        <f>$B$7*COUNTIF(Sheet2!$B$1:$B$132,N1970)</f>
        <v>0</v>
      </c>
      <c r="P1970" s="8">
        <f t="shared" ca="1" si="106"/>
        <v>0</v>
      </c>
      <c r="Q1970" s="8">
        <f ca="1">CEILING(R1969*(IF(N1970&lt;=IF($B$2=0,0,OFFSET(Sheet2!$B$1,Sheet1!$B$2-1,0)),$B$1/(365*100),$B$3/(365*100)))*100,1)/100</f>
        <v>65.78</v>
      </c>
      <c r="R1970" s="9">
        <f t="shared" ca="1" si="107"/>
        <v>161198.49649186467</v>
      </c>
    </row>
    <row r="1971" spans="1:18" x14ac:dyDescent="0.25">
      <c r="A1971">
        <v>24</v>
      </c>
      <c r="B1971">
        <v>0</v>
      </c>
      <c r="C1971">
        <v>0</v>
      </c>
      <c r="D1971">
        <v>14.9</v>
      </c>
      <c r="E1971">
        <v>19</v>
      </c>
      <c r="F1971">
        <v>5.9464146799402998E-2</v>
      </c>
      <c r="G1971" t="str">
        <f t="shared" si="108"/>
        <v>Insert into BlueCreditTypeRainbow Values (24, 0, 0, 14.9, 19, 0.059464146799403)</v>
      </c>
      <c r="N1971" s="4">
        <v>1968</v>
      </c>
      <c r="O1971" s="8">
        <f>$B$7*COUNTIF(Sheet2!$B$1:$B$132,N1971)</f>
        <v>0</v>
      </c>
      <c r="P1971" s="8">
        <f t="shared" ca="1" si="106"/>
        <v>0</v>
      </c>
      <c r="Q1971" s="8">
        <f ca="1">CEILING(R1970*(IF(N1971&lt;=IF($B$2=0,0,OFFSET(Sheet2!$B$1,Sheet1!$B$2-1,0)),$B$1/(365*100),$B$3/(365*100)))*100,1)/100</f>
        <v>65.81</v>
      </c>
      <c r="R1971" s="9">
        <f t="shared" ca="1" si="107"/>
        <v>161264.30649186467</v>
      </c>
    </row>
    <row r="1972" spans="1:18" x14ac:dyDescent="0.25">
      <c r="A1972">
        <v>24</v>
      </c>
      <c r="B1972">
        <v>0</v>
      </c>
      <c r="C1972">
        <v>0</v>
      </c>
      <c r="D1972">
        <v>14.9</v>
      </c>
      <c r="E1972">
        <v>20</v>
      </c>
      <c r="F1972">
        <v>5.6828574532834339E-2</v>
      </c>
      <c r="G1972" t="str">
        <f t="shared" si="108"/>
        <v>Insert into BlueCreditTypeRainbow Values (24, 0, 0, 14.9, 20, 0.0568285745328343)</v>
      </c>
      <c r="N1972" s="4">
        <v>1969</v>
      </c>
      <c r="O1972" s="8">
        <f>$B$7*COUNTIF(Sheet2!$B$1:$B$132,N1972)</f>
        <v>0</v>
      </c>
      <c r="P1972" s="8">
        <f t="shared" ca="1" si="106"/>
        <v>0</v>
      </c>
      <c r="Q1972" s="8">
        <f ca="1">CEILING(R1971*(IF(N1972&lt;=IF($B$2=0,0,OFFSET(Sheet2!$B$1,Sheet1!$B$2-1,0)),$B$1/(365*100),$B$3/(365*100)))*100,1)/100</f>
        <v>65.84</v>
      </c>
      <c r="R1972" s="9">
        <f t="shared" ca="1" si="107"/>
        <v>161330.14649186467</v>
      </c>
    </row>
    <row r="1973" spans="1:18" x14ac:dyDescent="0.25">
      <c r="A1973">
        <v>24</v>
      </c>
      <c r="B1973">
        <v>0</v>
      </c>
      <c r="C1973">
        <v>0</v>
      </c>
      <c r="D1973">
        <v>14.9</v>
      </c>
      <c r="E1973">
        <v>21</v>
      </c>
      <c r="F1973">
        <v>5.4445778591636705E-2</v>
      </c>
      <c r="G1973" t="str">
        <f t="shared" si="108"/>
        <v>Insert into BlueCreditTypeRainbow Values (24, 0, 0, 14.9, 21, 0.0544457785916367)</v>
      </c>
      <c r="N1973" s="4">
        <v>1970</v>
      </c>
      <c r="O1973" s="8">
        <f>$B$7*COUNTIF(Sheet2!$B$1:$B$132,N1973)</f>
        <v>0</v>
      </c>
      <c r="P1973" s="8">
        <f t="shared" ca="1" si="106"/>
        <v>0</v>
      </c>
      <c r="Q1973" s="8">
        <f ca="1">CEILING(R1972*(IF(N1973&lt;=IF($B$2=0,0,OFFSET(Sheet2!$B$1,Sheet1!$B$2-1,0)),$B$1/(365*100),$B$3/(365*100)))*100,1)/100</f>
        <v>65.86</v>
      </c>
      <c r="R1973" s="9">
        <f t="shared" ca="1" si="107"/>
        <v>161396.00649186465</v>
      </c>
    </row>
    <row r="1974" spans="1:18" x14ac:dyDescent="0.25">
      <c r="A1974">
        <v>24</v>
      </c>
      <c r="B1974">
        <v>0</v>
      </c>
      <c r="C1974">
        <v>0</v>
      </c>
      <c r="D1974">
        <v>14.9</v>
      </c>
      <c r="E1974">
        <v>22</v>
      </c>
      <c r="F1974">
        <v>5.2280354090909163E-2</v>
      </c>
      <c r="G1974" t="str">
        <f t="shared" si="108"/>
        <v>Insert into BlueCreditTypeRainbow Values (24, 0, 0, 14.9, 22, 0.0522803540909092)</v>
      </c>
      <c r="N1974" s="4">
        <v>1971</v>
      </c>
      <c r="O1974" s="8">
        <f>$B$7*COUNTIF(Sheet2!$B$1:$B$132,N1974)</f>
        <v>0</v>
      </c>
      <c r="P1974" s="8">
        <f t="shared" ca="1" si="106"/>
        <v>0</v>
      </c>
      <c r="Q1974" s="8">
        <f ca="1">CEILING(R1973*(IF(N1974&lt;=IF($B$2=0,0,OFFSET(Sheet2!$B$1,Sheet1!$B$2-1,0)),$B$1/(365*100),$B$3/(365*100)))*100,1)/100</f>
        <v>65.89</v>
      </c>
      <c r="R1974" s="9">
        <f t="shared" ca="1" si="107"/>
        <v>161461.89649186467</v>
      </c>
    </row>
    <row r="1975" spans="1:18" x14ac:dyDescent="0.25">
      <c r="A1975">
        <v>24</v>
      </c>
      <c r="B1975">
        <v>0</v>
      </c>
      <c r="C1975">
        <v>0</v>
      </c>
      <c r="D1975">
        <v>14.9</v>
      </c>
      <c r="E1975">
        <v>23</v>
      </c>
      <c r="F1975">
        <v>5.0304788260869586E-2</v>
      </c>
      <c r="G1975" t="str">
        <f t="shared" si="108"/>
        <v>Insert into BlueCreditTypeRainbow Values (24, 0, 0, 14.9, 23, 0.0503047882608696)</v>
      </c>
      <c r="N1975" s="4">
        <v>1972</v>
      </c>
      <c r="O1975" s="8">
        <f>$B$7*COUNTIF(Sheet2!$B$1:$B$132,N1975)</f>
        <v>0</v>
      </c>
      <c r="P1975" s="8">
        <f t="shared" ca="1" si="106"/>
        <v>0</v>
      </c>
      <c r="Q1975" s="8">
        <f ca="1">CEILING(R1974*(IF(N1975&lt;=IF($B$2=0,0,OFFSET(Sheet2!$B$1,Sheet1!$B$2-1,0)),$B$1/(365*100),$B$3/(365*100)))*100,1)/100</f>
        <v>65.92</v>
      </c>
      <c r="R1975" s="9">
        <f t="shared" ca="1" si="107"/>
        <v>161527.81649186468</v>
      </c>
    </row>
    <row r="1976" spans="1:18" x14ac:dyDescent="0.25">
      <c r="A1976">
        <v>24</v>
      </c>
      <c r="B1976">
        <v>0</v>
      </c>
      <c r="C1976">
        <v>0</v>
      </c>
      <c r="D1976">
        <v>14.9</v>
      </c>
      <c r="E1976">
        <v>24</v>
      </c>
      <c r="F1976">
        <v>4.8494577997977864E-2</v>
      </c>
      <c r="G1976" t="str">
        <f t="shared" si="108"/>
        <v>Insert into BlueCreditTypeRainbow Values (24, 0, 0, 14.9, 24, 0.0484945779979779)</v>
      </c>
      <c r="N1976" s="4">
        <v>1973</v>
      </c>
      <c r="O1976" s="8">
        <f>$B$7*COUNTIF(Sheet2!$B$1:$B$132,N1976)</f>
        <v>0</v>
      </c>
      <c r="P1976" s="8">
        <f t="shared" ca="1" si="106"/>
        <v>0</v>
      </c>
      <c r="Q1976" s="8">
        <f ca="1">CEILING(R1975*(IF(N1976&lt;=IF($B$2=0,0,OFFSET(Sheet2!$B$1,Sheet1!$B$2-1,0)),$B$1/(365*100),$B$3/(365*100)))*100,1)/100</f>
        <v>65.94</v>
      </c>
      <c r="R1976" s="9">
        <f t="shared" ca="1" si="107"/>
        <v>161593.75649186468</v>
      </c>
    </row>
    <row r="1977" spans="1:18" x14ac:dyDescent="0.25">
      <c r="A1977">
        <v>25</v>
      </c>
      <c r="B1977">
        <v>0</v>
      </c>
      <c r="C1977">
        <v>0</v>
      </c>
      <c r="D1977">
        <v>14.9</v>
      </c>
      <c r="E1977">
        <v>18</v>
      </c>
      <c r="F1977">
        <v>6.2393440000000071E-2</v>
      </c>
      <c r="G1977" t="str">
        <f t="shared" si="108"/>
        <v>Insert into BlueCreditTypeRainbow Values (25, 0, 0, 14.9, 18, 0.0623934400000001)</v>
      </c>
      <c r="N1977" s="4">
        <v>1974</v>
      </c>
      <c r="O1977" s="8">
        <f>$B$7*COUNTIF(Sheet2!$B$1:$B$132,N1977)</f>
        <v>0</v>
      </c>
      <c r="P1977" s="8">
        <f t="shared" ca="1" si="106"/>
        <v>0</v>
      </c>
      <c r="Q1977" s="8">
        <f ca="1">CEILING(R1976*(IF(N1977&lt;=IF($B$2=0,0,OFFSET(Sheet2!$B$1,Sheet1!$B$2-1,0)),$B$1/(365*100),$B$3/(365*100)))*100,1)/100</f>
        <v>65.97</v>
      </c>
      <c r="R1977" s="9">
        <f t="shared" ca="1" si="107"/>
        <v>161659.72649186468</v>
      </c>
    </row>
    <row r="1978" spans="1:18" x14ac:dyDescent="0.25">
      <c r="A1978">
        <v>25</v>
      </c>
      <c r="B1978">
        <v>0</v>
      </c>
      <c r="C1978">
        <v>0</v>
      </c>
      <c r="D1978">
        <v>14.9</v>
      </c>
      <c r="E1978">
        <v>19</v>
      </c>
      <c r="F1978">
        <v>5.9464146285461095E-2</v>
      </c>
      <c r="G1978" t="str">
        <f t="shared" si="108"/>
        <v>Insert into BlueCreditTypeRainbow Values (25, 0, 0, 14.9, 19, 0.0594641462854611)</v>
      </c>
      <c r="N1978" s="4">
        <v>1975</v>
      </c>
      <c r="O1978" s="8">
        <f>$B$7*COUNTIF(Sheet2!$B$1:$B$132,N1978)</f>
        <v>0</v>
      </c>
      <c r="P1978" s="8">
        <f t="shared" ca="1" si="106"/>
        <v>0</v>
      </c>
      <c r="Q1978" s="8">
        <f ca="1">CEILING(R1977*(IF(N1978&lt;=IF($B$2=0,0,OFFSET(Sheet2!$B$1,Sheet1!$B$2-1,0)),$B$1/(365*100),$B$3/(365*100)))*100,1)/100</f>
        <v>66</v>
      </c>
      <c r="R1978" s="9">
        <f t="shared" ca="1" si="107"/>
        <v>161725.72649186468</v>
      </c>
    </row>
    <row r="1979" spans="1:18" x14ac:dyDescent="0.25">
      <c r="A1979">
        <v>25</v>
      </c>
      <c r="B1979">
        <v>0</v>
      </c>
      <c r="C1979">
        <v>0</v>
      </c>
      <c r="D1979">
        <v>14.9</v>
      </c>
      <c r="E1979">
        <v>20</v>
      </c>
      <c r="F1979">
        <v>5.6828574532659548E-2</v>
      </c>
      <c r="G1979" t="str">
        <f t="shared" si="108"/>
        <v>Insert into BlueCreditTypeRainbow Values (25, 0, 0, 14.9, 20, 0.0568285745326595)</v>
      </c>
      <c r="N1979" s="4">
        <v>1976</v>
      </c>
      <c r="O1979" s="8">
        <f>$B$7*COUNTIF(Sheet2!$B$1:$B$132,N1979)</f>
        <v>0</v>
      </c>
      <c r="P1979" s="8">
        <f t="shared" ca="1" si="106"/>
        <v>0</v>
      </c>
      <c r="Q1979" s="8">
        <f ca="1">CEILING(R1978*(IF(N1979&lt;=IF($B$2=0,0,OFFSET(Sheet2!$B$1,Sheet1!$B$2-1,0)),$B$1/(365*100),$B$3/(365*100)))*100,1)/100</f>
        <v>66.02</v>
      </c>
      <c r="R1979" s="9">
        <f t="shared" ca="1" si="107"/>
        <v>161791.74649186467</v>
      </c>
    </row>
    <row r="1980" spans="1:18" x14ac:dyDescent="0.25">
      <c r="A1980">
        <v>25</v>
      </c>
      <c r="B1980">
        <v>0</v>
      </c>
      <c r="C1980">
        <v>0</v>
      </c>
      <c r="D1980">
        <v>14.9</v>
      </c>
      <c r="E1980">
        <v>21</v>
      </c>
      <c r="F1980">
        <v>5.4445778591636504E-2</v>
      </c>
      <c r="G1980" t="str">
        <f t="shared" si="108"/>
        <v>Insert into BlueCreditTypeRainbow Values (25, 0, 0, 14.9, 21, 0.0544457785916365)</v>
      </c>
      <c r="N1980" s="4">
        <v>1977</v>
      </c>
      <c r="O1980" s="8">
        <f>$B$7*COUNTIF(Sheet2!$B$1:$B$132,N1980)</f>
        <v>0</v>
      </c>
      <c r="P1980" s="8">
        <f t="shared" ca="1" si="106"/>
        <v>0</v>
      </c>
      <c r="Q1980" s="8">
        <f ca="1">CEILING(R1979*(IF(N1980&lt;=IF($B$2=0,0,OFFSET(Sheet2!$B$1,Sheet1!$B$2-1,0)),$B$1/(365*100),$B$3/(365*100)))*100,1)/100</f>
        <v>66.05</v>
      </c>
      <c r="R1980" s="9">
        <f t="shared" ca="1" si="107"/>
        <v>161857.79649186466</v>
      </c>
    </row>
    <row r="1981" spans="1:18" x14ac:dyDescent="0.25">
      <c r="A1981">
        <v>25</v>
      </c>
      <c r="B1981">
        <v>0</v>
      </c>
      <c r="C1981">
        <v>0</v>
      </c>
      <c r="D1981">
        <v>14.9</v>
      </c>
      <c r="E1981">
        <v>22</v>
      </c>
      <c r="F1981">
        <v>5.2280354126887731E-2</v>
      </c>
      <c r="G1981" t="str">
        <f t="shared" si="108"/>
        <v>Insert into BlueCreditTypeRainbow Values (25, 0, 0, 14.9, 22, 0.0522803541268877)</v>
      </c>
      <c r="N1981" s="4">
        <v>1978</v>
      </c>
      <c r="O1981" s="8">
        <f>$B$7*COUNTIF(Sheet2!$B$1:$B$132,N1981)</f>
        <v>0</v>
      </c>
      <c r="P1981" s="8">
        <f t="shared" ca="1" si="106"/>
        <v>0</v>
      </c>
      <c r="Q1981" s="8">
        <f ca="1">CEILING(R1980*(IF(N1981&lt;=IF($B$2=0,0,OFFSET(Sheet2!$B$1,Sheet1!$B$2-1,0)),$B$1/(365*100),$B$3/(365*100)))*100,1)/100</f>
        <v>66.08</v>
      </c>
      <c r="R1981" s="9">
        <f t="shared" ca="1" si="107"/>
        <v>161923.87649186465</v>
      </c>
    </row>
    <row r="1982" spans="1:18" x14ac:dyDescent="0.25">
      <c r="A1982">
        <v>25</v>
      </c>
      <c r="B1982">
        <v>0</v>
      </c>
      <c r="C1982">
        <v>0</v>
      </c>
      <c r="D1982">
        <v>14.9</v>
      </c>
      <c r="E1982">
        <v>23</v>
      </c>
      <c r="F1982">
        <v>5.0304788260869593E-2</v>
      </c>
      <c r="G1982" t="str">
        <f t="shared" si="108"/>
        <v>Insert into BlueCreditTypeRainbow Values (25, 0, 0, 14.9, 23, 0.0503047882608696)</v>
      </c>
      <c r="N1982" s="4">
        <v>1979</v>
      </c>
      <c r="O1982" s="8">
        <f>$B$7*COUNTIF(Sheet2!$B$1:$B$132,N1982)</f>
        <v>0</v>
      </c>
      <c r="P1982" s="8">
        <f t="shared" ca="1" si="106"/>
        <v>0</v>
      </c>
      <c r="Q1982" s="8">
        <f ca="1">CEILING(R1981*(IF(N1982&lt;=IF($B$2=0,0,OFFSET(Sheet2!$B$1,Sheet1!$B$2-1,0)),$B$1/(365*100),$B$3/(365*100)))*100,1)/100</f>
        <v>66.11</v>
      </c>
      <c r="R1982" s="9">
        <f t="shared" ca="1" si="107"/>
        <v>161989.98649186463</v>
      </c>
    </row>
    <row r="1983" spans="1:18" x14ac:dyDescent="0.25">
      <c r="A1983">
        <v>25</v>
      </c>
      <c r="B1983">
        <v>0</v>
      </c>
      <c r="C1983">
        <v>0</v>
      </c>
      <c r="D1983">
        <v>14.9</v>
      </c>
      <c r="E1983">
        <v>24</v>
      </c>
      <c r="F1983">
        <v>4.8494577997977864E-2</v>
      </c>
      <c r="G1983" t="str">
        <f t="shared" si="108"/>
        <v>Insert into BlueCreditTypeRainbow Values (25, 0, 0, 14.9, 24, 0.0484945779979779)</v>
      </c>
      <c r="N1983" s="4">
        <v>1980</v>
      </c>
      <c r="O1983" s="8">
        <f>$B$7*COUNTIF(Sheet2!$B$1:$B$132,N1983)</f>
        <v>0</v>
      </c>
      <c r="P1983" s="8">
        <f t="shared" ref="P1983:P2046" ca="1" si="109">IF(O1983-Q1983&gt; 0, O1983-Q1983, 0)</f>
        <v>0</v>
      </c>
      <c r="Q1983" s="8">
        <f ca="1">CEILING(R1982*(IF(N1983&lt;=IF($B$2=0,0,OFFSET(Sheet2!$B$1,Sheet1!$B$2-1,0)),$B$1/(365*100),$B$3/(365*100)))*100,1)/100</f>
        <v>66.13</v>
      </c>
      <c r="R1983" s="9">
        <f t="shared" ref="R1983:R2046" ca="1" si="110">R1982+Q1983-O1983</f>
        <v>162056.11649186464</v>
      </c>
    </row>
    <row r="1984" spans="1:18" x14ac:dyDescent="0.25">
      <c r="A1984">
        <v>25</v>
      </c>
      <c r="B1984">
        <v>0</v>
      </c>
      <c r="C1984">
        <v>0</v>
      </c>
      <c r="D1984">
        <v>14.9</v>
      </c>
      <c r="E1984">
        <v>25</v>
      </c>
      <c r="F1984">
        <v>4.6830578655964905E-2</v>
      </c>
      <c r="G1984" t="str">
        <f t="shared" si="108"/>
        <v>Insert into BlueCreditTypeRainbow Values (25, 0, 0, 14.9, 25, 0.0468305786559649)</v>
      </c>
      <c r="N1984" s="4">
        <v>1981</v>
      </c>
      <c r="O1984" s="8">
        <f>$B$7*COUNTIF(Sheet2!$B$1:$B$132,N1984)</f>
        <v>21157.10552356458</v>
      </c>
      <c r="P1984" s="8">
        <f t="shared" ca="1" si="109"/>
        <v>21090.94552356458</v>
      </c>
      <c r="Q1984" s="8">
        <f ca="1">CEILING(R1983*(IF(N1984&lt;=IF($B$2=0,0,OFFSET(Sheet2!$B$1,Sheet1!$B$2-1,0)),$B$1/(365*100),$B$3/(365*100)))*100,1)/100</f>
        <v>66.16</v>
      </c>
      <c r="R1984" s="9">
        <f t="shared" ca="1" si="110"/>
        <v>140965.17096830005</v>
      </c>
    </row>
    <row r="1985" spans="1:18" x14ac:dyDescent="0.25">
      <c r="A1985">
        <v>25</v>
      </c>
      <c r="B1985">
        <v>0</v>
      </c>
      <c r="C1985">
        <v>0</v>
      </c>
      <c r="D1985">
        <v>14.9</v>
      </c>
      <c r="E1985">
        <v>26</v>
      </c>
      <c r="F1985">
        <v>4.5295867730531687E-2</v>
      </c>
      <c r="G1985" t="str">
        <f t="shared" si="108"/>
        <v>Insert into BlueCreditTypeRainbow Values (25, 0, 0, 14.9, 26, 0.0452958677305317)</v>
      </c>
      <c r="N1985" s="4">
        <v>1982</v>
      </c>
      <c r="O1985" s="8">
        <f>$B$7*COUNTIF(Sheet2!$B$1:$B$132,N1985)</f>
        <v>0</v>
      </c>
      <c r="P1985" s="8">
        <f t="shared" ca="1" si="109"/>
        <v>0</v>
      </c>
      <c r="Q1985" s="8">
        <f ca="1">CEILING(R1984*(IF(N1985&lt;=IF($B$2=0,0,OFFSET(Sheet2!$B$1,Sheet1!$B$2-1,0)),$B$1/(365*100),$B$3/(365*100)))*100,1)/100</f>
        <v>57.55</v>
      </c>
      <c r="R1985" s="9">
        <f t="shared" ca="1" si="110"/>
        <v>141022.72096830004</v>
      </c>
    </row>
    <row r="1986" spans="1:18" x14ac:dyDescent="0.25">
      <c r="A1986">
        <v>25</v>
      </c>
      <c r="B1986">
        <v>0</v>
      </c>
      <c r="C1986">
        <v>0</v>
      </c>
      <c r="D1986">
        <v>14.9</v>
      </c>
      <c r="E1986">
        <v>27</v>
      </c>
      <c r="F1986">
        <v>4.3875503718466352E-2</v>
      </c>
      <c r="G1986" t="str">
        <f t="shared" si="108"/>
        <v>Insert into BlueCreditTypeRainbow Values (25, 0, 0, 14.9, 27, 0.0438755037184664)</v>
      </c>
      <c r="N1986" s="4">
        <v>1983</v>
      </c>
      <c r="O1986" s="8">
        <f>$B$7*COUNTIF(Sheet2!$B$1:$B$132,N1986)</f>
        <v>0</v>
      </c>
      <c r="P1986" s="8">
        <f t="shared" ca="1" si="109"/>
        <v>0</v>
      </c>
      <c r="Q1986" s="8">
        <f ca="1">CEILING(R1985*(IF(N1986&lt;=IF($B$2=0,0,OFFSET(Sheet2!$B$1,Sheet1!$B$2-1,0)),$B$1/(365*100),$B$3/(365*100)))*100,1)/100</f>
        <v>57.57</v>
      </c>
      <c r="R1986" s="9">
        <f t="shared" ca="1" si="110"/>
        <v>141080.29096830005</v>
      </c>
    </row>
    <row r="1987" spans="1:18" x14ac:dyDescent="0.25">
      <c r="A1987">
        <v>25</v>
      </c>
      <c r="B1987">
        <v>0</v>
      </c>
      <c r="C1987">
        <v>0</v>
      </c>
      <c r="D1987">
        <v>14.9</v>
      </c>
      <c r="E1987">
        <v>28</v>
      </c>
      <c r="F1987">
        <v>4.2557778214285691E-2</v>
      </c>
      <c r="G1987" t="str">
        <f t="shared" si="108"/>
        <v>Insert into BlueCreditTypeRainbow Values (25, 0, 0, 14.9, 28, 0.0425577782142857)</v>
      </c>
      <c r="N1987" s="4">
        <v>1984</v>
      </c>
      <c r="O1987" s="8">
        <f>$B$7*COUNTIF(Sheet2!$B$1:$B$132,N1987)</f>
        <v>0</v>
      </c>
      <c r="P1987" s="8">
        <f t="shared" ca="1" si="109"/>
        <v>0</v>
      </c>
      <c r="Q1987" s="8">
        <f ca="1">CEILING(R1986*(IF(N1987&lt;=IF($B$2=0,0,OFFSET(Sheet2!$B$1,Sheet1!$B$2-1,0)),$B$1/(365*100),$B$3/(365*100)))*100,1)/100</f>
        <v>57.6</v>
      </c>
      <c r="R1987" s="9">
        <f t="shared" ca="1" si="110"/>
        <v>141137.89096830005</v>
      </c>
    </row>
    <row r="1988" spans="1:18" x14ac:dyDescent="0.25">
      <c r="A1988">
        <v>25</v>
      </c>
      <c r="B1988">
        <v>0</v>
      </c>
      <c r="C1988">
        <v>0</v>
      </c>
      <c r="D1988">
        <v>14.9</v>
      </c>
      <c r="E1988">
        <v>29</v>
      </c>
      <c r="F1988">
        <v>4.1331559343646553E-2</v>
      </c>
      <c r="G1988" t="str">
        <f t="shared" si="108"/>
        <v>Insert into BlueCreditTypeRainbow Values (25, 0, 0, 14.9, 29, 0.0413315593436466)</v>
      </c>
      <c r="N1988" s="4">
        <v>1985</v>
      </c>
      <c r="O1988" s="8">
        <f>$B$7*COUNTIF(Sheet2!$B$1:$B$132,N1988)</f>
        <v>0</v>
      </c>
      <c r="P1988" s="8">
        <f t="shared" ca="1" si="109"/>
        <v>0</v>
      </c>
      <c r="Q1988" s="8">
        <f ca="1">CEILING(R1987*(IF(N1988&lt;=IF($B$2=0,0,OFFSET(Sheet2!$B$1,Sheet1!$B$2-1,0)),$B$1/(365*100),$B$3/(365*100)))*100,1)/100</f>
        <v>57.62</v>
      </c>
      <c r="R1988" s="9">
        <f t="shared" ca="1" si="110"/>
        <v>141195.51096830005</v>
      </c>
    </row>
    <row r="1989" spans="1:18" x14ac:dyDescent="0.25">
      <c r="A1989">
        <v>25</v>
      </c>
      <c r="B1989">
        <v>0</v>
      </c>
      <c r="C1989">
        <v>0</v>
      </c>
      <c r="D1989">
        <v>14.9</v>
      </c>
      <c r="E1989">
        <v>30</v>
      </c>
      <c r="F1989">
        <v>4.0188174014813678E-2</v>
      </c>
      <c r="G1989" t="str">
        <f t="shared" si="108"/>
        <v>Insert into BlueCreditTypeRainbow Values (25, 0, 0, 14.9, 30, 0.0401881740148137)</v>
      </c>
      <c r="N1989" s="4">
        <v>1986</v>
      </c>
      <c r="O1989" s="8">
        <f>$B$7*COUNTIF(Sheet2!$B$1:$B$132,N1989)</f>
        <v>0</v>
      </c>
      <c r="P1989" s="8">
        <f t="shared" ca="1" si="109"/>
        <v>0</v>
      </c>
      <c r="Q1989" s="8">
        <f ca="1">CEILING(R1988*(IF(N1989&lt;=IF($B$2=0,0,OFFSET(Sheet2!$B$1,Sheet1!$B$2-1,0)),$B$1/(365*100),$B$3/(365*100)))*100,1)/100</f>
        <v>57.64</v>
      </c>
      <c r="R1989" s="9">
        <f t="shared" ca="1" si="110"/>
        <v>141253.15096830006</v>
      </c>
    </row>
    <row r="1990" spans="1:18" x14ac:dyDescent="0.25">
      <c r="A1990">
        <v>26</v>
      </c>
      <c r="B1990">
        <v>0</v>
      </c>
      <c r="C1990">
        <v>0</v>
      </c>
      <c r="D1990">
        <v>14.9</v>
      </c>
      <c r="E1990">
        <v>24</v>
      </c>
      <c r="F1990">
        <v>4.8494577988667548E-2</v>
      </c>
      <c r="G1990" t="str">
        <f t="shared" si="108"/>
        <v>Insert into BlueCreditTypeRainbow Values (26, 0, 0, 14.9, 24, 0.0484945779886675)</v>
      </c>
      <c r="N1990" s="4">
        <v>1987</v>
      </c>
      <c r="O1990" s="8">
        <f>$B$7*COUNTIF(Sheet2!$B$1:$B$132,N1990)</f>
        <v>0</v>
      </c>
      <c r="P1990" s="8">
        <f t="shared" ca="1" si="109"/>
        <v>0</v>
      </c>
      <c r="Q1990" s="8">
        <f ca="1">CEILING(R1989*(IF(N1990&lt;=IF($B$2=0,0,OFFSET(Sheet2!$B$1,Sheet1!$B$2-1,0)),$B$1/(365*100),$B$3/(365*100)))*100,1)/100</f>
        <v>57.67</v>
      </c>
      <c r="R1990" s="9">
        <f t="shared" ca="1" si="110"/>
        <v>141310.82096830008</v>
      </c>
    </row>
    <row r="1991" spans="1:18" x14ac:dyDescent="0.25">
      <c r="A1991">
        <v>26</v>
      </c>
      <c r="B1991">
        <v>0</v>
      </c>
      <c r="C1991">
        <v>0</v>
      </c>
      <c r="D1991">
        <v>14.9</v>
      </c>
      <c r="E1991">
        <v>25</v>
      </c>
      <c r="F1991">
        <v>4.6830578611030071E-2</v>
      </c>
      <c r="G1991" t="str">
        <f t="shared" si="108"/>
        <v>Insert into BlueCreditTypeRainbow Values (26, 0, 0, 14.9, 25, 0.0468305786110301)</v>
      </c>
      <c r="N1991" s="4">
        <v>1988</v>
      </c>
      <c r="O1991" s="8">
        <f>$B$7*COUNTIF(Sheet2!$B$1:$B$132,N1991)</f>
        <v>0</v>
      </c>
      <c r="P1991" s="8">
        <f t="shared" ca="1" si="109"/>
        <v>0</v>
      </c>
      <c r="Q1991" s="8">
        <f ca="1">CEILING(R1990*(IF(N1991&lt;=IF($B$2=0,0,OFFSET(Sheet2!$B$1,Sheet1!$B$2-1,0)),$B$1/(365*100),$B$3/(365*100)))*100,1)/100</f>
        <v>57.69</v>
      </c>
      <c r="R1991" s="9">
        <f t="shared" ca="1" si="110"/>
        <v>141368.51096830008</v>
      </c>
    </row>
    <row r="1992" spans="1:18" x14ac:dyDescent="0.25">
      <c r="A1992">
        <v>26</v>
      </c>
      <c r="B1992">
        <v>0</v>
      </c>
      <c r="C1992">
        <v>0</v>
      </c>
      <c r="D1992">
        <v>14.9</v>
      </c>
      <c r="E1992">
        <v>26</v>
      </c>
      <c r="F1992">
        <v>4.5295867692307659E-2</v>
      </c>
      <c r="G1992" t="str">
        <f t="shared" si="108"/>
        <v>Insert into BlueCreditTypeRainbow Values (26, 0, 0, 14.9, 26, 0.0452958676923077)</v>
      </c>
      <c r="N1992" s="4">
        <v>1989</v>
      </c>
      <c r="O1992" s="8">
        <f>$B$7*COUNTIF(Sheet2!$B$1:$B$132,N1992)</f>
        <v>0</v>
      </c>
      <c r="P1992" s="8">
        <f t="shared" ca="1" si="109"/>
        <v>0</v>
      </c>
      <c r="Q1992" s="8">
        <f ca="1">CEILING(R1991*(IF(N1992&lt;=IF($B$2=0,0,OFFSET(Sheet2!$B$1,Sheet1!$B$2-1,0)),$B$1/(365*100),$B$3/(365*100)))*100,1)/100</f>
        <v>57.71</v>
      </c>
      <c r="R1992" s="9">
        <f t="shared" ca="1" si="110"/>
        <v>141426.22096830007</v>
      </c>
    </row>
    <row r="1993" spans="1:18" x14ac:dyDescent="0.25">
      <c r="A1993">
        <v>26</v>
      </c>
      <c r="B1993">
        <v>0</v>
      </c>
      <c r="C1993">
        <v>0</v>
      </c>
      <c r="D1993">
        <v>14.9</v>
      </c>
      <c r="E1993">
        <v>27</v>
      </c>
      <c r="F1993">
        <v>4.3875503718210258E-2</v>
      </c>
      <c r="G1993" t="str">
        <f t="shared" si="108"/>
        <v>Insert into BlueCreditTypeRainbow Values (26, 0, 0, 14.9, 27, 0.0438755037182103)</v>
      </c>
      <c r="N1993" s="4">
        <v>1990</v>
      </c>
      <c r="O1993" s="8">
        <f>$B$7*COUNTIF(Sheet2!$B$1:$B$132,N1993)</f>
        <v>0</v>
      </c>
      <c r="P1993" s="8">
        <f t="shared" ca="1" si="109"/>
        <v>0</v>
      </c>
      <c r="Q1993" s="8">
        <f ca="1">CEILING(R1992*(IF(N1993&lt;=IF($B$2=0,0,OFFSET(Sheet2!$B$1,Sheet1!$B$2-1,0)),$B$1/(365*100),$B$3/(365*100)))*100,1)/100</f>
        <v>57.74</v>
      </c>
      <c r="R1993" s="9">
        <f t="shared" ca="1" si="110"/>
        <v>141483.96096830006</v>
      </c>
    </row>
    <row r="1994" spans="1:18" x14ac:dyDescent="0.25">
      <c r="A1994">
        <v>26</v>
      </c>
      <c r="B1994">
        <v>0</v>
      </c>
      <c r="C1994">
        <v>0</v>
      </c>
      <c r="D1994">
        <v>14.9</v>
      </c>
      <c r="E1994">
        <v>28</v>
      </c>
      <c r="F1994">
        <v>4.2557778214285698E-2</v>
      </c>
      <c r="G1994" t="str">
        <f t="shared" si="108"/>
        <v>Insert into BlueCreditTypeRainbow Values (26, 0, 0, 14.9, 28, 0.0425577782142857)</v>
      </c>
      <c r="N1994" s="4">
        <v>1991</v>
      </c>
      <c r="O1994" s="8">
        <f>$B$7*COUNTIF(Sheet2!$B$1:$B$132,N1994)</f>
        <v>0</v>
      </c>
      <c r="P1994" s="8">
        <f t="shared" ca="1" si="109"/>
        <v>0</v>
      </c>
      <c r="Q1994" s="8">
        <f ca="1">CEILING(R1993*(IF(N1994&lt;=IF($B$2=0,0,OFFSET(Sheet2!$B$1,Sheet1!$B$2-1,0)),$B$1/(365*100),$B$3/(365*100)))*100,1)/100</f>
        <v>57.76</v>
      </c>
      <c r="R1994" s="9">
        <f t="shared" ca="1" si="110"/>
        <v>141541.72096830007</v>
      </c>
    </row>
    <row r="1995" spans="1:18" x14ac:dyDescent="0.25">
      <c r="A1995">
        <v>26</v>
      </c>
      <c r="B1995">
        <v>0</v>
      </c>
      <c r="C1995">
        <v>0</v>
      </c>
      <c r="D1995">
        <v>14.9</v>
      </c>
      <c r="E1995">
        <v>29</v>
      </c>
      <c r="F1995">
        <v>4.1331559343646559E-2</v>
      </c>
      <c r="G1995" t="str">
        <f t="shared" si="108"/>
        <v>Insert into BlueCreditTypeRainbow Values (26, 0, 0, 14.9, 29, 0.0413315593436466)</v>
      </c>
      <c r="N1995" s="4">
        <v>1992</v>
      </c>
      <c r="O1995" s="8">
        <f>$B$7*COUNTIF(Sheet2!$B$1:$B$132,N1995)</f>
        <v>0</v>
      </c>
      <c r="P1995" s="8">
        <f t="shared" ca="1" si="109"/>
        <v>0</v>
      </c>
      <c r="Q1995" s="8">
        <f ca="1">CEILING(R1994*(IF(N1995&lt;=IF($B$2=0,0,OFFSET(Sheet2!$B$1,Sheet1!$B$2-1,0)),$B$1/(365*100),$B$3/(365*100)))*100,1)/100</f>
        <v>57.79</v>
      </c>
      <c r="R1995" s="9">
        <f t="shared" ca="1" si="110"/>
        <v>141599.51096830008</v>
      </c>
    </row>
    <row r="1996" spans="1:18" x14ac:dyDescent="0.25">
      <c r="A1996">
        <v>26</v>
      </c>
      <c r="B1996">
        <v>0</v>
      </c>
      <c r="C1996">
        <v>0</v>
      </c>
      <c r="D1996">
        <v>14.9</v>
      </c>
      <c r="E1996">
        <v>30</v>
      </c>
      <c r="F1996">
        <v>4.0188174014813671E-2</v>
      </c>
      <c r="G1996" t="str">
        <f t="shared" si="108"/>
        <v>Insert into BlueCreditTypeRainbow Values (26, 0, 0, 14.9, 30, 0.0401881740148137)</v>
      </c>
      <c r="N1996" s="4">
        <v>1993</v>
      </c>
      <c r="O1996" s="8">
        <f>$B$7*COUNTIF(Sheet2!$B$1:$B$132,N1996)</f>
        <v>0</v>
      </c>
      <c r="P1996" s="8">
        <f t="shared" ca="1" si="109"/>
        <v>0</v>
      </c>
      <c r="Q1996" s="8">
        <f ca="1">CEILING(R1995*(IF(N1996&lt;=IF($B$2=0,0,OFFSET(Sheet2!$B$1,Sheet1!$B$2-1,0)),$B$1/(365*100),$B$3/(365*100)))*100,1)/100</f>
        <v>57.81</v>
      </c>
      <c r="R1996" s="9">
        <f t="shared" ca="1" si="110"/>
        <v>141657.32096830008</v>
      </c>
    </row>
    <row r="1997" spans="1:18" x14ac:dyDescent="0.25">
      <c r="A1997">
        <v>26</v>
      </c>
      <c r="B1997">
        <v>0</v>
      </c>
      <c r="C1997">
        <v>0</v>
      </c>
      <c r="D1997">
        <v>14.9</v>
      </c>
      <c r="E1997">
        <v>31</v>
      </c>
      <c r="F1997">
        <v>3.9119162270900204E-2</v>
      </c>
      <c r="G1997" t="str">
        <f t="shared" si="108"/>
        <v>Insert into BlueCreditTypeRainbow Values (26, 0, 0, 14.9, 31, 0.0391191622709002)</v>
      </c>
      <c r="N1997" s="4">
        <v>1994</v>
      </c>
      <c r="O1997" s="8">
        <f>$B$7*COUNTIF(Sheet2!$B$1:$B$132,N1997)</f>
        <v>0</v>
      </c>
      <c r="P1997" s="8">
        <f t="shared" ca="1" si="109"/>
        <v>0</v>
      </c>
      <c r="Q1997" s="8">
        <f ca="1">CEILING(R1996*(IF(N1997&lt;=IF($B$2=0,0,OFFSET(Sheet2!$B$1,Sheet1!$B$2-1,0)),$B$1/(365*100),$B$3/(365*100)))*100,1)/100</f>
        <v>57.83</v>
      </c>
      <c r="R1997" s="9">
        <f t="shared" ca="1" si="110"/>
        <v>141715.15096830006</v>
      </c>
    </row>
    <row r="1998" spans="1:18" x14ac:dyDescent="0.25">
      <c r="A1998">
        <v>26</v>
      </c>
      <c r="B1998">
        <v>0</v>
      </c>
      <c r="C1998">
        <v>0</v>
      </c>
      <c r="D1998">
        <v>14.9</v>
      </c>
      <c r="E1998">
        <v>32</v>
      </c>
      <c r="F1998">
        <v>3.8117566743200236E-2</v>
      </c>
      <c r="G1998" t="str">
        <f t="shared" si="108"/>
        <v>Insert into BlueCreditTypeRainbow Values (26, 0, 0, 14.9, 32, 0.0381175667432002)</v>
      </c>
      <c r="N1998" s="4">
        <v>1995</v>
      </c>
      <c r="O1998" s="8">
        <f>$B$7*COUNTIF(Sheet2!$B$1:$B$132,N1998)</f>
        <v>0</v>
      </c>
      <c r="P1998" s="8">
        <f t="shared" ca="1" si="109"/>
        <v>0</v>
      </c>
      <c r="Q1998" s="8">
        <f ca="1">CEILING(R1997*(IF(N1998&lt;=IF($B$2=0,0,OFFSET(Sheet2!$B$1,Sheet1!$B$2-1,0)),$B$1/(365*100),$B$3/(365*100)))*100,1)/100</f>
        <v>57.86</v>
      </c>
      <c r="R1998" s="9">
        <f t="shared" ca="1" si="110"/>
        <v>141773.01096830005</v>
      </c>
    </row>
    <row r="1999" spans="1:18" x14ac:dyDescent="0.25">
      <c r="A1999">
        <v>26</v>
      </c>
      <c r="B1999">
        <v>0</v>
      </c>
      <c r="C1999">
        <v>0</v>
      </c>
      <c r="D1999">
        <v>14.9</v>
      </c>
      <c r="E1999">
        <v>33</v>
      </c>
      <c r="F1999">
        <v>3.7177650635533743E-2</v>
      </c>
      <c r="G1999" t="str">
        <f t="shared" ref="G1999:G2062" si="111">CONCATENATE("Insert into BlueCreditTypeRainbow Values (",A1999,", ",B1999,", ",C1999,", ",D1999,", ",E1999,", ",F1999,")")</f>
        <v>Insert into BlueCreditTypeRainbow Values (26, 0, 0, 14.9, 33, 0.0371776506355337)</v>
      </c>
      <c r="N1999" s="4">
        <v>1996</v>
      </c>
      <c r="O1999" s="8">
        <f>$B$7*COUNTIF(Sheet2!$B$1:$B$132,N1999)</f>
        <v>0</v>
      </c>
      <c r="P1999" s="8">
        <f t="shared" ca="1" si="109"/>
        <v>0</v>
      </c>
      <c r="Q1999" s="8">
        <f ca="1">CEILING(R1998*(IF(N1999&lt;=IF($B$2=0,0,OFFSET(Sheet2!$B$1,Sheet1!$B$2-1,0)),$B$1/(365*100),$B$3/(365*100)))*100,1)/100</f>
        <v>57.88</v>
      </c>
      <c r="R1999" s="9">
        <f t="shared" ca="1" si="110"/>
        <v>141830.89096830005</v>
      </c>
    </row>
    <row r="2000" spans="1:18" x14ac:dyDescent="0.25">
      <c r="A2000">
        <v>26</v>
      </c>
      <c r="B2000">
        <v>0</v>
      </c>
      <c r="C2000">
        <v>0</v>
      </c>
      <c r="D2000">
        <v>14.9</v>
      </c>
      <c r="E2000">
        <v>34</v>
      </c>
      <c r="F2000">
        <v>3.6293604705882367E-2</v>
      </c>
      <c r="G2000" t="str">
        <f t="shared" si="111"/>
        <v>Insert into BlueCreditTypeRainbow Values (26, 0, 0, 14.9, 34, 0.0362936047058824)</v>
      </c>
      <c r="N2000" s="4">
        <v>1997</v>
      </c>
      <c r="O2000" s="8">
        <f>$B$7*COUNTIF(Sheet2!$B$1:$B$132,N2000)</f>
        <v>0</v>
      </c>
      <c r="P2000" s="8">
        <f t="shared" ca="1" si="109"/>
        <v>0</v>
      </c>
      <c r="Q2000" s="8">
        <f ca="1">CEILING(R1999*(IF(N2000&lt;=IF($B$2=0,0,OFFSET(Sheet2!$B$1,Sheet1!$B$2-1,0)),$B$1/(365*100),$B$3/(365*100)))*100,1)/100</f>
        <v>57.9</v>
      </c>
      <c r="R2000" s="9">
        <f t="shared" ca="1" si="110"/>
        <v>141888.79096830005</v>
      </c>
    </row>
    <row r="2001" spans="1:18" x14ac:dyDescent="0.25">
      <c r="A2001">
        <v>26</v>
      </c>
      <c r="B2001">
        <v>0</v>
      </c>
      <c r="C2001">
        <v>0</v>
      </c>
      <c r="D2001">
        <v>14.9</v>
      </c>
      <c r="E2001">
        <v>35</v>
      </c>
      <c r="F2001">
        <v>3.5460981450814867E-2</v>
      </c>
      <c r="G2001" t="str">
        <f t="shared" si="111"/>
        <v>Insert into BlueCreditTypeRainbow Values (26, 0, 0, 14.9, 35, 0.0354609814508149)</v>
      </c>
      <c r="N2001" s="4">
        <v>1998</v>
      </c>
      <c r="O2001" s="8">
        <f>$B$7*COUNTIF(Sheet2!$B$1:$B$132,N2001)</f>
        <v>0</v>
      </c>
      <c r="P2001" s="8">
        <f t="shared" ca="1" si="109"/>
        <v>0</v>
      </c>
      <c r="Q2001" s="8">
        <f ca="1">CEILING(R2000*(IF(N2001&lt;=IF($B$2=0,0,OFFSET(Sheet2!$B$1,Sheet1!$B$2-1,0)),$B$1/(365*100),$B$3/(365*100)))*100,1)/100</f>
        <v>57.93</v>
      </c>
      <c r="R2001" s="9">
        <f t="shared" ca="1" si="110"/>
        <v>141946.72096830004</v>
      </c>
    </row>
    <row r="2002" spans="1:18" x14ac:dyDescent="0.25">
      <c r="A2002">
        <v>26</v>
      </c>
      <c r="B2002">
        <v>0</v>
      </c>
      <c r="C2002">
        <v>0</v>
      </c>
      <c r="D2002">
        <v>14.9</v>
      </c>
      <c r="E2002">
        <v>36</v>
      </c>
      <c r="F2002">
        <v>3.4675161944444442E-2</v>
      </c>
      <c r="G2002" t="str">
        <f t="shared" si="111"/>
        <v>Insert into BlueCreditTypeRainbow Values (26, 0, 0, 14.9, 36, 0.0346751619444444)</v>
      </c>
      <c r="N2002" s="4">
        <v>1999</v>
      </c>
      <c r="O2002" s="8">
        <f>$B$7*COUNTIF(Sheet2!$B$1:$B$132,N2002)</f>
        <v>0</v>
      </c>
      <c r="P2002" s="8">
        <f t="shared" ca="1" si="109"/>
        <v>0</v>
      </c>
      <c r="Q2002" s="8">
        <f ca="1">CEILING(R2001*(IF(N2002&lt;=IF($B$2=0,0,OFFSET(Sheet2!$B$1,Sheet1!$B$2-1,0)),$B$1/(365*100),$B$3/(365*100)))*100,1)/100</f>
        <v>57.95</v>
      </c>
      <c r="R2002" s="9">
        <f t="shared" ca="1" si="110"/>
        <v>142004.67096830005</v>
      </c>
    </row>
    <row r="2003" spans="1:18" x14ac:dyDescent="0.25">
      <c r="A2003">
        <v>27</v>
      </c>
      <c r="B2003">
        <v>0</v>
      </c>
      <c r="C2003">
        <v>0</v>
      </c>
      <c r="D2003">
        <v>14.9</v>
      </c>
      <c r="E2003">
        <v>36</v>
      </c>
      <c r="F2003">
        <v>3.4675161967628668E-2</v>
      </c>
      <c r="G2003" t="str">
        <f t="shared" si="111"/>
        <v>Insert into BlueCreditTypeRainbow Values (27, 0, 0, 14.9, 36, 0.0346751619676287)</v>
      </c>
      <c r="N2003" s="4">
        <v>2000</v>
      </c>
      <c r="O2003" s="8">
        <f>$B$7*COUNTIF(Sheet2!$B$1:$B$132,N2003)</f>
        <v>0</v>
      </c>
      <c r="P2003" s="8">
        <f t="shared" ca="1" si="109"/>
        <v>0</v>
      </c>
      <c r="Q2003" s="8">
        <f ca="1">CEILING(R2002*(IF(N2003&lt;=IF($B$2=0,0,OFFSET(Sheet2!$B$1,Sheet1!$B$2-1,0)),$B$1/(365*100),$B$3/(365*100)))*100,1)/100</f>
        <v>57.97</v>
      </c>
      <c r="R2003" s="9">
        <f t="shared" ca="1" si="110"/>
        <v>142062.64096830005</v>
      </c>
    </row>
    <row r="2004" spans="1:18" x14ac:dyDescent="0.25">
      <c r="A2004">
        <v>27</v>
      </c>
      <c r="B2004">
        <v>0</v>
      </c>
      <c r="C2004">
        <v>0</v>
      </c>
      <c r="D2004">
        <v>14.9</v>
      </c>
      <c r="E2004">
        <v>37</v>
      </c>
      <c r="F2004">
        <v>3.393266443219959E-2</v>
      </c>
      <c r="G2004" t="str">
        <f t="shared" si="111"/>
        <v>Insert into BlueCreditTypeRainbow Values (27, 0, 0, 14.9, 37, 0.0339326644321996)</v>
      </c>
      <c r="N2004" s="4">
        <v>2001</v>
      </c>
      <c r="O2004" s="8">
        <f>$B$7*COUNTIF(Sheet2!$B$1:$B$132,N2004)</f>
        <v>0</v>
      </c>
      <c r="P2004" s="8">
        <f t="shared" ca="1" si="109"/>
        <v>0</v>
      </c>
      <c r="Q2004" s="8">
        <f ca="1">CEILING(R2003*(IF(N2004&lt;=IF($B$2=0,0,OFFSET(Sheet2!$B$1,Sheet1!$B$2-1,0)),$B$1/(365*100),$B$3/(365*100)))*100,1)/100</f>
        <v>58</v>
      </c>
      <c r="R2004" s="9">
        <f t="shared" ca="1" si="110"/>
        <v>142120.64096830005</v>
      </c>
    </row>
    <row r="2005" spans="1:18" x14ac:dyDescent="0.25">
      <c r="A2005">
        <v>27</v>
      </c>
      <c r="B2005">
        <v>0</v>
      </c>
      <c r="C2005">
        <v>0</v>
      </c>
      <c r="D2005">
        <v>14.9</v>
      </c>
      <c r="E2005">
        <v>38</v>
      </c>
      <c r="F2005">
        <v>3.3229784750380485E-2</v>
      </c>
      <c r="G2005" t="str">
        <f t="shared" si="111"/>
        <v>Insert into BlueCreditTypeRainbow Values (27, 0, 0, 14.9, 38, 0.0332297847503805)</v>
      </c>
      <c r="N2005" s="4">
        <v>2002</v>
      </c>
      <c r="O2005" s="8">
        <f>$B$7*COUNTIF(Sheet2!$B$1:$B$132,N2005)</f>
        <v>0</v>
      </c>
      <c r="P2005" s="8">
        <f t="shared" ca="1" si="109"/>
        <v>0</v>
      </c>
      <c r="Q2005" s="8">
        <f ca="1">CEILING(R2004*(IF(N2005&lt;=IF($B$2=0,0,OFFSET(Sheet2!$B$1,Sheet1!$B$2-1,0)),$B$1/(365*100),$B$3/(365*100)))*100,1)/100</f>
        <v>58.02</v>
      </c>
      <c r="R2005" s="9">
        <f t="shared" ca="1" si="110"/>
        <v>142178.66096830004</v>
      </c>
    </row>
    <row r="2006" spans="1:18" x14ac:dyDescent="0.25">
      <c r="A2006">
        <v>27</v>
      </c>
      <c r="B2006">
        <v>0</v>
      </c>
      <c r="C2006">
        <v>0</v>
      </c>
      <c r="D2006">
        <v>14.9</v>
      </c>
      <c r="E2006">
        <v>39</v>
      </c>
      <c r="F2006">
        <v>3.2563748607651044E-2</v>
      </c>
      <c r="G2006" t="str">
        <f t="shared" si="111"/>
        <v>Insert into BlueCreditTypeRainbow Values (27, 0, 0, 14.9, 39, 0.032563748607651)</v>
      </c>
      <c r="N2006" s="4">
        <v>2003</v>
      </c>
      <c r="O2006" s="8">
        <f>$B$7*COUNTIF(Sheet2!$B$1:$B$132,N2006)</f>
        <v>0</v>
      </c>
      <c r="P2006" s="8">
        <f t="shared" ca="1" si="109"/>
        <v>0</v>
      </c>
      <c r="Q2006" s="8">
        <f ca="1">CEILING(R2005*(IF(N2006&lt;=IF($B$2=0,0,OFFSET(Sheet2!$B$1,Sheet1!$B$2-1,0)),$B$1/(365*100),$B$3/(365*100)))*100,1)/100</f>
        <v>58.05</v>
      </c>
      <c r="R2006" s="9">
        <f t="shared" ca="1" si="110"/>
        <v>142236.71096830003</v>
      </c>
    </row>
    <row r="2007" spans="1:18" x14ac:dyDescent="0.25">
      <c r="A2007">
        <v>27</v>
      </c>
      <c r="B2007">
        <v>0</v>
      </c>
      <c r="C2007">
        <v>0</v>
      </c>
      <c r="D2007">
        <v>14.9</v>
      </c>
      <c r="E2007">
        <v>40</v>
      </c>
      <c r="F2007">
        <v>3.1931750269637051E-2</v>
      </c>
      <c r="G2007" t="str">
        <f t="shared" si="111"/>
        <v>Insert into BlueCreditTypeRainbow Values (27, 0, 0, 14.9, 40, 0.0319317502696371)</v>
      </c>
      <c r="N2007" s="4">
        <v>2004</v>
      </c>
      <c r="O2007" s="8">
        <f>$B$7*COUNTIF(Sheet2!$B$1:$B$132,N2007)</f>
        <v>0</v>
      </c>
      <c r="P2007" s="8">
        <f t="shared" ca="1" si="109"/>
        <v>0</v>
      </c>
      <c r="Q2007" s="8">
        <f ca="1">CEILING(R2006*(IF(N2007&lt;=IF($B$2=0,0,OFFSET(Sheet2!$B$1,Sheet1!$B$2-1,0)),$B$1/(365*100),$B$3/(365*100)))*100,1)/100</f>
        <v>58.07</v>
      </c>
      <c r="R2007" s="9">
        <f t="shared" ca="1" si="110"/>
        <v>142294.78096830004</v>
      </c>
    </row>
    <row r="2008" spans="1:18" x14ac:dyDescent="0.25">
      <c r="A2008">
        <v>27</v>
      </c>
      <c r="B2008">
        <v>0</v>
      </c>
      <c r="C2008">
        <v>0</v>
      </c>
      <c r="D2008">
        <v>14.9</v>
      </c>
      <c r="E2008">
        <v>41</v>
      </c>
      <c r="F2008">
        <v>3.1331091484715148E-2</v>
      </c>
      <c r="G2008" t="str">
        <f t="shared" si="111"/>
        <v>Insert into BlueCreditTypeRainbow Values (27, 0, 0, 14.9, 41, 0.0313310914847151)</v>
      </c>
      <c r="N2008" s="4">
        <v>2005</v>
      </c>
      <c r="O2008" s="8">
        <f>$B$7*COUNTIF(Sheet2!$B$1:$B$132,N2008)</f>
        <v>0</v>
      </c>
      <c r="P2008" s="8">
        <f t="shared" ca="1" si="109"/>
        <v>0</v>
      </c>
      <c r="Q2008" s="8">
        <f ca="1">CEILING(R2007*(IF(N2008&lt;=IF($B$2=0,0,OFFSET(Sheet2!$B$1,Sheet1!$B$2-1,0)),$B$1/(365*100),$B$3/(365*100)))*100,1)/100</f>
        <v>58.09</v>
      </c>
      <c r="R2008" s="9">
        <f t="shared" ca="1" si="110"/>
        <v>142352.87096830003</v>
      </c>
    </row>
    <row r="2009" spans="1:18" x14ac:dyDescent="0.25">
      <c r="A2009">
        <v>27</v>
      </c>
      <c r="B2009">
        <v>0</v>
      </c>
      <c r="C2009">
        <v>0</v>
      </c>
      <c r="D2009">
        <v>14.9</v>
      </c>
      <c r="E2009">
        <v>42</v>
      </c>
      <c r="F2009">
        <v>3.0759747907273444E-2</v>
      </c>
      <c r="G2009" t="str">
        <f t="shared" si="111"/>
        <v>Insert into BlueCreditTypeRainbow Values (27, 0, 0, 14.9, 42, 0.0307597479072734)</v>
      </c>
      <c r="N2009" s="4">
        <v>2006</v>
      </c>
      <c r="O2009" s="8">
        <f>$B$7*COUNTIF(Sheet2!$B$1:$B$132,N2009)</f>
        <v>0</v>
      </c>
      <c r="P2009" s="8">
        <f t="shared" ca="1" si="109"/>
        <v>0</v>
      </c>
      <c r="Q2009" s="8">
        <f ca="1">CEILING(R2008*(IF(N2009&lt;=IF($B$2=0,0,OFFSET(Sheet2!$B$1,Sheet1!$B$2-1,0)),$B$1/(365*100),$B$3/(365*100)))*100,1)/100</f>
        <v>58.12</v>
      </c>
      <c r="R2009" s="9">
        <f t="shared" ca="1" si="110"/>
        <v>142410.99096830003</v>
      </c>
    </row>
    <row r="2010" spans="1:18" x14ac:dyDescent="0.25">
      <c r="A2010">
        <v>27</v>
      </c>
      <c r="B2010">
        <v>0</v>
      </c>
      <c r="C2010">
        <v>0</v>
      </c>
      <c r="D2010">
        <v>14.9</v>
      </c>
      <c r="E2010">
        <v>43</v>
      </c>
      <c r="F2010">
        <v>3.0215450856963963E-2</v>
      </c>
      <c r="G2010" t="str">
        <f t="shared" si="111"/>
        <v>Insert into BlueCreditTypeRainbow Values (27, 0, 0, 14.9, 43, 0.030215450856964)</v>
      </c>
      <c r="N2010" s="4">
        <v>2007</v>
      </c>
      <c r="O2010" s="8">
        <f>$B$7*COUNTIF(Sheet2!$B$1:$B$132,N2010)</f>
        <v>0</v>
      </c>
      <c r="P2010" s="8">
        <f t="shared" ca="1" si="109"/>
        <v>0</v>
      </c>
      <c r="Q2010" s="8">
        <f ca="1">CEILING(R2009*(IF(N2010&lt;=IF($B$2=0,0,OFFSET(Sheet2!$B$1,Sheet1!$B$2-1,0)),$B$1/(365*100),$B$3/(365*100)))*100,1)/100</f>
        <v>58.14</v>
      </c>
      <c r="R2010" s="9">
        <f t="shared" ca="1" si="110"/>
        <v>142469.13096830004</v>
      </c>
    </row>
    <row r="2011" spans="1:18" x14ac:dyDescent="0.25">
      <c r="A2011">
        <v>27</v>
      </c>
      <c r="B2011">
        <v>0</v>
      </c>
      <c r="C2011">
        <v>0</v>
      </c>
      <c r="D2011">
        <v>14.9</v>
      </c>
      <c r="E2011">
        <v>44</v>
      </c>
      <c r="F2011">
        <v>2.9696372272727308E-2</v>
      </c>
      <c r="G2011" t="str">
        <f t="shared" si="111"/>
        <v>Insert into BlueCreditTypeRainbow Values (27, 0, 0, 14.9, 44, 0.0296963722727273)</v>
      </c>
      <c r="N2011" s="4">
        <v>2008</v>
      </c>
      <c r="O2011" s="8">
        <f>$B$7*COUNTIF(Sheet2!$B$1:$B$132,N2011)</f>
        <v>0</v>
      </c>
      <c r="P2011" s="8">
        <f t="shared" ca="1" si="109"/>
        <v>0</v>
      </c>
      <c r="Q2011" s="8">
        <f ca="1">CEILING(R2010*(IF(N2011&lt;=IF($B$2=0,0,OFFSET(Sheet2!$B$1,Sheet1!$B$2-1,0)),$B$1/(365*100),$B$3/(365*100)))*100,1)/100</f>
        <v>58.16</v>
      </c>
      <c r="R2011" s="9">
        <f t="shared" ca="1" si="110"/>
        <v>142527.29096830005</v>
      </c>
    </row>
    <row r="2012" spans="1:18" x14ac:dyDescent="0.25">
      <c r="A2012">
        <v>27</v>
      </c>
      <c r="B2012">
        <v>0</v>
      </c>
      <c r="C2012">
        <v>0</v>
      </c>
      <c r="D2012">
        <v>14.9</v>
      </c>
      <c r="E2012">
        <v>45</v>
      </c>
      <c r="F2012">
        <v>2.9201028953020049E-2</v>
      </c>
      <c r="G2012" t="str">
        <f t="shared" si="111"/>
        <v>Insert into BlueCreditTypeRainbow Values (27, 0, 0, 14.9, 45, 0.02920102895302)</v>
      </c>
      <c r="N2012" s="4">
        <v>2009</v>
      </c>
      <c r="O2012" s="8">
        <f>$B$7*COUNTIF(Sheet2!$B$1:$B$132,N2012)</f>
        <v>0</v>
      </c>
      <c r="P2012" s="8">
        <f t="shared" ca="1" si="109"/>
        <v>0</v>
      </c>
      <c r="Q2012" s="8">
        <f ca="1">CEILING(R2011*(IF(N2012&lt;=IF($B$2=0,0,OFFSET(Sheet2!$B$1,Sheet1!$B$2-1,0)),$B$1/(365*100),$B$3/(365*100)))*100,1)/100</f>
        <v>58.19</v>
      </c>
      <c r="R2012" s="9">
        <f t="shared" ca="1" si="110"/>
        <v>142585.48096830005</v>
      </c>
    </row>
    <row r="2013" spans="1:18" x14ac:dyDescent="0.25">
      <c r="A2013">
        <v>27</v>
      </c>
      <c r="B2013">
        <v>0</v>
      </c>
      <c r="C2013">
        <v>0</v>
      </c>
      <c r="D2013">
        <v>14.9</v>
      </c>
      <c r="E2013">
        <v>46</v>
      </c>
      <c r="F2013">
        <v>2.8727675018801944E-2</v>
      </c>
      <c r="G2013" t="str">
        <f t="shared" si="111"/>
        <v>Insert into BlueCreditTypeRainbow Values (27, 0, 0, 14.9, 46, 0.0287276750188019)</v>
      </c>
      <c r="N2013" s="4">
        <v>2010</v>
      </c>
      <c r="O2013" s="8">
        <f>$B$7*COUNTIF(Sheet2!$B$1:$B$132,N2013)</f>
        <v>0</v>
      </c>
      <c r="P2013" s="8">
        <f t="shared" ca="1" si="109"/>
        <v>0</v>
      </c>
      <c r="Q2013" s="8">
        <f ca="1">CEILING(R2012*(IF(N2013&lt;=IF($B$2=0,0,OFFSET(Sheet2!$B$1,Sheet1!$B$2-1,0)),$B$1/(365*100),$B$3/(365*100)))*100,1)/100</f>
        <v>58.21</v>
      </c>
      <c r="R2013" s="9">
        <f t="shared" ca="1" si="110"/>
        <v>142643.69096830004</v>
      </c>
    </row>
    <row r="2014" spans="1:18" x14ac:dyDescent="0.25">
      <c r="A2014">
        <v>27</v>
      </c>
      <c r="B2014">
        <v>0</v>
      </c>
      <c r="C2014">
        <v>0</v>
      </c>
      <c r="D2014">
        <v>14.9</v>
      </c>
      <c r="E2014">
        <v>47</v>
      </c>
      <c r="F2014">
        <v>2.8275092127659617E-2</v>
      </c>
      <c r="G2014" t="str">
        <f t="shared" si="111"/>
        <v>Insert into BlueCreditTypeRainbow Values (27, 0, 0, 14.9, 47, 0.0282750921276596)</v>
      </c>
      <c r="N2014" s="4">
        <v>2011</v>
      </c>
      <c r="O2014" s="8">
        <f>$B$7*COUNTIF(Sheet2!$B$1:$B$132,N2014)</f>
        <v>21157.10552356458</v>
      </c>
      <c r="P2014" s="8">
        <f t="shared" ca="1" si="109"/>
        <v>21098.87552356458</v>
      </c>
      <c r="Q2014" s="8">
        <f ca="1">CEILING(R2013*(IF(N2014&lt;=IF($B$2=0,0,OFFSET(Sheet2!$B$1,Sheet1!$B$2-1,0)),$B$1/(365*100),$B$3/(365*100)))*100,1)/100</f>
        <v>58.23</v>
      </c>
      <c r="R2014" s="9">
        <f t="shared" ca="1" si="110"/>
        <v>121544.81544473548</v>
      </c>
    </row>
    <row r="2015" spans="1:18" x14ac:dyDescent="0.25">
      <c r="A2015">
        <v>27</v>
      </c>
      <c r="B2015">
        <v>0</v>
      </c>
      <c r="C2015">
        <v>0</v>
      </c>
      <c r="D2015">
        <v>14.9</v>
      </c>
      <c r="E2015">
        <v>48</v>
      </c>
      <c r="F2015">
        <v>2.7841801264379091E-2</v>
      </c>
      <c r="G2015" t="str">
        <f t="shared" si="111"/>
        <v>Insert into BlueCreditTypeRainbow Values (27, 0, 0, 14.9, 48, 0.0278418012643791)</v>
      </c>
      <c r="N2015" s="4">
        <v>2012</v>
      </c>
      <c r="O2015" s="8">
        <f>$B$7*COUNTIF(Sheet2!$B$1:$B$132,N2015)</f>
        <v>0</v>
      </c>
      <c r="P2015" s="8">
        <f t="shared" ca="1" si="109"/>
        <v>0</v>
      </c>
      <c r="Q2015" s="8">
        <f ca="1">CEILING(R2014*(IF(N2015&lt;=IF($B$2=0,0,OFFSET(Sheet2!$B$1,Sheet1!$B$2-1,0)),$B$1/(365*100),$B$3/(365*100)))*100,1)/100</f>
        <v>49.62</v>
      </c>
      <c r="R2015" s="9">
        <f t="shared" ca="1" si="110"/>
        <v>121594.43544473547</v>
      </c>
    </row>
    <row r="2016" spans="1:18" x14ac:dyDescent="0.25">
      <c r="A2016">
        <v>28</v>
      </c>
      <c r="B2016">
        <v>0</v>
      </c>
      <c r="C2016">
        <v>0</v>
      </c>
      <c r="D2016">
        <v>14.9</v>
      </c>
      <c r="E2016">
        <v>48</v>
      </c>
      <c r="F2016">
        <v>2.784180126902602E-2</v>
      </c>
      <c r="G2016" t="str">
        <f t="shared" si="111"/>
        <v>Insert into BlueCreditTypeRainbow Values (28, 0, 0, 14.9, 48, 0.027841801269026)</v>
      </c>
      <c r="N2016" s="4">
        <v>2013</v>
      </c>
      <c r="O2016" s="8">
        <f>$B$7*COUNTIF(Sheet2!$B$1:$B$132,N2016)</f>
        <v>0</v>
      </c>
      <c r="P2016" s="8">
        <f t="shared" ca="1" si="109"/>
        <v>0</v>
      </c>
      <c r="Q2016" s="8">
        <f ca="1">CEILING(R2015*(IF(N2016&lt;=IF($B$2=0,0,OFFSET(Sheet2!$B$1,Sheet1!$B$2-1,0)),$B$1/(365*100),$B$3/(365*100)))*100,1)/100</f>
        <v>49.64</v>
      </c>
      <c r="R2016" s="9">
        <f t="shared" ca="1" si="110"/>
        <v>121644.07544473547</v>
      </c>
    </row>
    <row r="2017" spans="1:18" x14ac:dyDescent="0.25">
      <c r="A2017">
        <v>28</v>
      </c>
      <c r="B2017">
        <v>0</v>
      </c>
      <c r="C2017">
        <v>0</v>
      </c>
      <c r="D2017">
        <v>14.9</v>
      </c>
      <c r="E2017">
        <v>49</v>
      </c>
      <c r="F2017">
        <v>2.7426795122178667E-2</v>
      </c>
      <c r="G2017" t="str">
        <f t="shared" si="111"/>
        <v>Insert into BlueCreditTypeRainbow Values (28, 0, 0, 14.9, 49, 0.0274267951221787)</v>
      </c>
      <c r="N2017" s="4">
        <v>2014</v>
      </c>
      <c r="O2017" s="8">
        <f>$B$7*COUNTIF(Sheet2!$B$1:$B$132,N2017)</f>
        <v>0</v>
      </c>
      <c r="P2017" s="8">
        <f t="shared" ca="1" si="109"/>
        <v>0</v>
      </c>
      <c r="Q2017" s="8">
        <f ca="1">CEILING(R2016*(IF(N2017&lt;=IF($B$2=0,0,OFFSET(Sheet2!$B$1,Sheet1!$B$2-1,0)),$B$1/(365*100),$B$3/(365*100)))*100,1)/100</f>
        <v>49.66</v>
      </c>
      <c r="R2017" s="9">
        <f t="shared" ca="1" si="110"/>
        <v>121693.73544473547</v>
      </c>
    </row>
    <row r="2018" spans="1:18" x14ac:dyDescent="0.25">
      <c r="A2018">
        <v>28</v>
      </c>
      <c r="B2018">
        <v>0</v>
      </c>
      <c r="C2018">
        <v>0</v>
      </c>
      <c r="D2018">
        <v>14.9</v>
      </c>
      <c r="E2018">
        <v>50</v>
      </c>
      <c r="F2018">
        <v>2.7028974007259839E-2</v>
      </c>
      <c r="G2018" t="str">
        <f t="shared" si="111"/>
        <v>Insert into BlueCreditTypeRainbow Values (28, 0, 0, 14.9, 50, 0.0270289740072598)</v>
      </c>
      <c r="N2018" s="4">
        <v>2015</v>
      </c>
      <c r="O2018" s="8">
        <f>$B$7*COUNTIF(Sheet2!$B$1:$B$132,N2018)</f>
        <v>0</v>
      </c>
      <c r="P2018" s="8">
        <f t="shared" ca="1" si="109"/>
        <v>0</v>
      </c>
      <c r="Q2018" s="8">
        <f ca="1">CEILING(R2017*(IF(N2018&lt;=IF($B$2=0,0,OFFSET(Sheet2!$B$1,Sheet1!$B$2-1,0)),$B$1/(365*100),$B$3/(365*100)))*100,1)/100</f>
        <v>49.68</v>
      </c>
      <c r="R2018" s="9">
        <f t="shared" ca="1" si="110"/>
        <v>121743.41544473547</v>
      </c>
    </row>
    <row r="2019" spans="1:18" x14ac:dyDescent="0.25">
      <c r="A2019">
        <v>28</v>
      </c>
      <c r="B2019">
        <v>0</v>
      </c>
      <c r="C2019">
        <v>0</v>
      </c>
      <c r="D2019">
        <v>14.9</v>
      </c>
      <c r="E2019">
        <v>51</v>
      </c>
      <c r="F2019">
        <v>2.6647157665887409E-2</v>
      </c>
      <c r="G2019" t="str">
        <f t="shared" si="111"/>
        <v>Insert into BlueCreditTypeRainbow Values (28, 0, 0, 14.9, 51, 0.0266471576658874)</v>
      </c>
      <c r="N2019" s="4">
        <v>2016</v>
      </c>
      <c r="O2019" s="8">
        <f>$B$7*COUNTIF(Sheet2!$B$1:$B$132,N2019)</f>
        <v>0</v>
      </c>
      <c r="P2019" s="8">
        <f t="shared" ca="1" si="109"/>
        <v>0</v>
      </c>
      <c r="Q2019" s="8">
        <f ca="1">CEILING(R2018*(IF(N2019&lt;=IF($B$2=0,0,OFFSET(Sheet2!$B$1,Sheet1!$B$2-1,0)),$B$1/(365*100),$B$3/(365*100)))*100,1)/100</f>
        <v>49.7</v>
      </c>
      <c r="R2019" s="9">
        <f t="shared" ca="1" si="110"/>
        <v>121793.11544473546</v>
      </c>
    </row>
    <row r="2020" spans="1:18" x14ac:dyDescent="0.25">
      <c r="A2020">
        <v>28</v>
      </c>
      <c r="B2020">
        <v>0</v>
      </c>
      <c r="C2020">
        <v>0</v>
      </c>
      <c r="D2020">
        <v>14.9</v>
      </c>
      <c r="E2020">
        <v>52</v>
      </c>
      <c r="F2020">
        <v>2.628058501914628E-2</v>
      </c>
      <c r="G2020" t="str">
        <f t="shared" si="111"/>
        <v>Insert into BlueCreditTypeRainbow Values (28, 0, 0, 14.9, 52, 0.0262805850191463)</v>
      </c>
      <c r="N2020" s="4">
        <v>2017</v>
      </c>
      <c r="O2020" s="8">
        <f>$B$7*COUNTIF(Sheet2!$B$1:$B$132,N2020)</f>
        <v>0</v>
      </c>
      <c r="P2020" s="8">
        <f t="shared" ca="1" si="109"/>
        <v>0</v>
      </c>
      <c r="Q2020" s="8">
        <f ca="1">CEILING(R2019*(IF(N2020&lt;=IF($B$2=0,0,OFFSET(Sheet2!$B$1,Sheet1!$B$2-1,0)),$B$1/(365*100),$B$3/(365*100)))*100,1)/100</f>
        <v>49.72</v>
      </c>
      <c r="R2020" s="9">
        <f t="shared" ca="1" si="110"/>
        <v>121842.83544473546</v>
      </c>
    </row>
    <row r="2021" spans="1:18" x14ac:dyDescent="0.25">
      <c r="A2021">
        <v>28</v>
      </c>
      <c r="B2021">
        <v>0</v>
      </c>
      <c r="C2021">
        <v>0</v>
      </c>
      <c r="D2021">
        <v>14.9</v>
      </c>
      <c r="E2021">
        <v>53</v>
      </c>
      <c r="F2021">
        <v>2.5928240773231418E-2</v>
      </c>
      <c r="G2021" t="str">
        <f t="shared" si="111"/>
        <v>Insert into BlueCreditTypeRainbow Values (28, 0, 0, 14.9, 53, 0.0259282407732314)</v>
      </c>
      <c r="N2021" s="4">
        <v>2018</v>
      </c>
      <c r="O2021" s="8">
        <f>$B$7*COUNTIF(Sheet2!$B$1:$B$132,N2021)</f>
        <v>0</v>
      </c>
      <c r="P2021" s="8">
        <f t="shared" ca="1" si="109"/>
        <v>0</v>
      </c>
      <c r="Q2021" s="8">
        <f ca="1">CEILING(R2020*(IF(N2021&lt;=IF($B$2=0,0,OFFSET(Sheet2!$B$1,Sheet1!$B$2-1,0)),$B$1/(365*100),$B$3/(365*100)))*100,1)/100</f>
        <v>49.74</v>
      </c>
      <c r="R2021" s="9">
        <f t="shared" ca="1" si="110"/>
        <v>121892.57544473547</v>
      </c>
    </row>
    <row r="2022" spans="1:18" x14ac:dyDescent="0.25">
      <c r="A2022">
        <v>28</v>
      </c>
      <c r="B2022">
        <v>0</v>
      </c>
      <c r="C2022">
        <v>0</v>
      </c>
      <c r="D2022">
        <v>14.9</v>
      </c>
      <c r="E2022">
        <v>54</v>
      </c>
      <c r="F2022">
        <v>2.5589342962963012E-2</v>
      </c>
      <c r="G2022" t="str">
        <f t="shared" si="111"/>
        <v>Insert into BlueCreditTypeRainbow Values (28, 0, 0, 14.9, 54, 0.025589342962963)</v>
      </c>
      <c r="N2022" s="4">
        <v>2019</v>
      </c>
      <c r="O2022" s="8">
        <f>$B$7*COUNTIF(Sheet2!$B$1:$B$132,N2022)</f>
        <v>0</v>
      </c>
      <c r="P2022" s="8">
        <f t="shared" ca="1" si="109"/>
        <v>0</v>
      </c>
      <c r="Q2022" s="8">
        <f ca="1">CEILING(R2021*(IF(N2022&lt;=IF($B$2=0,0,OFFSET(Sheet2!$B$1,Sheet1!$B$2-1,0)),$B$1/(365*100),$B$3/(365*100)))*100,1)/100</f>
        <v>49.76</v>
      </c>
      <c r="R2022" s="9">
        <f t="shared" ca="1" si="110"/>
        <v>121942.33544473546</v>
      </c>
    </row>
    <row r="2023" spans="1:18" x14ac:dyDescent="0.25">
      <c r="A2023">
        <v>28</v>
      </c>
      <c r="B2023">
        <v>0</v>
      </c>
      <c r="C2023">
        <v>0</v>
      </c>
      <c r="D2023">
        <v>14.9</v>
      </c>
      <c r="E2023">
        <v>55</v>
      </c>
      <c r="F2023">
        <v>2.5263285289787933E-2</v>
      </c>
      <c r="G2023" t="str">
        <f t="shared" si="111"/>
        <v>Insert into BlueCreditTypeRainbow Values (28, 0, 0, 14.9, 55, 0.0252632852897879)</v>
      </c>
      <c r="N2023" s="4">
        <v>2020</v>
      </c>
      <c r="O2023" s="8">
        <f>$B$7*COUNTIF(Sheet2!$B$1:$B$132,N2023)</f>
        <v>0</v>
      </c>
      <c r="P2023" s="8">
        <f t="shared" ca="1" si="109"/>
        <v>0</v>
      </c>
      <c r="Q2023" s="8">
        <f ca="1">CEILING(R2022*(IF(N2023&lt;=IF($B$2=0,0,OFFSET(Sheet2!$B$1,Sheet1!$B$2-1,0)),$B$1/(365*100),$B$3/(365*100)))*100,1)/100</f>
        <v>49.78</v>
      </c>
      <c r="R2023" s="9">
        <f t="shared" ca="1" si="110"/>
        <v>121992.11544473546</v>
      </c>
    </row>
    <row r="2024" spans="1:18" x14ac:dyDescent="0.25">
      <c r="A2024">
        <v>28</v>
      </c>
      <c r="B2024">
        <v>0</v>
      </c>
      <c r="C2024">
        <v>0</v>
      </c>
      <c r="D2024">
        <v>14.9</v>
      </c>
      <c r="E2024">
        <v>56</v>
      </c>
      <c r="F2024">
        <v>2.4949251443649866E-2</v>
      </c>
      <c r="G2024" t="str">
        <f t="shared" si="111"/>
        <v>Insert into BlueCreditTypeRainbow Values (28, 0, 0, 14.9, 56, 0.0249492514436499)</v>
      </c>
      <c r="N2024" s="4">
        <v>2021</v>
      </c>
      <c r="O2024" s="8">
        <f>$B$7*COUNTIF(Sheet2!$B$1:$B$132,N2024)</f>
        <v>0</v>
      </c>
      <c r="P2024" s="8">
        <f t="shared" ca="1" si="109"/>
        <v>0</v>
      </c>
      <c r="Q2024" s="8">
        <f ca="1">CEILING(R2023*(IF(N2024&lt;=IF($B$2=0,0,OFFSET(Sheet2!$B$1,Sheet1!$B$2-1,0)),$B$1/(365*100),$B$3/(365*100)))*100,1)/100</f>
        <v>49.8</v>
      </c>
      <c r="R2024" s="9">
        <f t="shared" ca="1" si="110"/>
        <v>122041.91544473547</v>
      </c>
    </row>
    <row r="2025" spans="1:18" x14ac:dyDescent="0.25">
      <c r="A2025">
        <v>28</v>
      </c>
      <c r="B2025">
        <v>0</v>
      </c>
      <c r="C2025">
        <v>0</v>
      </c>
      <c r="D2025">
        <v>14.9</v>
      </c>
      <c r="E2025">
        <v>57</v>
      </c>
      <c r="F2025">
        <v>2.464673737440214E-2</v>
      </c>
      <c r="G2025" t="str">
        <f t="shared" si="111"/>
        <v>Insert into BlueCreditTypeRainbow Values (28, 0, 0, 14.9, 57, 0.0246467373744021)</v>
      </c>
      <c r="N2025" s="4">
        <v>2022</v>
      </c>
      <c r="O2025" s="8">
        <f>$B$7*COUNTIF(Sheet2!$B$1:$B$132,N2025)</f>
        <v>0</v>
      </c>
      <c r="P2025" s="8">
        <f t="shared" ca="1" si="109"/>
        <v>0</v>
      </c>
      <c r="Q2025" s="8">
        <f ca="1">CEILING(R2024*(IF(N2025&lt;=IF($B$2=0,0,OFFSET(Sheet2!$B$1,Sheet1!$B$2-1,0)),$B$1/(365*100),$B$3/(365*100)))*100,1)/100</f>
        <v>49.82</v>
      </c>
      <c r="R2025" s="9">
        <f t="shared" ca="1" si="110"/>
        <v>122091.73544473547</v>
      </c>
    </row>
    <row r="2026" spans="1:18" x14ac:dyDescent="0.25">
      <c r="A2026">
        <v>28</v>
      </c>
      <c r="B2026">
        <v>0</v>
      </c>
      <c r="C2026">
        <v>0</v>
      </c>
      <c r="D2026">
        <v>14.9</v>
      </c>
      <c r="E2026">
        <v>58</v>
      </c>
      <c r="F2026">
        <v>2.435501775658885E-2</v>
      </c>
      <c r="G2026" t="str">
        <f t="shared" si="111"/>
        <v>Insert into BlueCreditTypeRainbow Values (28, 0, 0, 14.9, 58, 0.0243550177565889)</v>
      </c>
      <c r="N2026" s="4">
        <v>2023</v>
      </c>
      <c r="O2026" s="8">
        <f>$B$7*COUNTIF(Sheet2!$B$1:$B$132,N2026)</f>
        <v>0</v>
      </c>
      <c r="P2026" s="8">
        <f t="shared" ca="1" si="109"/>
        <v>0</v>
      </c>
      <c r="Q2026" s="8">
        <f ca="1">CEILING(R2025*(IF(N2026&lt;=IF($B$2=0,0,OFFSET(Sheet2!$B$1,Sheet1!$B$2-1,0)),$B$1/(365*100),$B$3/(365*100)))*100,1)/100</f>
        <v>49.85</v>
      </c>
      <c r="R2026" s="9">
        <f t="shared" ca="1" si="110"/>
        <v>122141.58544473548</v>
      </c>
    </row>
    <row r="2027" spans="1:18" x14ac:dyDescent="0.25">
      <c r="A2027">
        <v>28</v>
      </c>
      <c r="B2027">
        <v>0</v>
      </c>
      <c r="C2027">
        <v>0</v>
      </c>
      <c r="D2027">
        <v>14.9</v>
      </c>
      <c r="E2027">
        <v>59</v>
      </c>
      <c r="F2027">
        <v>2.4073664246599877E-2</v>
      </c>
      <c r="G2027" t="str">
        <f t="shared" si="111"/>
        <v>Insert into BlueCreditTypeRainbow Values (28, 0, 0, 14.9, 59, 0.0240736642465999)</v>
      </c>
      <c r="N2027" s="4">
        <v>2024</v>
      </c>
      <c r="O2027" s="8">
        <f>$B$7*COUNTIF(Sheet2!$B$1:$B$132,N2027)</f>
        <v>0</v>
      </c>
      <c r="P2027" s="8">
        <f t="shared" ca="1" si="109"/>
        <v>0</v>
      </c>
      <c r="Q2027" s="8">
        <f ca="1">CEILING(R2026*(IF(N2027&lt;=IF($B$2=0,0,OFFSET(Sheet2!$B$1,Sheet1!$B$2-1,0)),$B$1/(365*100),$B$3/(365*100)))*100,1)/100</f>
        <v>49.87</v>
      </c>
      <c r="R2027" s="9">
        <f t="shared" ca="1" si="110"/>
        <v>122191.45544473547</v>
      </c>
    </row>
    <row r="2028" spans="1:18" x14ac:dyDescent="0.25">
      <c r="A2028">
        <v>28</v>
      </c>
      <c r="B2028">
        <v>0</v>
      </c>
      <c r="C2028">
        <v>0</v>
      </c>
      <c r="D2028">
        <v>14.9</v>
      </c>
      <c r="E2028">
        <v>60</v>
      </c>
      <c r="F2028">
        <v>2.3802049329123772E-2</v>
      </c>
      <c r="G2028" t="str">
        <f t="shared" si="111"/>
        <v>Insert into BlueCreditTypeRainbow Values (28, 0, 0, 14.9, 60, 0.0238020493291238)</v>
      </c>
      <c r="N2028" s="4">
        <v>2025</v>
      </c>
      <c r="O2028" s="8">
        <f>$B$7*COUNTIF(Sheet2!$B$1:$B$132,N2028)</f>
        <v>0</v>
      </c>
      <c r="P2028" s="8">
        <f t="shared" ca="1" si="109"/>
        <v>0</v>
      </c>
      <c r="Q2028" s="8">
        <f ca="1">CEILING(R2027*(IF(N2028&lt;=IF($B$2=0,0,OFFSET(Sheet2!$B$1,Sheet1!$B$2-1,0)),$B$1/(365*100),$B$3/(365*100)))*100,1)/100</f>
        <v>49.89</v>
      </c>
      <c r="R2028" s="9">
        <f t="shared" ca="1" si="110"/>
        <v>122241.34544473547</v>
      </c>
    </row>
    <row r="2029" spans="1:18" x14ac:dyDescent="0.25">
      <c r="A2029">
        <v>29</v>
      </c>
      <c r="B2029">
        <v>0</v>
      </c>
      <c r="C2029">
        <v>0</v>
      </c>
      <c r="D2029">
        <v>14.9</v>
      </c>
      <c r="E2029">
        <v>60</v>
      </c>
      <c r="F2029">
        <v>2.3802049399556234E-2</v>
      </c>
      <c r="G2029" t="str">
        <f t="shared" si="111"/>
        <v>Insert into BlueCreditTypeRainbow Values (29, 0, 0, 14.9, 60, 0.0238020493995562)</v>
      </c>
      <c r="N2029" s="4">
        <v>2026</v>
      </c>
      <c r="O2029" s="8">
        <f>$B$7*COUNTIF(Sheet2!$B$1:$B$132,N2029)</f>
        <v>0</v>
      </c>
      <c r="P2029" s="8">
        <f t="shared" ca="1" si="109"/>
        <v>0</v>
      </c>
      <c r="Q2029" s="8">
        <f ca="1">CEILING(R2028*(IF(N2029&lt;=IF($B$2=0,0,OFFSET(Sheet2!$B$1,Sheet1!$B$2-1,0)),$B$1/(365*100),$B$3/(365*100)))*100,1)/100</f>
        <v>49.91</v>
      </c>
      <c r="R2029" s="9">
        <f t="shared" ca="1" si="110"/>
        <v>122291.25544473548</v>
      </c>
    </row>
    <row r="2030" spans="1:18" x14ac:dyDescent="0.25">
      <c r="A2030">
        <v>29</v>
      </c>
      <c r="B2030">
        <v>0</v>
      </c>
      <c r="C2030">
        <v>0</v>
      </c>
      <c r="D2030">
        <v>14.9</v>
      </c>
      <c r="E2030">
        <v>61</v>
      </c>
      <c r="F2030">
        <v>2.3539687540983623E-2</v>
      </c>
      <c r="G2030" t="str">
        <f t="shared" si="111"/>
        <v>Insert into BlueCreditTypeRainbow Values (29, 0, 0, 14.9, 61, 0.0235396875409836)</v>
      </c>
      <c r="N2030" s="4">
        <v>2027</v>
      </c>
      <c r="O2030" s="8">
        <f>$B$7*COUNTIF(Sheet2!$B$1:$B$132,N2030)</f>
        <v>0</v>
      </c>
      <c r="P2030" s="8">
        <f t="shared" ca="1" si="109"/>
        <v>0</v>
      </c>
      <c r="Q2030" s="8">
        <f ca="1">CEILING(R2029*(IF(N2030&lt;=IF($B$2=0,0,OFFSET(Sheet2!$B$1,Sheet1!$B$2-1,0)),$B$1/(365*100),$B$3/(365*100)))*100,1)/100</f>
        <v>49.93</v>
      </c>
      <c r="R2030" s="9">
        <f t="shared" ca="1" si="110"/>
        <v>122341.18544473547</v>
      </c>
    </row>
    <row r="2031" spans="1:18" x14ac:dyDescent="0.25">
      <c r="A2031">
        <v>29</v>
      </c>
      <c r="B2031">
        <v>0</v>
      </c>
      <c r="C2031">
        <v>0</v>
      </c>
      <c r="D2031">
        <v>14.9</v>
      </c>
      <c r="E2031">
        <v>62</v>
      </c>
      <c r="F2031">
        <v>2.3286243393349622E-2</v>
      </c>
      <c r="G2031" t="str">
        <f t="shared" si="111"/>
        <v>Insert into BlueCreditTypeRainbow Values (29, 0, 0, 14.9, 62, 0.0232862433933496)</v>
      </c>
      <c r="N2031" s="4">
        <v>2028</v>
      </c>
      <c r="O2031" s="8">
        <f>$B$7*COUNTIF(Sheet2!$B$1:$B$132,N2031)</f>
        <v>0</v>
      </c>
      <c r="P2031" s="8">
        <f t="shared" ca="1" si="109"/>
        <v>0</v>
      </c>
      <c r="Q2031" s="8">
        <f ca="1">CEILING(R2030*(IF(N2031&lt;=IF($B$2=0,0,OFFSET(Sheet2!$B$1,Sheet1!$B$2-1,0)),$B$1/(365*100),$B$3/(365*100)))*100,1)/100</f>
        <v>49.95</v>
      </c>
      <c r="R2031" s="9">
        <f t="shared" ca="1" si="110"/>
        <v>122391.13544473547</v>
      </c>
    </row>
    <row r="2032" spans="1:18" x14ac:dyDescent="0.25">
      <c r="A2032">
        <v>29</v>
      </c>
      <c r="B2032">
        <v>0</v>
      </c>
      <c r="C2032">
        <v>0</v>
      </c>
      <c r="D2032">
        <v>14.9</v>
      </c>
      <c r="E2032">
        <v>63</v>
      </c>
      <c r="F2032">
        <v>2.3041175758300905E-2</v>
      </c>
      <c r="G2032" t="str">
        <f t="shared" si="111"/>
        <v>Insert into BlueCreditTypeRainbow Values (29, 0, 0, 14.9, 63, 0.0230411757583009)</v>
      </c>
      <c r="N2032" s="4">
        <v>2029</v>
      </c>
      <c r="O2032" s="8">
        <f>$B$7*COUNTIF(Sheet2!$B$1:$B$132,N2032)</f>
        <v>0</v>
      </c>
      <c r="P2032" s="8">
        <f t="shared" ca="1" si="109"/>
        <v>0</v>
      </c>
      <c r="Q2032" s="8">
        <f ca="1">CEILING(R2031*(IF(N2032&lt;=IF($B$2=0,0,OFFSET(Sheet2!$B$1,Sheet1!$B$2-1,0)),$B$1/(365*100),$B$3/(365*100)))*100,1)/100</f>
        <v>49.97</v>
      </c>
      <c r="R2032" s="9">
        <f t="shared" ca="1" si="110"/>
        <v>122441.10544473547</v>
      </c>
    </row>
    <row r="2033" spans="1:18" x14ac:dyDescent="0.25">
      <c r="A2033">
        <v>29</v>
      </c>
      <c r="B2033">
        <v>0</v>
      </c>
      <c r="C2033">
        <v>0</v>
      </c>
      <c r="D2033">
        <v>14.9</v>
      </c>
      <c r="E2033">
        <v>64</v>
      </c>
      <c r="F2033">
        <v>2.280420798388761E-2</v>
      </c>
      <c r="G2033" t="str">
        <f t="shared" si="111"/>
        <v>Insert into BlueCreditTypeRainbow Values (29, 0, 0, 14.9, 64, 0.0228042079838876)</v>
      </c>
      <c r="N2033" s="4">
        <v>2030</v>
      </c>
      <c r="O2033" s="8">
        <f>$B$7*COUNTIF(Sheet2!$B$1:$B$132,N2033)</f>
        <v>0</v>
      </c>
      <c r="P2033" s="8">
        <f t="shared" ca="1" si="109"/>
        <v>0</v>
      </c>
      <c r="Q2033" s="8">
        <f ca="1">CEILING(R2032*(IF(N2033&lt;=IF($B$2=0,0,OFFSET(Sheet2!$B$1,Sheet1!$B$2-1,0)),$B$1/(365*100),$B$3/(365*100)))*100,1)/100</f>
        <v>49.99</v>
      </c>
      <c r="R2033" s="9">
        <f t="shared" ca="1" si="110"/>
        <v>122491.09544473547</v>
      </c>
    </row>
    <row r="2034" spans="1:18" x14ac:dyDescent="0.25">
      <c r="A2034">
        <v>29</v>
      </c>
      <c r="B2034">
        <v>0</v>
      </c>
      <c r="C2034">
        <v>0</v>
      </c>
      <c r="D2034">
        <v>14.9</v>
      </c>
      <c r="E2034">
        <v>65</v>
      </c>
      <c r="F2034">
        <v>2.257485353846158E-2</v>
      </c>
      <c r="G2034" t="str">
        <f t="shared" si="111"/>
        <v>Insert into BlueCreditTypeRainbow Values (29, 0, 0, 14.9, 65, 0.0225748535384616)</v>
      </c>
      <c r="N2034" s="4">
        <v>2031</v>
      </c>
      <c r="O2034" s="8">
        <f>$B$7*COUNTIF(Sheet2!$B$1:$B$132,N2034)</f>
        <v>0</v>
      </c>
      <c r="P2034" s="8">
        <f t="shared" ca="1" si="109"/>
        <v>0</v>
      </c>
      <c r="Q2034" s="8">
        <f ca="1">CEILING(R2033*(IF(N2034&lt;=IF($B$2=0,0,OFFSET(Sheet2!$B$1,Sheet1!$B$2-1,0)),$B$1/(365*100),$B$3/(365*100)))*100,1)/100</f>
        <v>50.01</v>
      </c>
      <c r="R2034" s="9">
        <f t="shared" ca="1" si="110"/>
        <v>122541.10544473547</v>
      </c>
    </row>
    <row r="2035" spans="1:18" x14ac:dyDescent="0.25">
      <c r="A2035">
        <v>29</v>
      </c>
      <c r="B2035">
        <v>0</v>
      </c>
      <c r="C2035">
        <v>0</v>
      </c>
      <c r="D2035">
        <v>14.9</v>
      </c>
      <c r="E2035">
        <v>66</v>
      </c>
      <c r="F2035">
        <v>2.2352778042893304E-2</v>
      </c>
      <c r="G2035" t="str">
        <f t="shared" si="111"/>
        <v>Insert into BlueCreditTypeRainbow Values (29, 0, 0, 14.9, 66, 0.0223527780428933)</v>
      </c>
      <c r="N2035" s="4">
        <v>2032</v>
      </c>
      <c r="O2035" s="8">
        <f>$B$7*COUNTIF(Sheet2!$B$1:$B$132,N2035)</f>
        <v>0</v>
      </c>
      <c r="P2035" s="8">
        <f t="shared" ca="1" si="109"/>
        <v>0</v>
      </c>
      <c r="Q2035" s="8">
        <f ca="1">CEILING(R2034*(IF(N2035&lt;=IF($B$2=0,0,OFFSET(Sheet2!$B$1,Sheet1!$B$2-1,0)),$B$1/(365*100),$B$3/(365*100)))*100,1)/100</f>
        <v>50.03</v>
      </c>
      <c r="R2035" s="9">
        <f t="shared" ca="1" si="110"/>
        <v>122591.13544473547</v>
      </c>
    </row>
    <row r="2036" spans="1:18" x14ac:dyDescent="0.25">
      <c r="A2036">
        <v>29</v>
      </c>
      <c r="B2036">
        <v>0</v>
      </c>
      <c r="C2036">
        <v>0</v>
      </c>
      <c r="D2036">
        <v>14.9</v>
      </c>
      <c r="E2036">
        <v>67</v>
      </c>
      <c r="F2036">
        <v>2.2137742074435637E-2</v>
      </c>
      <c r="G2036" t="str">
        <f t="shared" si="111"/>
        <v>Insert into BlueCreditTypeRainbow Values (29, 0, 0, 14.9, 67, 0.0221377420744356)</v>
      </c>
      <c r="N2036" s="4">
        <v>2033</v>
      </c>
      <c r="O2036" s="8">
        <f>$B$7*COUNTIF(Sheet2!$B$1:$B$132,N2036)</f>
        <v>0</v>
      </c>
      <c r="P2036" s="8">
        <f t="shared" ca="1" si="109"/>
        <v>0</v>
      </c>
      <c r="Q2036" s="8">
        <f ca="1">CEILING(R2035*(IF(N2036&lt;=IF($B$2=0,0,OFFSET(Sheet2!$B$1,Sheet1!$B$2-1,0)),$B$1/(365*100),$B$3/(365*100)))*100,1)/100</f>
        <v>50.05</v>
      </c>
      <c r="R2036" s="9">
        <f t="shared" ca="1" si="110"/>
        <v>122641.18544473547</v>
      </c>
    </row>
    <row r="2037" spans="1:18" x14ac:dyDescent="0.25">
      <c r="A2037">
        <v>29</v>
      </c>
      <c r="B2037">
        <v>0</v>
      </c>
      <c r="C2037">
        <v>0</v>
      </c>
      <c r="D2037">
        <v>14.9</v>
      </c>
      <c r="E2037">
        <v>68</v>
      </c>
      <c r="F2037">
        <v>2.1929348413990916E-2</v>
      </c>
      <c r="G2037" t="str">
        <f t="shared" si="111"/>
        <v>Insert into BlueCreditTypeRainbow Values (29, 0, 0, 14.9, 68, 0.0219293484139909)</v>
      </c>
      <c r="N2037" s="4">
        <v>2034</v>
      </c>
      <c r="O2037" s="8">
        <f>$B$7*COUNTIF(Sheet2!$B$1:$B$132,N2037)</f>
        <v>0</v>
      </c>
      <c r="P2037" s="8">
        <f t="shared" ca="1" si="109"/>
        <v>0</v>
      </c>
      <c r="Q2037" s="8">
        <f ca="1">CEILING(R2036*(IF(N2037&lt;=IF($B$2=0,0,OFFSET(Sheet2!$B$1,Sheet1!$B$2-1,0)),$B$1/(365*100),$B$3/(365*100)))*100,1)/100</f>
        <v>50.07</v>
      </c>
      <c r="R2037" s="9">
        <f t="shared" ca="1" si="110"/>
        <v>122691.25544473548</v>
      </c>
    </row>
    <row r="2038" spans="1:18" x14ac:dyDescent="0.25">
      <c r="A2038">
        <v>29</v>
      </c>
      <c r="B2038">
        <v>0</v>
      </c>
      <c r="C2038">
        <v>0</v>
      </c>
      <c r="D2038">
        <v>14.9</v>
      </c>
      <c r="E2038">
        <v>69</v>
      </c>
      <c r="F2038">
        <v>2.1727388358083331E-2</v>
      </c>
      <c r="G2038" t="str">
        <f t="shared" si="111"/>
        <v>Insert into BlueCreditTypeRainbow Values (29, 0, 0, 14.9, 69, 0.0217273883580833)</v>
      </c>
      <c r="N2038" s="4">
        <v>2035</v>
      </c>
      <c r="O2038" s="8">
        <f>$B$7*COUNTIF(Sheet2!$B$1:$B$132,N2038)</f>
        <v>0</v>
      </c>
      <c r="P2038" s="8">
        <f t="shared" ca="1" si="109"/>
        <v>0</v>
      </c>
      <c r="Q2038" s="8">
        <f ca="1">CEILING(R2037*(IF(N2038&lt;=IF($B$2=0,0,OFFSET(Sheet2!$B$1,Sheet1!$B$2-1,0)),$B$1/(365*100),$B$3/(365*100)))*100,1)/100</f>
        <v>50.09</v>
      </c>
      <c r="R2038" s="9">
        <f t="shared" ca="1" si="110"/>
        <v>122741.34544473547</v>
      </c>
    </row>
    <row r="2039" spans="1:18" x14ac:dyDescent="0.25">
      <c r="A2039">
        <v>29</v>
      </c>
      <c r="B2039">
        <v>0</v>
      </c>
      <c r="C2039">
        <v>0</v>
      </c>
      <c r="D2039">
        <v>14.9</v>
      </c>
      <c r="E2039">
        <v>70</v>
      </c>
      <c r="F2039">
        <v>2.1531507727613319E-2</v>
      </c>
      <c r="G2039" t="str">
        <f t="shared" si="111"/>
        <v>Insert into BlueCreditTypeRainbow Values (29, 0, 0, 14.9, 70, 0.0215315077276133)</v>
      </c>
      <c r="N2039" s="4">
        <v>2036</v>
      </c>
      <c r="O2039" s="8">
        <f>$B$7*COUNTIF(Sheet2!$B$1:$B$132,N2039)</f>
        <v>0</v>
      </c>
      <c r="P2039" s="8">
        <f t="shared" ca="1" si="109"/>
        <v>0</v>
      </c>
      <c r="Q2039" s="8">
        <f ca="1">CEILING(R2038*(IF(N2039&lt;=IF($B$2=0,0,OFFSET(Sheet2!$B$1,Sheet1!$B$2-1,0)),$B$1/(365*100),$B$3/(365*100)))*100,1)/100</f>
        <v>50.11</v>
      </c>
      <c r="R2039" s="9">
        <f t="shared" ca="1" si="110"/>
        <v>122791.45544473547</v>
      </c>
    </row>
    <row r="2040" spans="1:18" x14ac:dyDescent="0.25">
      <c r="A2040">
        <v>29</v>
      </c>
      <c r="B2040">
        <v>0</v>
      </c>
      <c r="C2040">
        <v>0</v>
      </c>
      <c r="D2040">
        <v>14.9</v>
      </c>
      <c r="E2040">
        <v>71</v>
      </c>
      <c r="F2040">
        <v>2.1341515920572051E-2</v>
      </c>
      <c r="G2040" t="str">
        <f t="shared" si="111"/>
        <v>Insert into BlueCreditTypeRainbow Values (29, 0, 0, 14.9, 71, 0.0213415159205721)</v>
      </c>
      <c r="N2040" s="4">
        <v>2037</v>
      </c>
      <c r="O2040" s="8">
        <f>$B$7*COUNTIF(Sheet2!$B$1:$B$132,N2040)</f>
        <v>0</v>
      </c>
      <c r="P2040" s="8">
        <f t="shared" ca="1" si="109"/>
        <v>0</v>
      </c>
      <c r="Q2040" s="8">
        <f ca="1">CEILING(R2039*(IF(N2040&lt;=IF($B$2=0,0,OFFSET(Sheet2!$B$1,Sheet1!$B$2-1,0)),$B$1/(365*100),$B$3/(365*100)))*100,1)/100</f>
        <v>50.13</v>
      </c>
      <c r="R2040" s="9">
        <f t="shared" ca="1" si="110"/>
        <v>122841.58544473548</v>
      </c>
    </row>
    <row r="2041" spans="1:18" x14ac:dyDescent="0.25">
      <c r="A2041">
        <v>29</v>
      </c>
      <c r="B2041">
        <v>0</v>
      </c>
      <c r="C2041">
        <v>0</v>
      </c>
      <c r="D2041">
        <v>14.9</v>
      </c>
      <c r="E2041">
        <v>72</v>
      </c>
      <c r="F2041">
        <v>2.1157105544656687E-2</v>
      </c>
      <c r="G2041" t="str">
        <f t="shared" si="111"/>
        <v>Insert into BlueCreditTypeRainbow Values (29, 0, 0, 14.9, 72, 0.0211571055446567)</v>
      </c>
      <c r="N2041" s="4">
        <v>2038</v>
      </c>
      <c r="O2041" s="8">
        <f>$B$7*COUNTIF(Sheet2!$B$1:$B$132,N2041)</f>
        <v>0</v>
      </c>
      <c r="P2041" s="8">
        <f t="shared" ca="1" si="109"/>
        <v>0</v>
      </c>
      <c r="Q2041" s="8">
        <f ca="1">CEILING(R2040*(IF(N2041&lt;=IF($B$2=0,0,OFFSET(Sheet2!$B$1,Sheet1!$B$2-1,0)),$B$1/(365*100),$B$3/(365*100)))*100,1)/100</f>
        <v>50.15</v>
      </c>
      <c r="R2041" s="9">
        <f t="shared" ca="1" si="110"/>
        <v>122891.73544473547</v>
      </c>
    </row>
    <row r="2042" spans="1:18" x14ac:dyDescent="0.25">
      <c r="A2042">
        <v>30</v>
      </c>
      <c r="B2042">
        <v>0</v>
      </c>
      <c r="C2042">
        <v>0</v>
      </c>
      <c r="D2042">
        <v>14.9</v>
      </c>
      <c r="E2042">
        <v>72</v>
      </c>
      <c r="F2042">
        <v>2.115710556111286E-2</v>
      </c>
      <c r="G2042" t="str">
        <f t="shared" si="111"/>
        <v>Insert into BlueCreditTypeRainbow Values (30, 0, 0, 14.9, 72, 0.0211571055611129)</v>
      </c>
      <c r="N2042" s="4">
        <v>2039</v>
      </c>
      <c r="O2042" s="8">
        <f>$B$7*COUNTIF(Sheet2!$B$1:$B$132,N2042)</f>
        <v>0</v>
      </c>
      <c r="P2042" s="8">
        <f t="shared" ca="1" si="109"/>
        <v>0</v>
      </c>
      <c r="Q2042" s="8">
        <f ca="1">CEILING(R2041*(IF(N2042&lt;=IF($B$2=0,0,OFFSET(Sheet2!$B$1,Sheet1!$B$2-1,0)),$B$1/(365*100),$B$3/(365*100)))*100,1)/100</f>
        <v>50.17</v>
      </c>
      <c r="R2042" s="9">
        <f t="shared" ca="1" si="110"/>
        <v>122941.90544473547</v>
      </c>
    </row>
    <row r="2043" spans="1:18" x14ac:dyDescent="0.25">
      <c r="A2043">
        <v>30</v>
      </c>
      <c r="B2043">
        <v>0</v>
      </c>
      <c r="C2043">
        <v>0</v>
      </c>
      <c r="D2043">
        <v>14.9</v>
      </c>
      <c r="E2043">
        <v>73</v>
      </c>
      <c r="F2043">
        <v>2.0978041917808249E-2</v>
      </c>
      <c r="G2043" t="str">
        <f t="shared" si="111"/>
        <v>Insert into BlueCreditTypeRainbow Values (30, 0, 0, 14.9, 73, 0.0209780419178082)</v>
      </c>
      <c r="N2043" s="4">
        <v>2040</v>
      </c>
      <c r="O2043" s="8">
        <f>$B$7*COUNTIF(Sheet2!$B$1:$B$132,N2043)</f>
        <v>0</v>
      </c>
      <c r="P2043" s="8">
        <f t="shared" ca="1" si="109"/>
        <v>0</v>
      </c>
      <c r="Q2043" s="8">
        <f ca="1">CEILING(R2042*(IF(N2043&lt;=IF($B$2=0,0,OFFSET(Sheet2!$B$1,Sheet1!$B$2-1,0)),$B$1/(365*100),$B$3/(365*100)))*100,1)/100</f>
        <v>50.19</v>
      </c>
      <c r="R2043" s="9">
        <f t="shared" ca="1" si="110"/>
        <v>122992.09544473547</v>
      </c>
    </row>
    <row r="2044" spans="1:18" x14ac:dyDescent="0.25">
      <c r="A2044">
        <v>30</v>
      </c>
      <c r="B2044">
        <v>0</v>
      </c>
      <c r="C2044">
        <v>0</v>
      </c>
      <c r="D2044">
        <v>14.9</v>
      </c>
      <c r="E2044">
        <v>74</v>
      </c>
      <c r="F2044">
        <v>2.0804179878360661E-2</v>
      </c>
      <c r="G2044" t="str">
        <f t="shared" si="111"/>
        <v>Insert into BlueCreditTypeRainbow Values (30, 0, 0, 14.9, 74, 0.0208041798783607)</v>
      </c>
      <c r="N2044" s="4">
        <v>2041</v>
      </c>
      <c r="O2044" s="8">
        <f>$B$7*COUNTIF(Sheet2!$B$1:$B$132,N2044)</f>
        <v>0</v>
      </c>
      <c r="P2044" s="8">
        <f t="shared" ca="1" si="109"/>
        <v>0</v>
      </c>
      <c r="Q2044" s="8">
        <f ca="1">CEILING(R2043*(IF(N2044&lt;=IF($B$2=0,0,OFFSET(Sheet2!$B$1,Sheet1!$B$2-1,0)),$B$1/(365*100),$B$3/(365*100)))*100,1)/100</f>
        <v>50.21</v>
      </c>
      <c r="R2044" s="9">
        <f t="shared" ca="1" si="110"/>
        <v>123042.30544473548</v>
      </c>
    </row>
    <row r="2045" spans="1:18" x14ac:dyDescent="0.25">
      <c r="A2045">
        <v>30</v>
      </c>
      <c r="B2045">
        <v>0</v>
      </c>
      <c r="C2045">
        <v>0</v>
      </c>
      <c r="D2045">
        <v>14.9</v>
      </c>
      <c r="E2045">
        <v>75</v>
      </c>
      <c r="F2045">
        <v>2.0635237876422897E-2</v>
      </c>
      <c r="G2045" t="str">
        <f t="shared" si="111"/>
        <v>Insert into BlueCreditTypeRainbow Values (30, 0, 0, 14.9, 75, 0.0206352378764229)</v>
      </c>
      <c r="N2045" s="4">
        <v>2042</v>
      </c>
      <c r="O2045" s="8">
        <f>$B$7*COUNTIF(Sheet2!$B$1:$B$132,N2045)</f>
        <v>21157.10552356458</v>
      </c>
      <c r="P2045" s="8">
        <f t="shared" ca="1" si="109"/>
        <v>21106.87552356458</v>
      </c>
      <c r="Q2045" s="8">
        <f ca="1">CEILING(R2044*(IF(N2045&lt;=IF($B$2=0,0,OFFSET(Sheet2!$B$1,Sheet1!$B$2-1,0)),$B$1/(365*100),$B$3/(365*100)))*100,1)/100</f>
        <v>50.23</v>
      </c>
      <c r="R2045" s="9">
        <f t="shared" ca="1" si="110"/>
        <v>101935.4299211709</v>
      </c>
    </row>
    <row r="2046" spans="1:18" x14ac:dyDescent="0.25">
      <c r="A2046">
        <v>30</v>
      </c>
      <c r="B2046">
        <v>0</v>
      </c>
      <c r="C2046">
        <v>0</v>
      </c>
      <c r="D2046">
        <v>14.9</v>
      </c>
      <c r="E2046">
        <v>76</v>
      </c>
      <c r="F2046">
        <v>2.0471094868421039E-2</v>
      </c>
      <c r="G2046" t="str">
        <f t="shared" si="111"/>
        <v>Insert into BlueCreditTypeRainbow Values (30, 0, 0, 14.9, 76, 0.020471094868421)</v>
      </c>
      <c r="N2046" s="4">
        <v>2043</v>
      </c>
      <c r="O2046" s="8">
        <f>$B$7*COUNTIF(Sheet2!$B$1:$B$132,N2046)</f>
        <v>0</v>
      </c>
      <c r="P2046" s="8">
        <f t="shared" ca="1" si="109"/>
        <v>0</v>
      </c>
      <c r="Q2046" s="8">
        <f ca="1">CEILING(R2045*(IF(N2046&lt;=IF($B$2=0,0,OFFSET(Sheet2!$B$1,Sheet1!$B$2-1,0)),$B$1/(365*100),$B$3/(365*100)))*100,1)/100</f>
        <v>41.62</v>
      </c>
      <c r="R2046" s="9">
        <f t="shared" ca="1" si="110"/>
        <v>101977.0499211709</v>
      </c>
    </row>
    <row r="2047" spans="1:18" x14ac:dyDescent="0.25">
      <c r="A2047">
        <v>30</v>
      </c>
      <c r="B2047">
        <v>0</v>
      </c>
      <c r="C2047">
        <v>0</v>
      </c>
      <c r="D2047">
        <v>14.9</v>
      </c>
      <c r="E2047">
        <v>77</v>
      </c>
      <c r="F2047">
        <v>2.031148585606397E-2</v>
      </c>
      <c r="G2047" t="str">
        <f t="shared" si="111"/>
        <v>Insert into BlueCreditTypeRainbow Values (30, 0, 0, 14.9, 77, 0.020311485856064)</v>
      </c>
      <c r="N2047" s="4">
        <v>2044</v>
      </c>
      <c r="O2047" s="8">
        <f>$B$7*COUNTIF(Sheet2!$B$1:$B$132,N2047)</f>
        <v>0</v>
      </c>
      <c r="P2047" s="8">
        <f t="shared" ref="P2047:P2110" ca="1" si="112">IF(O2047-Q2047&gt; 0, O2047-Q2047, 0)</f>
        <v>0</v>
      </c>
      <c r="Q2047" s="8">
        <f ca="1">CEILING(R2046*(IF(N2047&lt;=IF($B$2=0,0,OFFSET(Sheet2!$B$1,Sheet1!$B$2-1,0)),$B$1/(365*100),$B$3/(365*100)))*100,1)/100</f>
        <v>41.63</v>
      </c>
      <c r="R2047" s="9">
        <f t="shared" ref="R2047:R2110" ca="1" si="113">R2046+Q2047-O2047</f>
        <v>102018.6799211709</v>
      </c>
    </row>
    <row r="2048" spans="1:18" x14ac:dyDescent="0.25">
      <c r="A2048">
        <v>30</v>
      </c>
      <c r="B2048">
        <v>0</v>
      </c>
      <c r="C2048">
        <v>0</v>
      </c>
      <c r="D2048">
        <v>14.9</v>
      </c>
      <c r="E2048">
        <v>78</v>
      </c>
      <c r="F2048">
        <v>2.0156251093000926E-2</v>
      </c>
      <c r="G2048" t="str">
        <f t="shared" si="111"/>
        <v>Insert into BlueCreditTypeRainbow Values (30, 0, 0, 14.9, 78, 0.0201562510930009)</v>
      </c>
      <c r="N2048" s="4">
        <v>2045</v>
      </c>
      <c r="O2048" s="8">
        <f>$B$7*COUNTIF(Sheet2!$B$1:$B$132,N2048)</f>
        <v>0</v>
      </c>
      <c r="P2048" s="8">
        <f t="shared" ca="1" si="112"/>
        <v>0</v>
      </c>
      <c r="Q2048" s="8">
        <f ca="1">CEILING(R2047*(IF(N2048&lt;=IF($B$2=0,0,OFFSET(Sheet2!$B$1,Sheet1!$B$2-1,0)),$B$1/(365*100),$B$3/(365*100)))*100,1)/100</f>
        <v>41.65</v>
      </c>
      <c r="R2048" s="9">
        <f t="shared" ca="1" si="113"/>
        <v>102060.32992117089</v>
      </c>
    </row>
    <row r="2049" spans="1:18" x14ac:dyDescent="0.25">
      <c r="A2049">
        <v>30</v>
      </c>
      <c r="B2049">
        <v>0</v>
      </c>
      <c r="C2049">
        <v>0</v>
      </c>
      <c r="D2049">
        <v>14.9</v>
      </c>
      <c r="E2049">
        <v>79</v>
      </c>
      <c r="F2049">
        <v>2.0005278110517659E-2</v>
      </c>
      <c r="G2049" t="str">
        <f t="shared" si="111"/>
        <v>Insert into BlueCreditTypeRainbow Values (30, 0, 0, 14.9, 79, 0.0200052781105177)</v>
      </c>
      <c r="N2049" s="4">
        <v>2046</v>
      </c>
      <c r="O2049" s="8">
        <f>$B$7*COUNTIF(Sheet2!$B$1:$B$132,N2049)</f>
        <v>0</v>
      </c>
      <c r="P2049" s="8">
        <f t="shared" ca="1" si="112"/>
        <v>0</v>
      </c>
      <c r="Q2049" s="8">
        <f ca="1">CEILING(R2048*(IF(N2049&lt;=IF($B$2=0,0,OFFSET(Sheet2!$B$1,Sheet1!$B$2-1,0)),$B$1/(365*100),$B$3/(365*100)))*100,1)/100</f>
        <v>41.67</v>
      </c>
      <c r="R2049" s="9">
        <f t="shared" ca="1" si="113"/>
        <v>102101.99992117089</v>
      </c>
    </row>
    <row r="2050" spans="1:18" x14ac:dyDescent="0.25">
      <c r="A2050">
        <v>30</v>
      </c>
      <c r="B2050">
        <v>0</v>
      </c>
      <c r="C2050">
        <v>0</v>
      </c>
      <c r="D2050">
        <v>14.9</v>
      </c>
      <c r="E2050">
        <v>80</v>
      </c>
      <c r="F2050">
        <v>1.9858341625000022E-2</v>
      </c>
      <c r="G2050" t="str">
        <f t="shared" si="111"/>
        <v>Insert into BlueCreditTypeRainbow Values (30, 0, 0, 14.9, 80, 0.019858341625)</v>
      </c>
      <c r="N2050" s="4">
        <v>2047</v>
      </c>
      <c r="O2050" s="8">
        <f>$B$7*COUNTIF(Sheet2!$B$1:$B$132,N2050)</f>
        <v>0</v>
      </c>
      <c r="P2050" s="8">
        <f t="shared" ca="1" si="112"/>
        <v>0</v>
      </c>
      <c r="Q2050" s="8">
        <f ca="1">CEILING(R2049*(IF(N2050&lt;=IF($B$2=0,0,OFFSET(Sheet2!$B$1,Sheet1!$B$2-1,0)),$B$1/(365*100),$B$3/(365*100)))*100,1)/100</f>
        <v>41.68</v>
      </c>
      <c r="R2050" s="9">
        <f t="shared" ca="1" si="113"/>
        <v>102143.67992117089</v>
      </c>
    </row>
    <row r="2051" spans="1:18" x14ac:dyDescent="0.25">
      <c r="A2051">
        <v>30</v>
      </c>
      <c r="B2051">
        <v>0</v>
      </c>
      <c r="C2051">
        <v>0</v>
      </c>
      <c r="D2051">
        <v>14.9</v>
      </c>
      <c r="E2051">
        <v>81</v>
      </c>
      <c r="F2051">
        <v>1.9715358766229707E-2</v>
      </c>
      <c r="G2051" t="str">
        <f t="shared" si="111"/>
        <v>Insert into BlueCreditTypeRainbow Values (30, 0, 0, 14.9, 81, 0.0197153587662297)</v>
      </c>
      <c r="N2051" s="4">
        <v>2048</v>
      </c>
      <c r="O2051" s="8">
        <f>$B$7*COUNTIF(Sheet2!$B$1:$B$132,N2051)</f>
        <v>0</v>
      </c>
      <c r="P2051" s="8">
        <f t="shared" ca="1" si="112"/>
        <v>0</v>
      </c>
      <c r="Q2051" s="8">
        <f ca="1">CEILING(R2050*(IF(N2051&lt;=IF($B$2=0,0,OFFSET(Sheet2!$B$1,Sheet1!$B$2-1,0)),$B$1/(365*100),$B$3/(365*100)))*100,1)/100</f>
        <v>41.7</v>
      </c>
      <c r="R2051" s="9">
        <f t="shared" ca="1" si="113"/>
        <v>102185.37992117088</v>
      </c>
    </row>
    <row r="2052" spans="1:18" x14ac:dyDescent="0.25">
      <c r="A2052">
        <v>30</v>
      </c>
      <c r="B2052">
        <v>0</v>
      </c>
      <c r="C2052">
        <v>0</v>
      </c>
      <c r="D2052">
        <v>14.9</v>
      </c>
      <c r="E2052">
        <v>82</v>
      </c>
      <c r="F2052">
        <v>1.9576121231274918E-2</v>
      </c>
      <c r="G2052" t="str">
        <f t="shared" si="111"/>
        <v>Insert into BlueCreditTypeRainbow Values (30, 0, 0, 14.9, 82, 0.0195761212312749)</v>
      </c>
      <c r="N2052" s="4">
        <v>2049</v>
      </c>
      <c r="O2052" s="8">
        <f>$B$7*COUNTIF(Sheet2!$B$1:$B$132,N2052)</f>
        <v>0</v>
      </c>
      <c r="P2052" s="8">
        <f t="shared" ca="1" si="112"/>
        <v>0</v>
      </c>
      <c r="Q2052" s="8">
        <f ca="1">CEILING(R2051*(IF(N2052&lt;=IF($B$2=0,0,OFFSET(Sheet2!$B$1,Sheet1!$B$2-1,0)),$B$1/(365*100),$B$3/(365*100)))*100,1)/100</f>
        <v>41.72</v>
      </c>
      <c r="R2052" s="9">
        <f t="shared" ca="1" si="113"/>
        <v>102227.09992117088</v>
      </c>
    </row>
    <row r="2053" spans="1:18" x14ac:dyDescent="0.25">
      <c r="A2053">
        <v>30</v>
      </c>
      <c r="B2053">
        <v>0</v>
      </c>
      <c r="C2053">
        <v>0</v>
      </c>
      <c r="D2053">
        <v>14.9</v>
      </c>
      <c r="E2053">
        <v>83</v>
      </c>
      <c r="F2053">
        <v>1.9440553736860933E-2</v>
      </c>
      <c r="G2053" t="str">
        <f t="shared" si="111"/>
        <v>Insert into BlueCreditTypeRainbow Values (30, 0, 0, 14.9, 83, 0.0194405537368609)</v>
      </c>
      <c r="N2053" s="4">
        <v>2050</v>
      </c>
      <c r="O2053" s="8">
        <f>$B$7*COUNTIF(Sheet2!$B$1:$B$132,N2053)</f>
        <v>0</v>
      </c>
      <c r="P2053" s="8">
        <f t="shared" ca="1" si="112"/>
        <v>0</v>
      </c>
      <c r="Q2053" s="8">
        <f ca="1">CEILING(R2052*(IF(N2053&lt;=IF($B$2=0,0,OFFSET(Sheet2!$B$1,Sheet1!$B$2-1,0)),$B$1/(365*100),$B$3/(365*100)))*100,1)/100</f>
        <v>41.74</v>
      </c>
      <c r="R2053" s="9">
        <f t="shared" ca="1" si="113"/>
        <v>102268.83992117089</v>
      </c>
    </row>
    <row r="2054" spans="1:18" x14ac:dyDescent="0.25">
      <c r="A2054">
        <v>30</v>
      </c>
      <c r="B2054">
        <v>0</v>
      </c>
      <c r="C2054">
        <v>0</v>
      </c>
      <c r="D2054">
        <v>14.9</v>
      </c>
      <c r="E2054">
        <v>84</v>
      </c>
      <c r="F2054">
        <v>1.9308464772791641E-2</v>
      </c>
      <c r="G2054" t="str">
        <f t="shared" si="111"/>
        <v>Insert into BlueCreditTypeRainbow Values (30, 0, 0, 14.9, 84, 0.0193084647727916)</v>
      </c>
      <c r="N2054" s="4">
        <v>2051</v>
      </c>
      <c r="O2054" s="8">
        <f>$B$7*COUNTIF(Sheet2!$B$1:$B$132,N2054)</f>
        <v>0</v>
      </c>
      <c r="P2054" s="8">
        <f t="shared" ca="1" si="112"/>
        <v>0</v>
      </c>
      <c r="Q2054" s="8">
        <f ca="1">CEILING(R2053*(IF(N2054&lt;=IF($B$2=0,0,OFFSET(Sheet2!$B$1,Sheet1!$B$2-1,0)),$B$1/(365*100),$B$3/(365*100)))*100,1)/100</f>
        <v>41.75</v>
      </c>
      <c r="R2054" s="9">
        <f t="shared" ca="1" si="113"/>
        <v>102310.58992117089</v>
      </c>
    </row>
    <row r="2055" spans="1:18" x14ac:dyDescent="0.25">
      <c r="G2055" t="str">
        <f t="shared" si="111"/>
        <v>Insert into BlueCreditTypeRainbow Values (, , , , , )</v>
      </c>
      <c r="N2055" s="4">
        <v>2052</v>
      </c>
      <c r="O2055" s="8">
        <f>$B$7*COUNTIF(Sheet2!$B$1:$B$132,N2055)</f>
        <v>0</v>
      </c>
      <c r="P2055" s="8">
        <f t="shared" ca="1" si="112"/>
        <v>0</v>
      </c>
      <c r="Q2055" s="8">
        <f ca="1">CEILING(R2054*(IF(N2055&lt;=IF($B$2=0,0,OFFSET(Sheet2!$B$1,Sheet1!$B$2-1,0)),$B$1/(365*100),$B$3/(365*100)))*100,1)/100</f>
        <v>41.77</v>
      </c>
      <c r="R2055" s="9">
        <f t="shared" ca="1" si="113"/>
        <v>102352.35992117089</v>
      </c>
    </row>
    <row r="2056" spans="1:18" x14ac:dyDescent="0.25">
      <c r="G2056" t="str">
        <f t="shared" si="111"/>
        <v>Insert into BlueCreditTypeRainbow Values (, , , , , )</v>
      </c>
      <c r="N2056" s="4">
        <v>2053</v>
      </c>
      <c r="O2056" s="8">
        <f>$B$7*COUNTIF(Sheet2!$B$1:$B$132,N2056)</f>
        <v>0</v>
      </c>
      <c r="P2056" s="8">
        <f t="shared" ca="1" si="112"/>
        <v>0</v>
      </c>
      <c r="Q2056" s="8">
        <f ca="1">CEILING(R2055*(IF(N2056&lt;=IF($B$2=0,0,OFFSET(Sheet2!$B$1,Sheet1!$B$2-1,0)),$B$1/(365*100),$B$3/(365*100)))*100,1)/100</f>
        <v>41.79</v>
      </c>
      <c r="R2056" s="9">
        <f t="shared" ca="1" si="113"/>
        <v>102394.14992117089</v>
      </c>
    </row>
    <row r="2057" spans="1:18" x14ac:dyDescent="0.25">
      <c r="G2057" t="str">
        <f t="shared" si="111"/>
        <v>Insert into BlueCreditTypeRainbow Values (, , , , , )</v>
      </c>
      <c r="N2057" s="4">
        <v>2054</v>
      </c>
      <c r="O2057" s="8">
        <f>$B$7*COUNTIF(Sheet2!$B$1:$B$132,N2057)</f>
        <v>0</v>
      </c>
      <c r="P2057" s="8">
        <f t="shared" ca="1" si="112"/>
        <v>0</v>
      </c>
      <c r="Q2057" s="8">
        <f ca="1">CEILING(R2056*(IF(N2057&lt;=IF($B$2=0,0,OFFSET(Sheet2!$B$1,Sheet1!$B$2-1,0)),$B$1/(365*100),$B$3/(365*100)))*100,1)/100</f>
        <v>41.8</v>
      </c>
      <c r="R2057" s="9">
        <f t="shared" ca="1" si="113"/>
        <v>102435.94992117089</v>
      </c>
    </row>
    <row r="2058" spans="1:18" x14ac:dyDescent="0.25">
      <c r="G2058" t="str">
        <f t="shared" si="111"/>
        <v>Insert into BlueCreditTypeRainbow Values (, , , , , )</v>
      </c>
      <c r="N2058" s="4">
        <v>2055</v>
      </c>
      <c r="O2058" s="8">
        <f>$B$7*COUNTIF(Sheet2!$B$1:$B$132,N2058)</f>
        <v>0</v>
      </c>
      <c r="P2058" s="8">
        <f t="shared" ca="1" si="112"/>
        <v>0</v>
      </c>
      <c r="Q2058" s="8">
        <f ca="1">CEILING(R2057*(IF(N2058&lt;=IF($B$2=0,0,OFFSET(Sheet2!$B$1,Sheet1!$B$2-1,0)),$B$1/(365*100),$B$3/(365*100)))*100,1)/100</f>
        <v>41.82</v>
      </c>
      <c r="R2058" s="9">
        <f t="shared" ca="1" si="113"/>
        <v>102477.7699211709</v>
      </c>
    </row>
    <row r="2059" spans="1:18" x14ac:dyDescent="0.25">
      <c r="G2059" t="str">
        <f t="shared" si="111"/>
        <v>Insert into BlueCreditTypeRainbow Values (, , , , , )</v>
      </c>
      <c r="N2059" s="4">
        <v>2056</v>
      </c>
      <c r="O2059" s="8">
        <f>$B$7*COUNTIF(Sheet2!$B$1:$B$132,N2059)</f>
        <v>0</v>
      </c>
      <c r="P2059" s="8">
        <f t="shared" ca="1" si="112"/>
        <v>0</v>
      </c>
      <c r="Q2059" s="8">
        <f ca="1">CEILING(R2058*(IF(N2059&lt;=IF($B$2=0,0,OFFSET(Sheet2!$B$1,Sheet1!$B$2-1,0)),$B$1/(365*100),$B$3/(365*100)))*100,1)/100</f>
        <v>41.84</v>
      </c>
      <c r="R2059" s="9">
        <f t="shared" ca="1" si="113"/>
        <v>102519.60992117089</v>
      </c>
    </row>
    <row r="2060" spans="1:18" x14ac:dyDescent="0.25">
      <c r="G2060" t="str">
        <f t="shared" si="111"/>
        <v>Insert into BlueCreditTypeRainbow Values (, , , , , )</v>
      </c>
      <c r="N2060" s="4">
        <v>2057</v>
      </c>
      <c r="O2060" s="8">
        <f>$B$7*COUNTIF(Sheet2!$B$1:$B$132,N2060)</f>
        <v>0</v>
      </c>
      <c r="P2060" s="8">
        <f t="shared" ca="1" si="112"/>
        <v>0</v>
      </c>
      <c r="Q2060" s="8">
        <f ca="1">CEILING(R2059*(IF(N2060&lt;=IF($B$2=0,0,OFFSET(Sheet2!$B$1,Sheet1!$B$2-1,0)),$B$1/(365*100),$B$3/(365*100)))*100,1)/100</f>
        <v>41.86</v>
      </c>
      <c r="R2060" s="9">
        <f t="shared" ca="1" si="113"/>
        <v>102561.46992117089</v>
      </c>
    </row>
    <row r="2061" spans="1:18" x14ac:dyDescent="0.25">
      <c r="G2061" t="str">
        <f t="shared" si="111"/>
        <v>Insert into BlueCreditTypeRainbow Values (, , , , , )</v>
      </c>
      <c r="N2061" s="4">
        <v>2058</v>
      </c>
      <c r="O2061" s="8">
        <f>$B$7*COUNTIF(Sheet2!$B$1:$B$132,N2061)</f>
        <v>0</v>
      </c>
      <c r="P2061" s="8">
        <f t="shared" ca="1" si="112"/>
        <v>0</v>
      </c>
      <c r="Q2061" s="8">
        <f ca="1">CEILING(R2060*(IF(N2061&lt;=IF($B$2=0,0,OFFSET(Sheet2!$B$1,Sheet1!$B$2-1,0)),$B$1/(365*100),$B$3/(365*100)))*100,1)/100</f>
        <v>41.87</v>
      </c>
      <c r="R2061" s="9">
        <f t="shared" ca="1" si="113"/>
        <v>102603.33992117089</v>
      </c>
    </row>
    <row r="2062" spans="1:18" x14ac:dyDescent="0.25">
      <c r="G2062" t="str">
        <f t="shared" si="111"/>
        <v>Insert into BlueCreditTypeRainbow Values (, , , , , )</v>
      </c>
      <c r="N2062" s="4">
        <v>2059</v>
      </c>
      <c r="O2062" s="8">
        <f>$B$7*COUNTIF(Sheet2!$B$1:$B$132,N2062)</f>
        <v>0</v>
      </c>
      <c r="P2062" s="8">
        <f t="shared" ca="1" si="112"/>
        <v>0</v>
      </c>
      <c r="Q2062" s="8">
        <f ca="1">CEILING(R2061*(IF(N2062&lt;=IF($B$2=0,0,OFFSET(Sheet2!$B$1,Sheet1!$B$2-1,0)),$B$1/(365*100),$B$3/(365*100)))*100,1)/100</f>
        <v>41.89</v>
      </c>
      <c r="R2062" s="9">
        <f t="shared" ca="1" si="113"/>
        <v>102645.22992117089</v>
      </c>
    </row>
    <row r="2063" spans="1:18" x14ac:dyDescent="0.25">
      <c r="G2063" t="str">
        <f t="shared" ref="G2063:G2126" si="114">CONCATENATE("Insert into BlueCreditTypeRainbow Values (",A2063,", ",B2063,", ",C2063,", ",D2063,", ",E2063,", ",F2063,")")</f>
        <v>Insert into BlueCreditTypeRainbow Values (, , , , , )</v>
      </c>
      <c r="N2063" s="4">
        <v>2060</v>
      </c>
      <c r="O2063" s="8">
        <f>$B$7*COUNTIF(Sheet2!$B$1:$B$132,N2063)</f>
        <v>0</v>
      </c>
      <c r="P2063" s="8">
        <f t="shared" ca="1" si="112"/>
        <v>0</v>
      </c>
      <c r="Q2063" s="8">
        <f ca="1">CEILING(R2062*(IF(N2063&lt;=IF($B$2=0,0,OFFSET(Sheet2!$B$1,Sheet1!$B$2-1,0)),$B$1/(365*100),$B$3/(365*100)))*100,1)/100</f>
        <v>41.91</v>
      </c>
      <c r="R2063" s="9">
        <f t="shared" ca="1" si="113"/>
        <v>102687.13992117089</v>
      </c>
    </row>
    <row r="2064" spans="1:18" x14ac:dyDescent="0.25">
      <c r="G2064" t="str">
        <f t="shared" si="114"/>
        <v>Insert into BlueCreditTypeRainbow Values (, , , , , )</v>
      </c>
      <c r="N2064" s="4">
        <v>2061</v>
      </c>
      <c r="O2064" s="8">
        <f>$B$7*COUNTIF(Sheet2!$B$1:$B$132,N2064)</f>
        <v>0</v>
      </c>
      <c r="P2064" s="8">
        <f t="shared" ca="1" si="112"/>
        <v>0</v>
      </c>
      <c r="Q2064" s="8">
        <f ca="1">CEILING(R2063*(IF(N2064&lt;=IF($B$2=0,0,OFFSET(Sheet2!$B$1,Sheet1!$B$2-1,0)),$B$1/(365*100),$B$3/(365*100)))*100,1)/100</f>
        <v>41.92</v>
      </c>
      <c r="R2064" s="9">
        <f t="shared" ca="1" si="113"/>
        <v>102729.05992117089</v>
      </c>
    </row>
    <row r="2065" spans="7:18" x14ac:dyDescent="0.25">
      <c r="G2065" t="str">
        <f t="shared" si="114"/>
        <v>Insert into BlueCreditTypeRainbow Values (, , , , , )</v>
      </c>
      <c r="N2065" s="4">
        <v>2062</v>
      </c>
      <c r="O2065" s="8">
        <f>$B$7*COUNTIF(Sheet2!$B$1:$B$132,N2065)</f>
        <v>0</v>
      </c>
      <c r="P2065" s="8">
        <f t="shared" ca="1" si="112"/>
        <v>0</v>
      </c>
      <c r="Q2065" s="8">
        <f ca="1">CEILING(R2064*(IF(N2065&lt;=IF($B$2=0,0,OFFSET(Sheet2!$B$1,Sheet1!$B$2-1,0)),$B$1/(365*100),$B$3/(365*100)))*100,1)/100</f>
        <v>41.94</v>
      </c>
      <c r="R2065" s="9">
        <f t="shared" ca="1" si="113"/>
        <v>102770.99992117089</v>
      </c>
    </row>
    <row r="2066" spans="7:18" x14ac:dyDescent="0.25">
      <c r="G2066" t="str">
        <f t="shared" si="114"/>
        <v>Insert into BlueCreditTypeRainbow Values (, , , , , )</v>
      </c>
      <c r="N2066" s="4">
        <v>2063</v>
      </c>
      <c r="O2066" s="8">
        <f>$B$7*COUNTIF(Sheet2!$B$1:$B$132,N2066)</f>
        <v>0</v>
      </c>
      <c r="P2066" s="8">
        <f t="shared" ca="1" si="112"/>
        <v>0</v>
      </c>
      <c r="Q2066" s="8">
        <f ca="1">CEILING(R2065*(IF(N2066&lt;=IF($B$2=0,0,OFFSET(Sheet2!$B$1,Sheet1!$B$2-1,0)),$B$1/(365*100),$B$3/(365*100)))*100,1)/100</f>
        <v>41.96</v>
      </c>
      <c r="R2066" s="9">
        <f t="shared" ca="1" si="113"/>
        <v>102812.9599211709</v>
      </c>
    </row>
    <row r="2067" spans="7:18" x14ac:dyDescent="0.25">
      <c r="G2067" t="str">
        <f t="shared" si="114"/>
        <v>Insert into BlueCreditTypeRainbow Values (, , , , , )</v>
      </c>
      <c r="N2067" s="4">
        <v>2064</v>
      </c>
      <c r="O2067" s="8">
        <f>$B$7*COUNTIF(Sheet2!$B$1:$B$132,N2067)</f>
        <v>0</v>
      </c>
      <c r="P2067" s="8">
        <f t="shared" ca="1" si="112"/>
        <v>0</v>
      </c>
      <c r="Q2067" s="8">
        <f ca="1">CEILING(R2066*(IF(N2067&lt;=IF($B$2=0,0,OFFSET(Sheet2!$B$1,Sheet1!$B$2-1,0)),$B$1/(365*100),$B$3/(365*100)))*100,1)/100</f>
        <v>41.98</v>
      </c>
      <c r="R2067" s="9">
        <f t="shared" ca="1" si="113"/>
        <v>102854.9399211709</v>
      </c>
    </row>
    <row r="2068" spans="7:18" x14ac:dyDescent="0.25">
      <c r="G2068" t="str">
        <f t="shared" si="114"/>
        <v>Insert into BlueCreditTypeRainbow Values (, , , , , )</v>
      </c>
      <c r="N2068" s="4">
        <v>2065</v>
      </c>
      <c r="O2068" s="8">
        <f>$B$7*COUNTIF(Sheet2!$B$1:$B$132,N2068)</f>
        <v>0</v>
      </c>
      <c r="P2068" s="8">
        <f t="shared" ca="1" si="112"/>
        <v>0</v>
      </c>
      <c r="Q2068" s="8">
        <f ca="1">CEILING(R2067*(IF(N2068&lt;=IF($B$2=0,0,OFFSET(Sheet2!$B$1,Sheet1!$B$2-1,0)),$B$1/(365*100),$B$3/(365*100)))*100,1)/100</f>
        <v>41.99</v>
      </c>
      <c r="R2068" s="9">
        <f t="shared" ca="1" si="113"/>
        <v>102896.9299211709</v>
      </c>
    </row>
    <row r="2069" spans="7:18" x14ac:dyDescent="0.25">
      <c r="G2069" t="str">
        <f t="shared" si="114"/>
        <v>Insert into BlueCreditTypeRainbow Values (, , , , , )</v>
      </c>
      <c r="N2069" s="4">
        <v>2066</v>
      </c>
      <c r="O2069" s="8">
        <f>$B$7*COUNTIF(Sheet2!$B$1:$B$132,N2069)</f>
        <v>0</v>
      </c>
      <c r="P2069" s="8">
        <f t="shared" ca="1" si="112"/>
        <v>0</v>
      </c>
      <c r="Q2069" s="8">
        <f ca="1">CEILING(R2068*(IF(N2069&lt;=IF($B$2=0,0,OFFSET(Sheet2!$B$1,Sheet1!$B$2-1,0)),$B$1/(365*100),$B$3/(365*100)))*100,1)/100</f>
        <v>42.01</v>
      </c>
      <c r="R2069" s="9">
        <f t="shared" ca="1" si="113"/>
        <v>102938.9399211709</v>
      </c>
    </row>
    <row r="2070" spans="7:18" x14ac:dyDescent="0.25">
      <c r="G2070" t="str">
        <f t="shared" si="114"/>
        <v>Insert into BlueCreditTypeRainbow Values (, , , , , )</v>
      </c>
      <c r="N2070" s="4">
        <v>2067</v>
      </c>
      <c r="O2070" s="8">
        <f>$B$7*COUNTIF(Sheet2!$B$1:$B$132,N2070)</f>
        <v>0</v>
      </c>
      <c r="P2070" s="8">
        <f t="shared" ca="1" si="112"/>
        <v>0</v>
      </c>
      <c r="Q2070" s="8">
        <f ca="1">CEILING(R2069*(IF(N2070&lt;=IF($B$2=0,0,OFFSET(Sheet2!$B$1,Sheet1!$B$2-1,0)),$B$1/(365*100),$B$3/(365*100)))*100,1)/100</f>
        <v>42.03</v>
      </c>
      <c r="R2070" s="9">
        <f t="shared" ca="1" si="113"/>
        <v>102980.96992117089</v>
      </c>
    </row>
    <row r="2071" spans="7:18" x14ac:dyDescent="0.25">
      <c r="G2071" t="str">
        <f t="shared" si="114"/>
        <v>Insert into BlueCreditTypeRainbow Values (, , , , , )</v>
      </c>
      <c r="N2071" s="4">
        <v>2068</v>
      </c>
      <c r="O2071" s="8">
        <f>$B$7*COUNTIF(Sheet2!$B$1:$B$132,N2071)</f>
        <v>0</v>
      </c>
      <c r="P2071" s="8">
        <f t="shared" ca="1" si="112"/>
        <v>0</v>
      </c>
      <c r="Q2071" s="8">
        <f ca="1">CEILING(R2070*(IF(N2071&lt;=IF($B$2=0,0,OFFSET(Sheet2!$B$1,Sheet1!$B$2-1,0)),$B$1/(365*100),$B$3/(365*100)))*100,1)/100</f>
        <v>42.04</v>
      </c>
      <c r="R2071" s="9">
        <f t="shared" ca="1" si="113"/>
        <v>103023.00992117089</v>
      </c>
    </row>
    <row r="2072" spans="7:18" x14ac:dyDescent="0.25">
      <c r="G2072" t="str">
        <f t="shared" si="114"/>
        <v>Insert into BlueCreditTypeRainbow Values (, , , , , )</v>
      </c>
      <c r="N2072" s="4">
        <v>2069</v>
      </c>
      <c r="O2072" s="8">
        <f>$B$7*COUNTIF(Sheet2!$B$1:$B$132,N2072)</f>
        <v>0</v>
      </c>
      <c r="P2072" s="8">
        <f t="shared" ca="1" si="112"/>
        <v>0</v>
      </c>
      <c r="Q2072" s="8">
        <f ca="1">CEILING(R2071*(IF(N2072&lt;=IF($B$2=0,0,OFFSET(Sheet2!$B$1,Sheet1!$B$2-1,0)),$B$1/(365*100),$B$3/(365*100)))*100,1)/100</f>
        <v>42.06</v>
      </c>
      <c r="R2072" s="9">
        <f t="shared" ca="1" si="113"/>
        <v>103065.06992117089</v>
      </c>
    </row>
    <row r="2073" spans="7:18" x14ac:dyDescent="0.25">
      <c r="G2073" t="str">
        <f t="shared" si="114"/>
        <v>Insert into BlueCreditTypeRainbow Values (, , , , , )</v>
      </c>
      <c r="N2073" s="4">
        <v>2070</v>
      </c>
      <c r="O2073" s="8">
        <f>$B$7*COUNTIF(Sheet2!$B$1:$B$132,N2073)</f>
        <v>0</v>
      </c>
      <c r="P2073" s="8">
        <f t="shared" ca="1" si="112"/>
        <v>0</v>
      </c>
      <c r="Q2073" s="8">
        <f ca="1">CEILING(R2072*(IF(N2073&lt;=IF($B$2=0,0,OFFSET(Sheet2!$B$1,Sheet1!$B$2-1,0)),$B$1/(365*100),$B$3/(365*100)))*100,1)/100</f>
        <v>42.08</v>
      </c>
      <c r="R2073" s="9">
        <f t="shared" ca="1" si="113"/>
        <v>103107.14992117089</v>
      </c>
    </row>
    <row r="2074" spans="7:18" x14ac:dyDescent="0.25">
      <c r="G2074" t="str">
        <f t="shared" si="114"/>
        <v>Insert into BlueCreditTypeRainbow Values (, , , , , )</v>
      </c>
      <c r="N2074" s="4">
        <v>2071</v>
      </c>
      <c r="O2074" s="8">
        <f>$B$7*COUNTIF(Sheet2!$B$1:$B$132,N2074)</f>
        <v>0</v>
      </c>
      <c r="P2074" s="8">
        <f t="shared" ca="1" si="112"/>
        <v>0</v>
      </c>
      <c r="Q2074" s="8">
        <f ca="1">CEILING(R2073*(IF(N2074&lt;=IF($B$2=0,0,OFFSET(Sheet2!$B$1,Sheet1!$B$2-1,0)),$B$1/(365*100),$B$3/(365*100)))*100,1)/100</f>
        <v>42.1</v>
      </c>
      <c r="R2074" s="9">
        <f t="shared" ca="1" si="113"/>
        <v>103149.24992117089</v>
      </c>
    </row>
    <row r="2075" spans="7:18" x14ac:dyDescent="0.25">
      <c r="G2075" t="str">
        <f t="shared" si="114"/>
        <v>Insert into BlueCreditTypeRainbow Values (, , , , , )</v>
      </c>
      <c r="N2075" s="4">
        <v>2072</v>
      </c>
      <c r="O2075" s="8">
        <f>$B$7*COUNTIF(Sheet2!$B$1:$B$132,N2075)</f>
        <v>21157.10552356458</v>
      </c>
      <c r="P2075" s="8">
        <f t="shared" ca="1" si="112"/>
        <v>21114.995523564579</v>
      </c>
      <c r="Q2075" s="8">
        <f ca="1">CEILING(R2074*(IF(N2075&lt;=IF($B$2=0,0,OFFSET(Sheet2!$B$1,Sheet1!$B$2-1,0)),$B$1/(365*100),$B$3/(365*100)))*100,1)/100</f>
        <v>42.11</v>
      </c>
      <c r="R2075" s="9">
        <f t="shared" ca="1" si="113"/>
        <v>82034.254397606317</v>
      </c>
    </row>
    <row r="2076" spans="7:18" x14ac:dyDescent="0.25">
      <c r="G2076" t="str">
        <f t="shared" si="114"/>
        <v>Insert into BlueCreditTypeRainbow Values (, , , , , )</v>
      </c>
      <c r="N2076" s="4">
        <v>2073</v>
      </c>
      <c r="O2076" s="8">
        <f>$B$7*COUNTIF(Sheet2!$B$1:$B$132,N2076)</f>
        <v>0</v>
      </c>
      <c r="P2076" s="8">
        <f t="shared" ca="1" si="112"/>
        <v>0</v>
      </c>
      <c r="Q2076" s="8">
        <f ca="1">CEILING(R2075*(IF(N2076&lt;=IF($B$2=0,0,OFFSET(Sheet2!$B$1,Sheet1!$B$2-1,0)),$B$1/(365*100),$B$3/(365*100)))*100,1)/100</f>
        <v>33.49</v>
      </c>
      <c r="R2076" s="9">
        <f t="shared" ca="1" si="113"/>
        <v>82067.744397606322</v>
      </c>
    </row>
    <row r="2077" spans="7:18" x14ac:dyDescent="0.25">
      <c r="G2077" t="str">
        <f t="shared" si="114"/>
        <v>Insert into BlueCreditTypeRainbow Values (, , , , , )</v>
      </c>
      <c r="N2077" s="4">
        <v>2074</v>
      </c>
      <c r="O2077" s="8">
        <f>$B$7*COUNTIF(Sheet2!$B$1:$B$132,N2077)</f>
        <v>0</v>
      </c>
      <c r="P2077" s="8">
        <f t="shared" ca="1" si="112"/>
        <v>0</v>
      </c>
      <c r="Q2077" s="8">
        <f ca="1">CEILING(R2076*(IF(N2077&lt;=IF($B$2=0,0,OFFSET(Sheet2!$B$1,Sheet1!$B$2-1,0)),$B$1/(365*100),$B$3/(365*100)))*100,1)/100</f>
        <v>33.51</v>
      </c>
      <c r="R2077" s="9">
        <f t="shared" ca="1" si="113"/>
        <v>82101.254397606317</v>
      </c>
    </row>
    <row r="2078" spans="7:18" x14ac:dyDescent="0.25">
      <c r="G2078" t="str">
        <f t="shared" si="114"/>
        <v>Insert into BlueCreditTypeRainbow Values (, , , , , )</v>
      </c>
      <c r="N2078" s="4">
        <v>2075</v>
      </c>
      <c r="O2078" s="8">
        <f>$B$7*COUNTIF(Sheet2!$B$1:$B$132,N2078)</f>
        <v>0</v>
      </c>
      <c r="P2078" s="8">
        <f t="shared" ca="1" si="112"/>
        <v>0</v>
      </c>
      <c r="Q2078" s="8">
        <f ca="1">CEILING(R2077*(IF(N2078&lt;=IF($B$2=0,0,OFFSET(Sheet2!$B$1,Sheet1!$B$2-1,0)),$B$1/(365*100),$B$3/(365*100)))*100,1)/100</f>
        <v>33.520000000000003</v>
      </c>
      <c r="R2078" s="9">
        <f t="shared" ca="1" si="113"/>
        <v>82134.774397606321</v>
      </c>
    </row>
    <row r="2079" spans="7:18" x14ac:dyDescent="0.25">
      <c r="G2079" t="str">
        <f t="shared" si="114"/>
        <v>Insert into BlueCreditTypeRainbow Values (, , , , , )</v>
      </c>
      <c r="N2079" s="4">
        <v>2076</v>
      </c>
      <c r="O2079" s="8">
        <f>$B$7*COUNTIF(Sheet2!$B$1:$B$132,N2079)</f>
        <v>0</v>
      </c>
      <c r="P2079" s="8">
        <f t="shared" ca="1" si="112"/>
        <v>0</v>
      </c>
      <c r="Q2079" s="8">
        <f ca="1">CEILING(R2078*(IF(N2079&lt;=IF($B$2=0,0,OFFSET(Sheet2!$B$1,Sheet1!$B$2-1,0)),$B$1/(365*100),$B$3/(365*100)))*100,1)/100</f>
        <v>33.53</v>
      </c>
      <c r="R2079" s="9">
        <f t="shared" ca="1" si="113"/>
        <v>82168.30439760632</v>
      </c>
    </row>
    <row r="2080" spans="7:18" x14ac:dyDescent="0.25">
      <c r="G2080" t="str">
        <f t="shared" si="114"/>
        <v>Insert into BlueCreditTypeRainbow Values (, , , , , )</v>
      </c>
      <c r="N2080" s="4">
        <v>2077</v>
      </c>
      <c r="O2080" s="8">
        <f>$B$7*COUNTIF(Sheet2!$B$1:$B$132,N2080)</f>
        <v>0</v>
      </c>
      <c r="P2080" s="8">
        <f t="shared" ca="1" si="112"/>
        <v>0</v>
      </c>
      <c r="Q2080" s="8">
        <f ca="1">CEILING(R2079*(IF(N2080&lt;=IF($B$2=0,0,OFFSET(Sheet2!$B$1,Sheet1!$B$2-1,0)),$B$1/(365*100),$B$3/(365*100)))*100,1)/100</f>
        <v>33.549999999999997</v>
      </c>
      <c r="R2080" s="9">
        <f t="shared" ca="1" si="113"/>
        <v>82201.854397606323</v>
      </c>
    </row>
    <row r="2081" spans="7:18" x14ac:dyDescent="0.25">
      <c r="G2081" t="str">
        <f t="shared" si="114"/>
        <v>Insert into BlueCreditTypeRainbow Values (, , , , , )</v>
      </c>
      <c r="N2081" s="4">
        <v>2078</v>
      </c>
      <c r="O2081" s="8">
        <f>$B$7*COUNTIF(Sheet2!$B$1:$B$132,N2081)</f>
        <v>0</v>
      </c>
      <c r="P2081" s="8">
        <f t="shared" ca="1" si="112"/>
        <v>0</v>
      </c>
      <c r="Q2081" s="8">
        <f ca="1">CEILING(R2080*(IF(N2081&lt;=IF($B$2=0,0,OFFSET(Sheet2!$B$1,Sheet1!$B$2-1,0)),$B$1/(365*100),$B$3/(365*100)))*100,1)/100</f>
        <v>33.56</v>
      </c>
      <c r="R2081" s="9">
        <f t="shared" ca="1" si="113"/>
        <v>82235.414397606321</v>
      </c>
    </row>
    <row r="2082" spans="7:18" x14ac:dyDescent="0.25">
      <c r="G2082" t="str">
        <f t="shared" si="114"/>
        <v>Insert into BlueCreditTypeRainbow Values (, , , , , )</v>
      </c>
      <c r="N2082" s="4">
        <v>2079</v>
      </c>
      <c r="O2082" s="8">
        <f>$B$7*COUNTIF(Sheet2!$B$1:$B$132,N2082)</f>
        <v>0</v>
      </c>
      <c r="P2082" s="8">
        <f t="shared" ca="1" si="112"/>
        <v>0</v>
      </c>
      <c r="Q2082" s="8">
        <f ca="1">CEILING(R2081*(IF(N2082&lt;=IF($B$2=0,0,OFFSET(Sheet2!$B$1,Sheet1!$B$2-1,0)),$B$1/(365*100),$B$3/(365*100)))*100,1)/100</f>
        <v>33.58</v>
      </c>
      <c r="R2082" s="9">
        <f t="shared" ca="1" si="113"/>
        <v>82268.994397606322</v>
      </c>
    </row>
    <row r="2083" spans="7:18" x14ac:dyDescent="0.25">
      <c r="G2083" t="str">
        <f t="shared" si="114"/>
        <v>Insert into BlueCreditTypeRainbow Values (, , , , , )</v>
      </c>
      <c r="N2083" s="4">
        <v>2080</v>
      </c>
      <c r="O2083" s="8">
        <f>$B$7*COUNTIF(Sheet2!$B$1:$B$132,N2083)</f>
        <v>0</v>
      </c>
      <c r="P2083" s="8">
        <f t="shared" ca="1" si="112"/>
        <v>0</v>
      </c>
      <c r="Q2083" s="8">
        <f ca="1">CEILING(R2082*(IF(N2083&lt;=IF($B$2=0,0,OFFSET(Sheet2!$B$1,Sheet1!$B$2-1,0)),$B$1/(365*100),$B$3/(365*100)))*100,1)/100</f>
        <v>33.590000000000003</v>
      </c>
      <c r="R2083" s="9">
        <f t="shared" ca="1" si="113"/>
        <v>82302.584397606319</v>
      </c>
    </row>
    <row r="2084" spans="7:18" x14ac:dyDescent="0.25">
      <c r="G2084" t="str">
        <f t="shared" si="114"/>
        <v>Insert into BlueCreditTypeRainbow Values (, , , , , )</v>
      </c>
      <c r="N2084" s="4">
        <v>2081</v>
      </c>
      <c r="O2084" s="8">
        <f>$B$7*COUNTIF(Sheet2!$B$1:$B$132,N2084)</f>
        <v>0</v>
      </c>
      <c r="P2084" s="8">
        <f t="shared" ca="1" si="112"/>
        <v>0</v>
      </c>
      <c r="Q2084" s="8">
        <f ca="1">CEILING(R2083*(IF(N2084&lt;=IF($B$2=0,0,OFFSET(Sheet2!$B$1,Sheet1!$B$2-1,0)),$B$1/(365*100),$B$3/(365*100)))*100,1)/100</f>
        <v>33.6</v>
      </c>
      <c r="R2084" s="9">
        <f t="shared" ca="1" si="113"/>
        <v>82336.184397606325</v>
      </c>
    </row>
    <row r="2085" spans="7:18" x14ac:dyDescent="0.25">
      <c r="G2085" t="str">
        <f t="shared" si="114"/>
        <v>Insert into BlueCreditTypeRainbow Values (, , , , , )</v>
      </c>
      <c r="N2085" s="4">
        <v>2082</v>
      </c>
      <c r="O2085" s="8">
        <f>$B$7*COUNTIF(Sheet2!$B$1:$B$132,N2085)</f>
        <v>0</v>
      </c>
      <c r="P2085" s="8">
        <f t="shared" ca="1" si="112"/>
        <v>0</v>
      </c>
      <c r="Q2085" s="8">
        <f ca="1">CEILING(R2084*(IF(N2085&lt;=IF($B$2=0,0,OFFSET(Sheet2!$B$1,Sheet1!$B$2-1,0)),$B$1/(365*100),$B$3/(365*100)))*100,1)/100</f>
        <v>33.619999999999997</v>
      </c>
      <c r="R2085" s="9">
        <f t="shared" ca="1" si="113"/>
        <v>82369.80439760632</v>
      </c>
    </row>
    <row r="2086" spans="7:18" x14ac:dyDescent="0.25">
      <c r="G2086" t="str">
        <f t="shared" si="114"/>
        <v>Insert into BlueCreditTypeRainbow Values (, , , , , )</v>
      </c>
      <c r="N2086" s="4">
        <v>2083</v>
      </c>
      <c r="O2086" s="8">
        <f>$B$7*COUNTIF(Sheet2!$B$1:$B$132,N2086)</f>
        <v>0</v>
      </c>
      <c r="P2086" s="8">
        <f t="shared" ca="1" si="112"/>
        <v>0</v>
      </c>
      <c r="Q2086" s="8">
        <f ca="1">CEILING(R2085*(IF(N2086&lt;=IF($B$2=0,0,OFFSET(Sheet2!$B$1,Sheet1!$B$2-1,0)),$B$1/(365*100),$B$3/(365*100)))*100,1)/100</f>
        <v>33.630000000000003</v>
      </c>
      <c r="R2086" s="9">
        <f t="shared" ca="1" si="113"/>
        <v>82403.434397606325</v>
      </c>
    </row>
    <row r="2087" spans="7:18" x14ac:dyDescent="0.25">
      <c r="G2087" t="str">
        <f t="shared" si="114"/>
        <v>Insert into BlueCreditTypeRainbow Values (, , , , , )</v>
      </c>
      <c r="N2087" s="4">
        <v>2084</v>
      </c>
      <c r="O2087" s="8">
        <f>$B$7*COUNTIF(Sheet2!$B$1:$B$132,N2087)</f>
        <v>0</v>
      </c>
      <c r="P2087" s="8">
        <f t="shared" ca="1" si="112"/>
        <v>0</v>
      </c>
      <c r="Q2087" s="8">
        <f ca="1">CEILING(R2086*(IF(N2087&lt;=IF($B$2=0,0,OFFSET(Sheet2!$B$1,Sheet1!$B$2-1,0)),$B$1/(365*100),$B$3/(365*100)))*100,1)/100</f>
        <v>33.64</v>
      </c>
      <c r="R2087" s="9">
        <f t="shared" ca="1" si="113"/>
        <v>82437.074397606324</v>
      </c>
    </row>
    <row r="2088" spans="7:18" x14ac:dyDescent="0.25">
      <c r="G2088" t="str">
        <f t="shared" si="114"/>
        <v>Insert into BlueCreditTypeRainbow Values (, , , , , )</v>
      </c>
      <c r="N2088" s="4">
        <v>2085</v>
      </c>
      <c r="O2088" s="8">
        <f>$B$7*COUNTIF(Sheet2!$B$1:$B$132,N2088)</f>
        <v>0</v>
      </c>
      <c r="P2088" s="8">
        <f t="shared" ca="1" si="112"/>
        <v>0</v>
      </c>
      <c r="Q2088" s="8">
        <f ca="1">CEILING(R2087*(IF(N2088&lt;=IF($B$2=0,0,OFFSET(Sheet2!$B$1,Sheet1!$B$2-1,0)),$B$1/(365*100),$B$3/(365*100)))*100,1)/100</f>
        <v>33.659999999999997</v>
      </c>
      <c r="R2088" s="9">
        <f t="shared" ca="1" si="113"/>
        <v>82470.734397606328</v>
      </c>
    </row>
    <row r="2089" spans="7:18" x14ac:dyDescent="0.25">
      <c r="G2089" t="str">
        <f t="shared" si="114"/>
        <v>Insert into BlueCreditTypeRainbow Values (, , , , , )</v>
      </c>
      <c r="N2089" s="4">
        <v>2086</v>
      </c>
      <c r="O2089" s="8">
        <f>$B$7*COUNTIF(Sheet2!$B$1:$B$132,N2089)</f>
        <v>0</v>
      </c>
      <c r="P2089" s="8">
        <f t="shared" ca="1" si="112"/>
        <v>0</v>
      </c>
      <c r="Q2089" s="8">
        <f ca="1">CEILING(R2088*(IF(N2089&lt;=IF($B$2=0,0,OFFSET(Sheet2!$B$1,Sheet1!$B$2-1,0)),$B$1/(365*100),$B$3/(365*100)))*100,1)/100</f>
        <v>33.67</v>
      </c>
      <c r="R2089" s="9">
        <f t="shared" ca="1" si="113"/>
        <v>82504.404397606326</v>
      </c>
    </row>
    <row r="2090" spans="7:18" x14ac:dyDescent="0.25">
      <c r="G2090" t="str">
        <f t="shared" si="114"/>
        <v>Insert into BlueCreditTypeRainbow Values (, , , , , )</v>
      </c>
      <c r="N2090" s="4">
        <v>2087</v>
      </c>
      <c r="O2090" s="8">
        <f>$B$7*COUNTIF(Sheet2!$B$1:$B$132,N2090)</f>
        <v>0</v>
      </c>
      <c r="P2090" s="8">
        <f t="shared" ca="1" si="112"/>
        <v>0</v>
      </c>
      <c r="Q2090" s="8">
        <f ca="1">CEILING(R2089*(IF(N2090&lt;=IF($B$2=0,0,OFFSET(Sheet2!$B$1,Sheet1!$B$2-1,0)),$B$1/(365*100),$B$3/(365*100)))*100,1)/100</f>
        <v>33.68</v>
      </c>
      <c r="R2090" s="9">
        <f t="shared" ca="1" si="113"/>
        <v>82538.084397606319</v>
      </c>
    </row>
    <row r="2091" spans="7:18" x14ac:dyDescent="0.25">
      <c r="G2091" t="str">
        <f t="shared" si="114"/>
        <v>Insert into BlueCreditTypeRainbow Values (, , , , , )</v>
      </c>
      <c r="N2091" s="4">
        <v>2088</v>
      </c>
      <c r="O2091" s="8">
        <f>$B$7*COUNTIF(Sheet2!$B$1:$B$132,N2091)</f>
        <v>0</v>
      </c>
      <c r="P2091" s="8">
        <f t="shared" ca="1" si="112"/>
        <v>0</v>
      </c>
      <c r="Q2091" s="8">
        <f ca="1">CEILING(R2090*(IF(N2091&lt;=IF($B$2=0,0,OFFSET(Sheet2!$B$1,Sheet1!$B$2-1,0)),$B$1/(365*100),$B$3/(365*100)))*100,1)/100</f>
        <v>33.700000000000003</v>
      </c>
      <c r="R2091" s="9">
        <f t="shared" ca="1" si="113"/>
        <v>82571.784397606316</v>
      </c>
    </row>
    <row r="2092" spans="7:18" x14ac:dyDescent="0.25">
      <c r="G2092" t="str">
        <f t="shared" si="114"/>
        <v>Insert into BlueCreditTypeRainbow Values (, , , , , )</v>
      </c>
      <c r="N2092" s="4">
        <v>2089</v>
      </c>
      <c r="O2092" s="8">
        <f>$B$7*COUNTIF(Sheet2!$B$1:$B$132,N2092)</f>
        <v>0</v>
      </c>
      <c r="P2092" s="8">
        <f t="shared" ca="1" si="112"/>
        <v>0</v>
      </c>
      <c r="Q2092" s="8">
        <f ca="1">CEILING(R2091*(IF(N2092&lt;=IF($B$2=0,0,OFFSET(Sheet2!$B$1,Sheet1!$B$2-1,0)),$B$1/(365*100),$B$3/(365*100)))*100,1)/100</f>
        <v>33.71</v>
      </c>
      <c r="R2092" s="9">
        <f t="shared" ca="1" si="113"/>
        <v>82605.494397606322</v>
      </c>
    </row>
    <row r="2093" spans="7:18" x14ac:dyDescent="0.25">
      <c r="G2093" t="str">
        <f t="shared" si="114"/>
        <v>Insert into BlueCreditTypeRainbow Values (, , , , , )</v>
      </c>
      <c r="N2093" s="4">
        <v>2090</v>
      </c>
      <c r="O2093" s="8">
        <f>$B$7*COUNTIF(Sheet2!$B$1:$B$132,N2093)</f>
        <v>0</v>
      </c>
      <c r="P2093" s="8">
        <f t="shared" ca="1" si="112"/>
        <v>0</v>
      </c>
      <c r="Q2093" s="8">
        <f ca="1">CEILING(R2092*(IF(N2093&lt;=IF($B$2=0,0,OFFSET(Sheet2!$B$1,Sheet1!$B$2-1,0)),$B$1/(365*100),$B$3/(365*100)))*100,1)/100</f>
        <v>33.729999999999997</v>
      </c>
      <c r="R2093" s="9">
        <f t="shared" ca="1" si="113"/>
        <v>82639.224397606318</v>
      </c>
    </row>
    <row r="2094" spans="7:18" x14ac:dyDescent="0.25">
      <c r="G2094" t="str">
        <f t="shared" si="114"/>
        <v>Insert into BlueCreditTypeRainbow Values (, , , , , )</v>
      </c>
      <c r="N2094" s="4">
        <v>2091</v>
      </c>
      <c r="O2094" s="8">
        <f>$B$7*COUNTIF(Sheet2!$B$1:$B$132,N2094)</f>
        <v>0</v>
      </c>
      <c r="P2094" s="8">
        <f t="shared" ca="1" si="112"/>
        <v>0</v>
      </c>
      <c r="Q2094" s="8">
        <f ca="1">CEILING(R2093*(IF(N2094&lt;=IF($B$2=0,0,OFFSET(Sheet2!$B$1,Sheet1!$B$2-1,0)),$B$1/(365*100),$B$3/(365*100)))*100,1)/100</f>
        <v>33.74</v>
      </c>
      <c r="R2094" s="9">
        <f t="shared" ca="1" si="113"/>
        <v>82672.964397606323</v>
      </c>
    </row>
    <row r="2095" spans="7:18" x14ac:dyDescent="0.25">
      <c r="G2095" t="str">
        <f t="shared" si="114"/>
        <v>Insert into BlueCreditTypeRainbow Values (, , , , , )</v>
      </c>
      <c r="N2095" s="4">
        <v>2092</v>
      </c>
      <c r="O2095" s="8">
        <f>$B$7*COUNTIF(Sheet2!$B$1:$B$132,N2095)</f>
        <v>0</v>
      </c>
      <c r="P2095" s="8">
        <f t="shared" ca="1" si="112"/>
        <v>0</v>
      </c>
      <c r="Q2095" s="8">
        <f ca="1">CEILING(R2094*(IF(N2095&lt;=IF($B$2=0,0,OFFSET(Sheet2!$B$1,Sheet1!$B$2-1,0)),$B$1/(365*100),$B$3/(365*100)))*100,1)/100</f>
        <v>33.75</v>
      </c>
      <c r="R2095" s="9">
        <f t="shared" ca="1" si="113"/>
        <v>82706.714397606323</v>
      </c>
    </row>
    <row r="2096" spans="7:18" x14ac:dyDescent="0.25">
      <c r="G2096" t="str">
        <f t="shared" si="114"/>
        <v>Insert into BlueCreditTypeRainbow Values (, , , , , )</v>
      </c>
      <c r="N2096" s="4">
        <v>2093</v>
      </c>
      <c r="O2096" s="8">
        <f>$B$7*COUNTIF(Sheet2!$B$1:$B$132,N2096)</f>
        <v>0</v>
      </c>
      <c r="P2096" s="8">
        <f t="shared" ca="1" si="112"/>
        <v>0</v>
      </c>
      <c r="Q2096" s="8">
        <f ca="1">CEILING(R2095*(IF(N2096&lt;=IF($B$2=0,0,OFFSET(Sheet2!$B$1,Sheet1!$B$2-1,0)),$B$1/(365*100),$B$3/(365*100)))*100,1)/100</f>
        <v>33.770000000000003</v>
      </c>
      <c r="R2096" s="9">
        <f t="shared" ca="1" si="113"/>
        <v>82740.484397606328</v>
      </c>
    </row>
    <row r="2097" spans="7:18" x14ac:dyDescent="0.25">
      <c r="G2097" t="str">
        <f t="shared" si="114"/>
        <v>Insert into BlueCreditTypeRainbow Values (, , , , , )</v>
      </c>
      <c r="N2097" s="4">
        <v>2094</v>
      </c>
      <c r="O2097" s="8">
        <f>$B$7*COUNTIF(Sheet2!$B$1:$B$132,N2097)</f>
        <v>0</v>
      </c>
      <c r="P2097" s="8">
        <f t="shared" ca="1" si="112"/>
        <v>0</v>
      </c>
      <c r="Q2097" s="8">
        <f ca="1">CEILING(R2096*(IF(N2097&lt;=IF($B$2=0,0,OFFSET(Sheet2!$B$1,Sheet1!$B$2-1,0)),$B$1/(365*100),$B$3/(365*100)))*100,1)/100</f>
        <v>33.78</v>
      </c>
      <c r="R2097" s="9">
        <f t="shared" ca="1" si="113"/>
        <v>82774.264397606326</v>
      </c>
    </row>
    <row r="2098" spans="7:18" x14ac:dyDescent="0.25">
      <c r="G2098" t="str">
        <f t="shared" si="114"/>
        <v>Insert into BlueCreditTypeRainbow Values (, , , , , )</v>
      </c>
      <c r="N2098" s="4">
        <v>2095</v>
      </c>
      <c r="O2098" s="8">
        <f>$B$7*COUNTIF(Sheet2!$B$1:$B$132,N2098)</f>
        <v>0</v>
      </c>
      <c r="P2098" s="8">
        <f t="shared" ca="1" si="112"/>
        <v>0</v>
      </c>
      <c r="Q2098" s="8">
        <f ca="1">CEILING(R2097*(IF(N2098&lt;=IF($B$2=0,0,OFFSET(Sheet2!$B$1,Sheet1!$B$2-1,0)),$B$1/(365*100),$B$3/(365*100)))*100,1)/100</f>
        <v>33.799999999999997</v>
      </c>
      <c r="R2098" s="9">
        <f t="shared" ca="1" si="113"/>
        <v>82808.064397606329</v>
      </c>
    </row>
    <row r="2099" spans="7:18" x14ac:dyDescent="0.25">
      <c r="G2099" t="str">
        <f t="shared" si="114"/>
        <v>Insert into BlueCreditTypeRainbow Values (, , , , , )</v>
      </c>
      <c r="N2099" s="4">
        <v>2096</v>
      </c>
      <c r="O2099" s="8">
        <f>$B$7*COUNTIF(Sheet2!$B$1:$B$132,N2099)</f>
        <v>0</v>
      </c>
      <c r="P2099" s="8">
        <f t="shared" ca="1" si="112"/>
        <v>0</v>
      </c>
      <c r="Q2099" s="8">
        <f ca="1">CEILING(R2098*(IF(N2099&lt;=IF($B$2=0,0,OFFSET(Sheet2!$B$1,Sheet1!$B$2-1,0)),$B$1/(365*100),$B$3/(365*100)))*100,1)/100</f>
        <v>33.81</v>
      </c>
      <c r="R2099" s="9">
        <f t="shared" ca="1" si="113"/>
        <v>82841.874397606327</v>
      </c>
    </row>
    <row r="2100" spans="7:18" x14ac:dyDescent="0.25">
      <c r="G2100" t="str">
        <f t="shared" si="114"/>
        <v>Insert into BlueCreditTypeRainbow Values (, , , , , )</v>
      </c>
      <c r="N2100" s="4">
        <v>2097</v>
      </c>
      <c r="O2100" s="8">
        <f>$B$7*COUNTIF(Sheet2!$B$1:$B$132,N2100)</f>
        <v>0</v>
      </c>
      <c r="P2100" s="8">
        <f t="shared" ca="1" si="112"/>
        <v>0</v>
      </c>
      <c r="Q2100" s="8">
        <f ca="1">CEILING(R2099*(IF(N2100&lt;=IF($B$2=0,0,OFFSET(Sheet2!$B$1,Sheet1!$B$2-1,0)),$B$1/(365*100),$B$3/(365*100)))*100,1)/100</f>
        <v>33.82</v>
      </c>
      <c r="R2100" s="9">
        <f t="shared" ca="1" si="113"/>
        <v>82875.694397606334</v>
      </c>
    </row>
    <row r="2101" spans="7:18" x14ac:dyDescent="0.25">
      <c r="G2101" t="str">
        <f t="shared" si="114"/>
        <v>Insert into BlueCreditTypeRainbow Values (, , , , , )</v>
      </c>
      <c r="N2101" s="4">
        <v>2098</v>
      </c>
      <c r="O2101" s="8">
        <f>$B$7*COUNTIF(Sheet2!$B$1:$B$132,N2101)</f>
        <v>0</v>
      </c>
      <c r="P2101" s="8">
        <f t="shared" ca="1" si="112"/>
        <v>0</v>
      </c>
      <c r="Q2101" s="8">
        <f ca="1">CEILING(R2100*(IF(N2101&lt;=IF($B$2=0,0,OFFSET(Sheet2!$B$1,Sheet1!$B$2-1,0)),$B$1/(365*100),$B$3/(365*100)))*100,1)/100</f>
        <v>33.840000000000003</v>
      </c>
      <c r="R2101" s="9">
        <f t="shared" ca="1" si="113"/>
        <v>82909.53439760633</v>
      </c>
    </row>
    <row r="2102" spans="7:18" x14ac:dyDescent="0.25">
      <c r="G2102" t="str">
        <f t="shared" si="114"/>
        <v>Insert into BlueCreditTypeRainbow Values (, , , , , )</v>
      </c>
      <c r="N2102" s="4">
        <v>2099</v>
      </c>
      <c r="O2102" s="8">
        <f>$B$7*COUNTIF(Sheet2!$B$1:$B$132,N2102)</f>
        <v>0</v>
      </c>
      <c r="P2102" s="8">
        <f t="shared" ca="1" si="112"/>
        <v>0</v>
      </c>
      <c r="Q2102" s="8">
        <f ca="1">CEILING(R2101*(IF(N2102&lt;=IF($B$2=0,0,OFFSET(Sheet2!$B$1,Sheet1!$B$2-1,0)),$B$1/(365*100),$B$3/(365*100)))*100,1)/100</f>
        <v>33.85</v>
      </c>
      <c r="R2102" s="9">
        <f t="shared" ca="1" si="113"/>
        <v>82943.384397606336</v>
      </c>
    </row>
    <row r="2103" spans="7:18" x14ac:dyDescent="0.25">
      <c r="G2103" t="str">
        <f t="shared" si="114"/>
        <v>Insert into BlueCreditTypeRainbow Values (, , , , , )</v>
      </c>
      <c r="N2103" s="4">
        <v>2100</v>
      </c>
      <c r="O2103" s="8">
        <f>$B$7*COUNTIF(Sheet2!$B$1:$B$132,N2103)</f>
        <v>0</v>
      </c>
      <c r="P2103" s="8">
        <f t="shared" ca="1" si="112"/>
        <v>0</v>
      </c>
      <c r="Q2103" s="8">
        <f ca="1">CEILING(R2102*(IF(N2103&lt;=IF($B$2=0,0,OFFSET(Sheet2!$B$1,Sheet1!$B$2-1,0)),$B$1/(365*100),$B$3/(365*100)))*100,1)/100</f>
        <v>33.86</v>
      </c>
      <c r="R2103" s="9">
        <f t="shared" ca="1" si="113"/>
        <v>82977.244397606337</v>
      </c>
    </row>
    <row r="2104" spans="7:18" x14ac:dyDescent="0.25">
      <c r="G2104" t="str">
        <f t="shared" si="114"/>
        <v>Insert into BlueCreditTypeRainbow Values (, , , , , )</v>
      </c>
      <c r="N2104" s="4">
        <v>2101</v>
      </c>
      <c r="O2104" s="8">
        <f>$B$7*COUNTIF(Sheet2!$B$1:$B$132,N2104)</f>
        <v>0</v>
      </c>
      <c r="P2104" s="8">
        <f t="shared" ca="1" si="112"/>
        <v>0</v>
      </c>
      <c r="Q2104" s="8">
        <f ca="1">CEILING(R2103*(IF(N2104&lt;=IF($B$2=0,0,OFFSET(Sheet2!$B$1,Sheet1!$B$2-1,0)),$B$1/(365*100),$B$3/(365*100)))*100,1)/100</f>
        <v>33.880000000000003</v>
      </c>
      <c r="R2104" s="9">
        <f t="shared" ca="1" si="113"/>
        <v>83011.124397606342</v>
      </c>
    </row>
    <row r="2105" spans="7:18" x14ac:dyDescent="0.25">
      <c r="G2105" t="str">
        <f t="shared" si="114"/>
        <v>Insert into BlueCreditTypeRainbow Values (, , , , , )</v>
      </c>
      <c r="N2105" s="4">
        <v>2102</v>
      </c>
      <c r="O2105" s="8">
        <f>$B$7*COUNTIF(Sheet2!$B$1:$B$132,N2105)</f>
        <v>0</v>
      </c>
      <c r="P2105" s="8">
        <f t="shared" ca="1" si="112"/>
        <v>0</v>
      </c>
      <c r="Q2105" s="8">
        <f ca="1">CEILING(R2104*(IF(N2105&lt;=IF($B$2=0,0,OFFSET(Sheet2!$B$1,Sheet1!$B$2-1,0)),$B$1/(365*100),$B$3/(365*100)))*100,1)/100</f>
        <v>33.89</v>
      </c>
      <c r="R2105" s="9">
        <f t="shared" ca="1" si="113"/>
        <v>83045.014397606341</v>
      </c>
    </row>
    <row r="2106" spans="7:18" x14ac:dyDescent="0.25">
      <c r="G2106" t="str">
        <f t="shared" si="114"/>
        <v>Insert into BlueCreditTypeRainbow Values (, , , , , )</v>
      </c>
      <c r="N2106" s="4">
        <v>2103</v>
      </c>
      <c r="O2106" s="8">
        <f>$B$7*COUNTIF(Sheet2!$B$1:$B$132,N2106)</f>
        <v>21157.10552356458</v>
      </c>
      <c r="P2106" s="8">
        <f t="shared" ca="1" si="112"/>
        <v>21123.19552356458</v>
      </c>
      <c r="Q2106" s="8">
        <f ca="1">CEILING(R2105*(IF(N2106&lt;=IF($B$2=0,0,OFFSET(Sheet2!$B$1,Sheet1!$B$2-1,0)),$B$1/(365*100),$B$3/(365*100)))*100,1)/100</f>
        <v>33.909999999999997</v>
      </c>
      <c r="R2106" s="9">
        <f t="shared" ca="1" si="113"/>
        <v>61921.818874041768</v>
      </c>
    </row>
    <row r="2107" spans="7:18" x14ac:dyDescent="0.25">
      <c r="G2107" t="str">
        <f t="shared" si="114"/>
        <v>Insert into BlueCreditTypeRainbow Values (, , , , , )</v>
      </c>
      <c r="N2107" s="4">
        <v>2104</v>
      </c>
      <c r="O2107" s="8">
        <f>$B$7*COUNTIF(Sheet2!$B$1:$B$132,N2107)</f>
        <v>0</v>
      </c>
      <c r="P2107" s="8">
        <f t="shared" ca="1" si="112"/>
        <v>0</v>
      </c>
      <c r="Q2107" s="8">
        <f ca="1">CEILING(R2106*(IF(N2107&lt;=IF($B$2=0,0,OFFSET(Sheet2!$B$1,Sheet1!$B$2-1,0)),$B$1/(365*100),$B$3/(365*100)))*100,1)/100</f>
        <v>25.28</v>
      </c>
      <c r="R2107" s="9">
        <f t="shared" ca="1" si="113"/>
        <v>61947.098874041767</v>
      </c>
    </row>
    <row r="2108" spans="7:18" x14ac:dyDescent="0.25">
      <c r="G2108" t="str">
        <f t="shared" si="114"/>
        <v>Insert into BlueCreditTypeRainbow Values (, , , , , )</v>
      </c>
      <c r="N2108" s="4">
        <v>2105</v>
      </c>
      <c r="O2108" s="8">
        <f>$B$7*COUNTIF(Sheet2!$B$1:$B$132,N2108)</f>
        <v>0</v>
      </c>
      <c r="P2108" s="8">
        <f t="shared" ca="1" si="112"/>
        <v>0</v>
      </c>
      <c r="Q2108" s="8">
        <f ca="1">CEILING(R2107*(IF(N2108&lt;=IF($B$2=0,0,OFFSET(Sheet2!$B$1,Sheet1!$B$2-1,0)),$B$1/(365*100),$B$3/(365*100)))*100,1)/100</f>
        <v>25.29</v>
      </c>
      <c r="R2108" s="9">
        <f t="shared" ca="1" si="113"/>
        <v>61972.388874041768</v>
      </c>
    </row>
    <row r="2109" spans="7:18" x14ac:dyDescent="0.25">
      <c r="G2109" t="str">
        <f t="shared" si="114"/>
        <v>Insert into BlueCreditTypeRainbow Values (, , , , , )</v>
      </c>
      <c r="N2109" s="4">
        <v>2106</v>
      </c>
      <c r="O2109" s="8">
        <f>$B$7*COUNTIF(Sheet2!$B$1:$B$132,N2109)</f>
        <v>0</v>
      </c>
      <c r="P2109" s="8">
        <f t="shared" ca="1" si="112"/>
        <v>0</v>
      </c>
      <c r="Q2109" s="8">
        <f ca="1">CEILING(R2108*(IF(N2109&lt;=IF($B$2=0,0,OFFSET(Sheet2!$B$1,Sheet1!$B$2-1,0)),$B$1/(365*100),$B$3/(365*100)))*100,1)/100</f>
        <v>25.3</v>
      </c>
      <c r="R2109" s="9">
        <f t="shared" ca="1" si="113"/>
        <v>61997.688874041771</v>
      </c>
    </row>
    <row r="2110" spans="7:18" x14ac:dyDescent="0.25">
      <c r="G2110" t="str">
        <f t="shared" si="114"/>
        <v>Insert into BlueCreditTypeRainbow Values (, , , , , )</v>
      </c>
      <c r="N2110" s="4">
        <v>2107</v>
      </c>
      <c r="O2110" s="8">
        <f>$B$7*COUNTIF(Sheet2!$B$1:$B$132,N2110)</f>
        <v>0</v>
      </c>
      <c r="P2110" s="8">
        <f t="shared" ca="1" si="112"/>
        <v>0</v>
      </c>
      <c r="Q2110" s="8">
        <f ca="1">CEILING(R2109*(IF(N2110&lt;=IF($B$2=0,0,OFFSET(Sheet2!$B$1,Sheet1!$B$2-1,0)),$B$1/(365*100),$B$3/(365*100)))*100,1)/100</f>
        <v>25.31</v>
      </c>
      <c r="R2110" s="9">
        <f t="shared" ca="1" si="113"/>
        <v>62022.998874041768</v>
      </c>
    </row>
    <row r="2111" spans="7:18" x14ac:dyDescent="0.25">
      <c r="G2111" t="str">
        <f t="shared" si="114"/>
        <v>Insert into BlueCreditTypeRainbow Values (, , , , , )</v>
      </c>
      <c r="N2111" s="4">
        <v>2108</v>
      </c>
      <c r="O2111" s="8">
        <f>$B$7*COUNTIF(Sheet2!$B$1:$B$132,N2111)</f>
        <v>0</v>
      </c>
      <c r="P2111" s="8">
        <f t="shared" ref="P2111:P2174" ca="1" si="115">IF(O2111-Q2111&gt; 0, O2111-Q2111, 0)</f>
        <v>0</v>
      </c>
      <c r="Q2111" s="8">
        <f ca="1">CEILING(R2110*(IF(N2111&lt;=IF($B$2=0,0,OFFSET(Sheet2!$B$1,Sheet1!$B$2-1,0)),$B$1/(365*100),$B$3/(365*100)))*100,1)/100</f>
        <v>25.32</v>
      </c>
      <c r="R2111" s="9">
        <f t="shared" ref="R2111:R2174" ca="1" si="116">R2110+Q2111-O2111</f>
        <v>62048.318874041768</v>
      </c>
    </row>
    <row r="2112" spans="7:18" x14ac:dyDescent="0.25">
      <c r="G2112" t="str">
        <f t="shared" si="114"/>
        <v>Insert into BlueCreditTypeRainbow Values (, , , , , )</v>
      </c>
      <c r="N2112" s="4">
        <v>2109</v>
      </c>
      <c r="O2112" s="8">
        <f>$B$7*COUNTIF(Sheet2!$B$1:$B$132,N2112)</f>
        <v>0</v>
      </c>
      <c r="P2112" s="8">
        <f t="shared" ca="1" si="115"/>
        <v>0</v>
      </c>
      <c r="Q2112" s="8">
        <f ca="1">CEILING(R2111*(IF(N2112&lt;=IF($B$2=0,0,OFFSET(Sheet2!$B$1,Sheet1!$B$2-1,0)),$B$1/(365*100),$B$3/(365*100)))*100,1)/100</f>
        <v>25.33</v>
      </c>
      <c r="R2112" s="9">
        <f t="shared" ca="1" si="116"/>
        <v>62073.64887404177</v>
      </c>
    </row>
    <row r="2113" spans="7:18" x14ac:dyDescent="0.25">
      <c r="G2113" t="str">
        <f t="shared" si="114"/>
        <v>Insert into BlueCreditTypeRainbow Values (, , , , , )</v>
      </c>
      <c r="N2113" s="4">
        <v>2110</v>
      </c>
      <c r="O2113" s="8">
        <f>$B$7*COUNTIF(Sheet2!$B$1:$B$132,N2113)</f>
        <v>0</v>
      </c>
      <c r="P2113" s="8">
        <f t="shared" ca="1" si="115"/>
        <v>0</v>
      </c>
      <c r="Q2113" s="8">
        <f ca="1">CEILING(R2112*(IF(N2113&lt;=IF($B$2=0,0,OFFSET(Sheet2!$B$1,Sheet1!$B$2-1,0)),$B$1/(365*100),$B$3/(365*100)))*100,1)/100</f>
        <v>25.34</v>
      </c>
      <c r="R2113" s="9">
        <f t="shared" ca="1" si="116"/>
        <v>62098.988874041766</v>
      </c>
    </row>
    <row r="2114" spans="7:18" x14ac:dyDescent="0.25">
      <c r="G2114" t="str">
        <f t="shared" si="114"/>
        <v>Insert into BlueCreditTypeRainbow Values (, , , , , )</v>
      </c>
      <c r="N2114" s="4">
        <v>2111</v>
      </c>
      <c r="O2114" s="8">
        <f>$B$7*COUNTIF(Sheet2!$B$1:$B$132,N2114)</f>
        <v>0</v>
      </c>
      <c r="P2114" s="8">
        <f t="shared" ca="1" si="115"/>
        <v>0</v>
      </c>
      <c r="Q2114" s="8">
        <f ca="1">CEILING(R2113*(IF(N2114&lt;=IF($B$2=0,0,OFFSET(Sheet2!$B$1,Sheet1!$B$2-1,0)),$B$1/(365*100),$B$3/(365*100)))*100,1)/100</f>
        <v>25.35</v>
      </c>
      <c r="R2114" s="9">
        <f t="shared" ca="1" si="116"/>
        <v>62124.338874041765</v>
      </c>
    </row>
    <row r="2115" spans="7:18" x14ac:dyDescent="0.25">
      <c r="G2115" t="str">
        <f t="shared" si="114"/>
        <v>Insert into BlueCreditTypeRainbow Values (, , , , , )</v>
      </c>
      <c r="N2115" s="4">
        <v>2112</v>
      </c>
      <c r="O2115" s="8">
        <f>$B$7*COUNTIF(Sheet2!$B$1:$B$132,N2115)</f>
        <v>0</v>
      </c>
      <c r="P2115" s="8">
        <f t="shared" ca="1" si="115"/>
        <v>0</v>
      </c>
      <c r="Q2115" s="8">
        <f ca="1">CEILING(R2114*(IF(N2115&lt;=IF($B$2=0,0,OFFSET(Sheet2!$B$1,Sheet1!$B$2-1,0)),$B$1/(365*100),$B$3/(365*100)))*100,1)/100</f>
        <v>25.37</v>
      </c>
      <c r="R2115" s="9">
        <f t="shared" ca="1" si="116"/>
        <v>62149.708874041768</v>
      </c>
    </row>
    <row r="2116" spans="7:18" x14ac:dyDescent="0.25">
      <c r="G2116" t="str">
        <f t="shared" si="114"/>
        <v>Insert into BlueCreditTypeRainbow Values (, , , , , )</v>
      </c>
      <c r="N2116" s="4">
        <v>2113</v>
      </c>
      <c r="O2116" s="8">
        <f>$B$7*COUNTIF(Sheet2!$B$1:$B$132,N2116)</f>
        <v>0</v>
      </c>
      <c r="P2116" s="8">
        <f t="shared" ca="1" si="115"/>
        <v>0</v>
      </c>
      <c r="Q2116" s="8">
        <f ca="1">CEILING(R2115*(IF(N2116&lt;=IF($B$2=0,0,OFFSET(Sheet2!$B$1,Sheet1!$B$2-1,0)),$B$1/(365*100),$B$3/(365*100)))*100,1)/100</f>
        <v>25.38</v>
      </c>
      <c r="R2116" s="9">
        <f t="shared" ca="1" si="116"/>
        <v>62175.088874041765</v>
      </c>
    </row>
    <row r="2117" spans="7:18" x14ac:dyDescent="0.25">
      <c r="G2117" t="str">
        <f t="shared" si="114"/>
        <v>Insert into BlueCreditTypeRainbow Values (, , , , , )</v>
      </c>
      <c r="N2117" s="4">
        <v>2114</v>
      </c>
      <c r="O2117" s="8">
        <f>$B$7*COUNTIF(Sheet2!$B$1:$B$132,N2117)</f>
        <v>0</v>
      </c>
      <c r="P2117" s="8">
        <f t="shared" ca="1" si="115"/>
        <v>0</v>
      </c>
      <c r="Q2117" s="8">
        <f ca="1">CEILING(R2116*(IF(N2117&lt;=IF($B$2=0,0,OFFSET(Sheet2!$B$1,Sheet1!$B$2-1,0)),$B$1/(365*100),$B$3/(365*100)))*100,1)/100</f>
        <v>25.39</v>
      </c>
      <c r="R2117" s="9">
        <f t="shared" ca="1" si="116"/>
        <v>62200.478874041764</v>
      </c>
    </row>
    <row r="2118" spans="7:18" x14ac:dyDescent="0.25">
      <c r="G2118" t="str">
        <f t="shared" si="114"/>
        <v>Insert into BlueCreditTypeRainbow Values (, , , , , )</v>
      </c>
      <c r="N2118" s="4">
        <v>2115</v>
      </c>
      <c r="O2118" s="8">
        <f>$B$7*COUNTIF(Sheet2!$B$1:$B$132,N2118)</f>
        <v>0</v>
      </c>
      <c r="P2118" s="8">
        <f t="shared" ca="1" si="115"/>
        <v>0</v>
      </c>
      <c r="Q2118" s="8">
        <f ca="1">CEILING(R2117*(IF(N2118&lt;=IF($B$2=0,0,OFFSET(Sheet2!$B$1,Sheet1!$B$2-1,0)),$B$1/(365*100),$B$3/(365*100)))*100,1)/100</f>
        <v>25.4</v>
      </c>
      <c r="R2118" s="9">
        <f t="shared" ca="1" si="116"/>
        <v>62225.878874041766</v>
      </c>
    </row>
    <row r="2119" spans="7:18" x14ac:dyDescent="0.25">
      <c r="G2119" t="str">
        <f t="shared" si="114"/>
        <v>Insert into BlueCreditTypeRainbow Values (, , , , , )</v>
      </c>
      <c r="N2119" s="4">
        <v>2116</v>
      </c>
      <c r="O2119" s="8">
        <f>$B$7*COUNTIF(Sheet2!$B$1:$B$132,N2119)</f>
        <v>0</v>
      </c>
      <c r="P2119" s="8">
        <f t="shared" ca="1" si="115"/>
        <v>0</v>
      </c>
      <c r="Q2119" s="8">
        <f ca="1">CEILING(R2118*(IF(N2119&lt;=IF($B$2=0,0,OFFSET(Sheet2!$B$1,Sheet1!$B$2-1,0)),$B$1/(365*100),$B$3/(365*100)))*100,1)/100</f>
        <v>25.41</v>
      </c>
      <c r="R2119" s="9">
        <f t="shared" ca="1" si="116"/>
        <v>62251.288874041769</v>
      </c>
    </row>
    <row r="2120" spans="7:18" x14ac:dyDescent="0.25">
      <c r="G2120" t="str">
        <f t="shared" si="114"/>
        <v>Insert into BlueCreditTypeRainbow Values (, , , , , )</v>
      </c>
      <c r="N2120" s="4">
        <v>2117</v>
      </c>
      <c r="O2120" s="8">
        <f>$B$7*COUNTIF(Sheet2!$B$1:$B$132,N2120)</f>
        <v>0</v>
      </c>
      <c r="P2120" s="8">
        <f t="shared" ca="1" si="115"/>
        <v>0</v>
      </c>
      <c r="Q2120" s="8">
        <f ca="1">CEILING(R2119*(IF(N2120&lt;=IF($B$2=0,0,OFFSET(Sheet2!$B$1,Sheet1!$B$2-1,0)),$B$1/(365*100),$B$3/(365*100)))*100,1)/100</f>
        <v>25.42</v>
      </c>
      <c r="R2120" s="9">
        <f t="shared" ca="1" si="116"/>
        <v>62276.708874041768</v>
      </c>
    </row>
    <row r="2121" spans="7:18" x14ac:dyDescent="0.25">
      <c r="G2121" t="str">
        <f t="shared" si="114"/>
        <v>Insert into BlueCreditTypeRainbow Values (, , , , , )</v>
      </c>
      <c r="N2121" s="4">
        <v>2118</v>
      </c>
      <c r="O2121" s="8">
        <f>$B$7*COUNTIF(Sheet2!$B$1:$B$132,N2121)</f>
        <v>0</v>
      </c>
      <c r="P2121" s="8">
        <f t="shared" ca="1" si="115"/>
        <v>0</v>
      </c>
      <c r="Q2121" s="8">
        <f ca="1">CEILING(R2120*(IF(N2121&lt;=IF($B$2=0,0,OFFSET(Sheet2!$B$1,Sheet1!$B$2-1,0)),$B$1/(365*100),$B$3/(365*100)))*100,1)/100</f>
        <v>25.43</v>
      </c>
      <c r="R2121" s="9">
        <f t="shared" ca="1" si="116"/>
        <v>62302.138874041768</v>
      </c>
    </row>
    <row r="2122" spans="7:18" x14ac:dyDescent="0.25">
      <c r="G2122" t="str">
        <f t="shared" si="114"/>
        <v>Insert into BlueCreditTypeRainbow Values (, , , , , )</v>
      </c>
      <c r="N2122" s="4">
        <v>2119</v>
      </c>
      <c r="O2122" s="8">
        <f>$B$7*COUNTIF(Sheet2!$B$1:$B$132,N2122)</f>
        <v>0</v>
      </c>
      <c r="P2122" s="8">
        <f t="shared" ca="1" si="115"/>
        <v>0</v>
      </c>
      <c r="Q2122" s="8">
        <f ca="1">CEILING(R2121*(IF(N2122&lt;=IF($B$2=0,0,OFFSET(Sheet2!$B$1,Sheet1!$B$2-1,0)),$B$1/(365*100),$B$3/(365*100)))*100,1)/100</f>
        <v>25.44</v>
      </c>
      <c r="R2122" s="9">
        <f t="shared" ca="1" si="116"/>
        <v>62327.57887404177</v>
      </c>
    </row>
    <row r="2123" spans="7:18" x14ac:dyDescent="0.25">
      <c r="G2123" t="str">
        <f t="shared" si="114"/>
        <v>Insert into BlueCreditTypeRainbow Values (, , , , , )</v>
      </c>
      <c r="N2123" s="4">
        <v>2120</v>
      </c>
      <c r="O2123" s="8">
        <f>$B$7*COUNTIF(Sheet2!$B$1:$B$132,N2123)</f>
        <v>0</v>
      </c>
      <c r="P2123" s="8">
        <f t="shared" ca="1" si="115"/>
        <v>0</v>
      </c>
      <c r="Q2123" s="8">
        <f ca="1">CEILING(R2122*(IF(N2123&lt;=IF($B$2=0,0,OFFSET(Sheet2!$B$1,Sheet1!$B$2-1,0)),$B$1/(365*100),$B$3/(365*100)))*100,1)/100</f>
        <v>25.45</v>
      </c>
      <c r="R2123" s="9">
        <f t="shared" ca="1" si="116"/>
        <v>62353.028874041767</v>
      </c>
    </row>
    <row r="2124" spans="7:18" x14ac:dyDescent="0.25">
      <c r="G2124" t="str">
        <f t="shared" si="114"/>
        <v>Insert into BlueCreditTypeRainbow Values (, , , , , )</v>
      </c>
      <c r="N2124" s="4">
        <v>2121</v>
      </c>
      <c r="O2124" s="8">
        <f>$B$7*COUNTIF(Sheet2!$B$1:$B$132,N2124)</f>
        <v>0</v>
      </c>
      <c r="P2124" s="8">
        <f t="shared" ca="1" si="115"/>
        <v>0</v>
      </c>
      <c r="Q2124" s="8">
        <f ca="1">CEILING(R2123*(IF(N2124&lt;=IF($B$2=0,0,OFFSET(Sheet2!$B$1,Sheet1!$B$2-1,0)),$B$1/(365*100),$B$3/(365*100)))*100,1)/100</f>
        <v>25.46</v>
      </c>
      <c r="R2124" s="9">
        <f t="shared" ca="1" si="116"/>
        <v>62378.488874041766</v>
      </c>
    </row>
    <row r="2125" spans="7:18" x14ac:dyDescent="0.25">
      <c r="G2125" t="str">
        <f t="shared" si="114"/>
        <v>Insert into BlueCreditTypeRainbow Values (, , , , , )</v>
      </c>
      <c r="N2125" s="4">
        <v>2122</v>
      </c>
      <c r="O2125" s="8">
        <f>$B$7*COUNTIF(Sheet2!$B$1:$B$132,N2125)</f>
        <v>0</v>
      </c>
      <c r="P2125" s="8">
        <f t="shared" ca="1" si="115"/>
        <v>0</v>
      </c>
      <c r="Q2125" s="8">
        <f ca="1">CEILING(R2124*(IF(N2125&lt;=IF($B$2=0,0,OFFSET(Sheet2!$B$1,Sheet1!$B$2-1,0)),$B$1/(365*100),$B$3/(365*100)))*100,1)/100</f>
        <v>25.47</v>
      </c>
      <c r="R2125" s="9">
        <f t="shared" ca="1" si="116"/>
        <v>62403.958874041768</v>
      </c>
    </row>
    <row r="2126" spans="7:18" x14ac:dyDescent="0.25">
      <c r="G2126" t="str">
        <f t="shared" si="114"/>
        <v>Insert into BlueCreditTypeRainbow Values (, , , , , )</v>
      </c>
      <c r="N2126" s="4">
        <v>2123</v>
      </c>
      <c r="O2126" s="8">
        <f>$B$7*COUNTIF(Sheet2!$B$1:$B$132,N2126)</f>
        <v>0</v>
      </c>
      <c r="P2126" s="8">
        <f t="shared" ca="1" si="115"/>
        <v>0</v>
      </c>
      <c r="Q2126" s="8">
        <f ca="1">CEILING(R2125*(IF(N2126&lt;=IF($B$2=0,0,OFFSET(Sheet2!$B$1,Sheet1!$B$2-1,0)),$B$1/(365*100),$B$3/(365*100)))*100,1)/100</f>
        <v>25.48</v>
      </c>
      <c r="R2126" s="9">
        <f t="shared" ca="1" si="116"/>
        <v>62429.438874041771</v>
      </c>
    </row>
    <row r="2127" spans="7:18" x14ac:dyDescent="0.25">
      <c r="G2127" t="str">
        <f t="shared" ref="G2127:G2190" si="117">CONCATENATE("Insert into BlueCreditTypeRainbow Values (",A2127,", ",B2127,", ",C2127,", ",D2127,", ",E2127,", ",F2127,")")</f>
        <v>Insert into BlueCreditTypeRainbow Values (, , , , , )</v>
      </c>
      <c r="N2127" s="4">
        <v>2124</v>
      </c>
      <c r="O2127" s="8">
        <f>$B$7*COUNTIF(Sheet2!$B$1:$B$132,N2127)</f>
        <v>0</v>
      </c>
      <c r="P2127" s="8">
        <f t="shared" ca="1" si="115"/>
        <v>0</v>
      </c>
      <c r="Q2127" s="8">
        <f ca="1">CEILING(R2126*(IF(N2127&lt;=IF($B$2=0,0,OFFSET(Sheet2!$B$1,Sheet1!$B$2-1,0)),$B$1/(365*100),$B$3/(365*100)))*100,1)/100</f>
        <v>25.49</v>
      </c>
      <c r="R2127" s="9">
        <f t="shared" ca="1" si="116"/>
        <v>62454.928874041769</v>
      </c>
    </row>
    <row r="2128" spans="7:18" x14ac:dyDescent="0.25">
      <c r="G2128" t="str">
        <f t="shared" si="117"/>
        <v>Insert into BlueCreditTypeRainbow Values (, , , , , )</v>
      </c>
      <c r="N2128" s="4">
        <v>2125</v>
      </c>
      <c r="O2128" s="8">
        <f>$B$7*COUNTIF(Sheet2!$B$1:$B$132,N2128)</f>
        <v>0</v>
      </c>
      <c r="P2128" s="8">
        <f t="shared" ca="1" si="115"/>
        <v>0</v>
      </c>
      <c r="Q2128" s="8">
        <f ca="1">CEILING(R2127*(IF(N2128&lt;=IF($B$2=0,0,OFFSET(Sheet2!$B$1,Sheet1!$B$2-1,0)),$B$1/(365*100),$B$3/(365*100)))*100,1)/100</f>
        <v>25.5</v>
      </c>
      <c r="R2128" s="9">
        <f t="shared" ca="1" si="116"/>
        <v>62480.428874041769</v>
      </c>
    </row>
    <row r="2129" spans="7:18" x14ac:dyDescent="0.25">
      <c r="G2129" t="str">
        <f t="shared" si="117"/>
        <v>Insert into BlueCreditTypeRainbow Values (, , , , , )</v>
      </c>
      <c r="N2129" s="4">
        <v>2126</v>
      </c>
      <c r="O2129" s="8">
        <f>$B$7*COUNTIF(Sheet2!$B$1:$B$132,N2129)</f>
        <v>0</v>
      </c>
      <c r="P2129" s="8">
        <f t="shared" ca="1" si="115"/>
        <v>0</v>
      </c>
      <c r="Q2129" s="8">
        <f ca="1">CEILING(R2128*(IF(N2129&lt;=IF($B$2=0,0,OFFSET(Sheet2!$B$1,Sheet1!$B$2-1,0)),$B$1/(365*100),$B$3/(365*100)))*100,1)/100</f>
        <v>25.51</v>
      </c>
      <c r="R2129" s="9">
        <f t="shared" ca="1" si="116"/>
        <v>62505.938874041771</v>
      </c>
    </row>
    <row r="2130" spans="7:18" x14ac:dyDescent="0.25">
      <c r="G2130" t="str">
        <f t="shared" si="117"/>
        <v>Insert into BlueCreditTypeRainbow Values (, , , , , )</v>
      </c>
      <c r="N2130" s="4">
        <v>2127</v>
      </c>
      <c r="O2130" s="8">
        <f>$B$7*COUNTIF(Sheet2!$B$1:$B$132,N2130)</f>
        <v>0</v>
      </c>
      <c r="P2130" s="8">
        <f t="shared" ca="1" si="115"/>
        <v>0</v>
      </c>
      <c r="Q2130" s="8">
        <f ca="1">CEILING(R2129*(IF(N2130&lt;=IF($B$2=0,0,OFFSET(Sheet2!$B$1,Sheet1!$B$2-1,0)),$B$1/(365*100),$B$3/(365*100)))*100,1)/100</f>
        <v>25.52</v>
      </c>
      <c r="R2130" s="9">
        <f t="shared" ca="1" si="116"/>
        <v>62531.458874041768</v>
      </c>
    </row>
    <row r="2131" spans="7:18" x14ac:dyDescent="0.25">
      <c r="G2131" t="str">
        <f t="shared" si="117"/>
        <v>Insert into BlueCreditTypeRainbow Values (, , , , , )</v>
      </c>
      <c r="N2131" s="4">
        <v>2128</v>
      </c>
      <c r="O2131" s="8">
        <f>$B$7*COUNTIF(Sheet2!$B$1:$B$132,N2131)</f>
        <v>0</v>
      </c>
      <c r="P2131" s="8">
        <f t="shared" ca="1" si="115"/>
        <v>0</v>
      </c>
      <c r="Q2131" s="8">
        <f ca="1">CEILING(R2130*(IF(N2131&lt;=IF($B$2=0,0,OFFSET(Sheet2!$B$1,Sheet1!$B$2-1,0)),$B$1/(365*100),$B$3/(365*100)))*100,1)/100</f>
        <v>25.53</v>
      </c>
      <c r="R2131" s="9">
        <f t="shared" ca="1" si="116"/>
        <v>62556.988874041766</v>
      </c>
    </row>
    <row r="2132" spans="7:18" x14ac:dyDescent="0.25">
      <c r="G2132" t="str">
        <f t="shared" si="117"/>
        <v>Insert into BlueCreditTypeRainbow Values (, , , , , )</v>
      </c>
      <c r="N2132" s="4">
        <v>2129</v>
      </c>
      <c r="O2132" s="8">
        <f>$B$7*COUNTIF(Sheet2!$B$1:$B$132,N2132)</f>
        <v>0</v>
      </c>
      <c r="P2132" s="8">
        <f t="shared" ca="1" si="115"/>
        <v>0</v>
      </c>
      <c r="Q2132" s="8">
        <f ca="1">CEILING(R2131*(IF(N2132&lt;=IF($B$2=0,0,OFFSET(Sheet2!$B$1,Sheet1!$B$2-1,0)),$B$1/(365*100),$B$3/(365*100)))*100,1)/100</f>
        <v>25.54</v>
      </c>
      <c r="R2132" s="9">
        <f t="shared" ca="1" si="116"/>
        <v>62582.528874041767</v>
      </c>
    </row>
    <row r="2133" spans="7:18" x14ac:dyDescent="0.25">
      <c r="G2133" t="str">
        <f t="shared" si="117"/>
        <v>Insert into BlueCreditTypeRainbow Values (, , , , , )</v>
      </c>
      <c r="N2133" s="4">
        <v>2130</v>
      </c>
      <c r="O2133" s="8">
        <f>$B$7*COUNTIF(Sheet2!$B$1:$B$132,N2133)</f>
        <v>0</v>
      </c>
      <c r="P2133" s="8">
        <f t="shared" ca="1" si="115"/>
        <v>0</v>
      </c>
      <c r="Q2133" s="8">
        <f ca="1">CEILING(R2132*(IF(N2133&lt;=IF($B$2=0,0,OFFSET(Sheet2!$B$1,Sheet1!$B$2-1,0)),$B$1/(365*100),$B$3/(365*100)))*100,1)/100</f>
        <v>25.55</v>
      </c>
      <c r="R2133" s="9">
        <f t="shared" ca="1" si="116"/>
        <v>62608.07887404177</v>
      </c>
    </row>
    <row r="2134" spans="7:18" x14ac:dyDescent="0.25">
      <c r="G2134" t="str">
        <f t="shared" si="117"/>
        <v>Insert into BlueCreditTypeRainbow Values (, , , , , )</v>
      </c>
      <c r="N2134" s="4">
        <v>2131</v>
      </c>
      <c r="O2134" s="8">
        <f>$B$7*COUNTIF(Sheet2!$B$1:$B$132,N2134)</f>
        <v>0</v>
      </c>
      <c r="P2134" s="8">
        <f t="shared" ca="1" si="115"/>
        <v>0</v>
      </c>
      <c r="Q2134" s="8">
        <f ca="1">CEILING(R2133*(IF(N2134&lt;=IF($B$2=0,0,OFFSET(Sheet2!$B$1,Sheet1!$B$2-1,0)),$B$1/(365*100),$B$3/(365*100)))*100,1)/100</f>
        <v>25.56</v>
      </c>
      <c r="R2134" s="9">
        <f t="shared" ca="1" si="116"/>
        <v>62633.638874041768</v>
      </c>
    </row>
    <row r="2135" spans="7:18" x14ac:dyDescent="0.25">
      <c r="G2135" t="str">
        <f t="shared" si="117"/>
        <v>Insert into BlueCreditTypeRainbow Values (, , , , , )</v>
      </c>
      <c r="N2135" s="4">
        <v>2132</v>
      </c>
      <c r="O2135" s="8">
        <f>$B$7*COUNTIF(Sheet2!$B$1:$B$132,N2135)</f>
        <v>0</v>
      </c>
      <c r="P2135" s="8">
        <f t="shared" ca="1" si="115"/>
        <v>0</v>
      </c>
      <c r="Q2135" s="8">
        <f ca="1">CEILING(R2134*(IF(N2135&lt;=IF($B$2=0,0,OFFSET(Sheet2!$B$1,Sheet1!$B$2-1,0)),$B$1/(365*100),$B$3/(365*100)))*100,1)/100</f>
        <v>25.57</v>
      </c>
      <c r="R2135" s="9">
        <f t="shared" ca="1" si="116"/>
        <v>62659.208874041768</v>
      </c>
    </row>
    <row r="2136" spans="7:18" x14ac:dyDescent="0.25">
      <c r="G2136" t="str">
        <f t="shared" si="117"/>
        <v>Insert into BlueCreditTypeRainbow Values (, , , , , )</v>
      </c>
      <c r="N2136" s="4">
        <v>2133</v>
      </c>
      <c r="O2136" s="8">
        <f>$B$7*COUNTIF(Sheet2!$B$1:$B$132,N2136)</f>
        <v>21157.10552356458</v>
      </c>
      <c r="P2136" s="8">
        <f t="shared" ca="1" si="115"/>
        <v>21131.525523564578</v>
      </c>
      <c r="Q2136" s="8">
        <f ca="1">CEILING(R2135*(IF(N2136&lt;=IF($B$2=0,0,OFFSET(Sheet2!$B$1,Sheet1!$B$2-1,0)),$B$1/(365*100),$B$3/(365*100)))*100,1)/100</f>
        <v>25.58</v>
      </c>
      <c r="R2136" s="9">
        <f t="shared" ca="1" si="116"/>
        <v>41527.683350477193</v>
      </c>
    </row>
    <row r="2137" spans="7:18" x14ac:dyDescent="0.25">
      <c r="G2137" t="str">
        <f t="shared" si="117"/>
        <v>Insert into BlueCreditTypeRainbow Values (, , , , , )</v>
      </c>
      <c r="N2137" s="4">
        <v>2134</v>
      </c>
      <c r="O2137" s="8">
        <f>$B$7*COUNTIF(Sheet2!$B$1:$B$132,N2137)</f>
        <v>0</v>
      </c>
      <c r="P2137" s="8">
        <f t="shared" ca="1" si="115"/>
        <v>0</v>
      </c>
      <c r="Q2137" s="8">
        <f ca="1">CEILING(R2136*(IF(N2137&lt;=IF($B$2=0,0,OFFSET(Sheet2!$B$1,Sheet1!$B$2-1,0)),$B$1/(365*100),$B$3/(365*100)))*100,1)/100</f>
        <v>16.96</v>
      </c>
      <c r="R2137" s="9">
        <f t="shared" ca="1" si="116"/>
        <v>41544.643350477192</v>
      </c>
    </row>
    <row r="2138" spans="7:18" x14ac:dyDescent="0.25">
      <c r="G2138" t="str">
        <f t="shared" si="117"/>
        <v>Insert into BlueCreditTypeRainbow Values (, , , , , )</v>
      </c>
      <c r="N2138" s="4">
        <v>2135</v>
      </c>
      <c r="O2138" s="8">
        <f>$B$7*COUNTIF(Sheet2!$B$1:$B$132,N2138)</f>
        <v>0</v>
      </c>
      <c r="P2138" s="8">
        <f t="shared" ca="1" si="115"/>
        <v>0</v>
      </c>
      <c r="Q2138" s="8">
        <f ca="1">CEILING(R2137*(IF(N2138&lt;=IF($B$2=0,0,OFFSET(Sheet2!$B$1,Sheet1!$B$2-1,0)),$B$1/(365*100),$B$3/(365*100)))*100,1)/100</f>
        <v>16.96</v>
      </c>
      <c r="R2138" s="9">
        <f t="shared" ca="1" si="116"/>
        <v>41561.603350477191</v>
      </c>
    </row>
    <row r="2139" spans="7:18" x14ac:dyDescent="0.25">
      <c r="G2139" t="str">
        <f t="shared" si="117"/>
        <v>Insert into BlueCreditTypeRainbow Values (, , , , , )</v>
      </c>
      <c r="N2139" s="4">
        <v>2136</v>
      </c>
      <c r="O2139" s="8">
        <f>$B$7*COUNTIF(Sheet2!$B$1:$B$132,N2139)</f>
        <v>0</v>
      </c>
      <c r="P2139" s="8">
        <f t="shared" ca="1" si="115"/>
        <v>0</v>
      </c>
      <c r="Q2139" s="8">
        <f ca="1">CEILING(R2138*(IF(N2139&lt;=IF($B$2=0,0,OFFSET(Sheet2!$B$1,Sheet1!$B$2-1,0)),$B$1/(365*100),$B$3/(365*100)))*100,1)/100</f>
        <v>16.97</v>
      </c>
      <c r="R2139" s="9">
        <f t="shared" ca="1" si="116"/>
        <v>41578.573350477192</v>
      </c>
    </row>
    <row r="2140" spans="7:18" x14ac:dyDescent="0.25">
      <c r="G2140" t="str">
        <f t="shared" si="117"/>
        <v>Insert into BlueCreditTypeRainbow Values (, , , , , )</v>
      </c>
      <c r="N2140" s="4">
        <v>2137</v>
      </c>
      <c r="O2140" s="8">
        <f>$B$7*COUNTIF(Sheet2!$B$1:$B$132,N2140)</f>
        <v>0</v>
      </c>
      <c r="P2140" s="8">
        <f t="shared" ca="1" si="115"/>
        <v>0</v>
      </c>
      <c r="Q2140" s="8">
        <f ca="1">CEILING(R2139*(IF(N2140&lt;=IF($B$2=0,0,OFFSET(Sheet2!$B$1,Sheet1!$B$2-1,0)),$B$1/(365*100),$B$3/(365*100)))*100,1)/100</f>
        <v>16.98</v>
      </c>
      <c r="R2140" s="9">
        <f t="shared" ca="1" si="116"/>
        <v>41595.553350477196</v>
      </c>
    </row>
    <row r="2141" spans="7:18" x14ac:dyDescent="0.25">
      <c r="G2141" t="str">
        <f t="shared" si="117"/>
        <v>Insert into BlueCreditTypeRainbow Values (, , , , , )</v>
      </c>
      <c r="N2141" s="4">
        <v>2138</v>
      </c>
      <c r="O2141" s="8">
        <f>$B$7*COUNTIF(Sheet2!$B$1:$B$132,N2141)</f>
        <v>0</v>
      </c>
      <c r="P2141" s="8">
        <f t="shared" ca="1" si="115"/>
        <v>0</v>
      </c>
      <c r="Q2141" s="8">
        <f ca="1">CEILING(R2140*(IF(N2141&lt;=IF($B$2=0,0,OFFSET(Sheet2!$B$1,Sheet1!$B$2-1,0)),$B$1/(365*100),$B$3/(365*100)))*100,1)/100</f>
        <v>16.989999999999998</v>
      </c>
      <c r="R2141" s="9">
        <f t="shared" ca="1" si="116"/>
        <v>41612.543350477194</v>
      </c>
    </row>
    <row r="2142" spans="7:18" x14ac:dyDescent="0.25">
      <c r="G2142" t="str">
        <f t="shared" si="117"/>
        <v>Insert into BlueCreditTypeRainbow Values (, , , , , )</v>
      </c>
      <c r="N2142" s="4">
        <v>2139</v>
      </c>
      <c r="O2142" s="8">
        <f>$B$7*COUNTIF(Sheet2!$B$1:$B$132,N2142)</f>
        <v>0</v>
      </c>
      <c r="P2142" s="8">
        <f t="shared" ca="1" si="115"/>
        <v>0</v>
      </c>
      <c r="Q2142" s="8">
        <f ca="1">CEILING(R2141*(IF(N2142&lt;=IF($B$2=0,0,OFFSET(Sheet2!$B$1,Sheet1!$B$2-1,0)),$B$1/(365*100),$B$3/(365*100)))*100,1)/100</f>
        <v>16.989999999999998</v>
      </c>
      <c r="R2142" s="9">
        <f t="shared" ca="1" si="116"/>
        <v>41629.533350477192</v>
      </c>
    </row>
    <row r="2143" spans="7:18" x14ac:dyDescent="0.25">
      <c r="G2143" t="str">
        <f t="shared" si="117"/>
        <v>Insert into BlueCreditTypeRainbow Values (, , , , , )</v>
      </c>
      <c r="N2143" s="4">
        <v>2140</v>
      </c>
      <c r="O2143" s="8">
        <f>$B$7*COUNTIF(Sheet2!$B$1:$B$132,N2143)</f>
        <v>0</v>
      </c>
      <c r="P2143" s="8">
        <f t="shared" ca="1" si="115"/>
        <v>0</v>
      </c>
      <c r="Q2143" s="8">
        <f ca="1">CEILING(R2142*(IF(N2143&lt;=IF($B$2=0,0,OFFSET(Sheet2!$B$1,Sheet1!$B$2-1,0)),$B$1/(365*100),$B$3/(365*100)))*100,1)/100</f>
        <v>17</v>
      </c>
      <c r="R2143" s="9">
        <f t="shared" ca="1" si="116"/>
        <v>41646.533350477192</v>
      </c>
    </row>
    <row r="2144" spans="7:18" x14ac:dyDescent="0.25">
      <c r="G2144" t="str">
        <f t="shared" si="117"/>
        <v>Insert into BlueCreditTypeRainbow Values (, , , , , )</v>
      </c>
      <c r="N2144" s="4">
        <v>2141</v>
      </c>
      <c r="O2144" s="8">
        <f>$B$7*COUNTIF(Sheet2!$B$1:$B$132,N2144)</f>
        <v>0</v>
      </c>
      <c r="P2144" s="8">
        <f t="shared" ca="1" si="115"/>
        <v>0</v>
      </c>
      <c r="Q2144" s="8">
        <f ca="1">CEILING(R2143*(IF(N2144&lt;=IF($B$2=0,0,OFFSET(Sheet2!$B$1,Sheet1!$B$2-1,0)),$B$1/(365*100),$B$3/(365*100)))*100,1)/100</f>
        <v>17.010000000000002</v>
      </c>
      <c r="R2144" s="9">
        <f t="shared" ca="1" si="116"/>
        <v>41663.543350477194</v>
      </c>
    </row>
    <row r="2145" spans="7:18" x14ac:dyDescent="0.25">
      <c r="G2145" t="str">
        <f t="shared" si="117"/>
        <v>Insert into BlueCreditTypeRainbow Values (, , , , , )</v>
      </c>
      <c r="N2145" s="4">
        <v>2142</v>
      </c>
      <c r="O2145" s="8">
        <f>$B$7*COUNTIF(Sheet2!$B$1:$B$132,N2145)</f>
        <v>0</v>
      </c>
      <c r="P2145" s="8">
        <f t="shared" ca="1" si="115"/>
        <v>0</v>
      </c>
      <c r="Q2145" s="8">
        <f ca="1">CEILING(R2144*(IF(N2145&lt;=IF($B$2=0,0,OFFSET(Sheet2!$B$1,Sheet1!$B$2-1,0)),$B$1/(365*100),$B$3/(365*100)))*100,1)/100</f>
        <v>17.010000000000002</v>
      </c>
      <c r="R2145" s="9">
        <f t="shared" ca="1" si="116"/>
        <v>41680.553350477196</v>
      </c>
    </row>
    <row r="2146" spans="7:18" x14ac:dyDescent="0.25">
      <c r="G2146" t="str">
        <f t="shared" si="117"/>
        <v>Insert into BlueCreditTypeRainbow Values (, , , , , )</v>
      </c>
      <c r="N2146" s="4">
        <v>2143</v>
      </c>
      <c r="O2146" s="8">
        <f>$B$7*COUNTIF(Sheet2!$B$1:$B$132,N2146)</f>
        <v>0</v>
      </c>
      <c r="P2146" s="8">
        <f t="shared" ca="1" si="115"/>
        <v>0</v>
      </c>
      <c r="Q2146" s="8">
        <f ca="1">CEILING(R2145*(IF(N2146&lt;=IF($B$2=0,0,OFFSET(Sheet2!$B$1,Sheet1!$B$2-1,0)),$B$1/(365*100),$B$3/(365*100)))*100,1)/100</f>
        <v>17.02</v>
      </c>
      <c r="R2146" s="9">
        <f t="shared" ca="1" si="116"/>
        <v>41697.573350477192</v>
      </c>
    </row>
    <row r="2147" spans="7:18" x14ac:dyDescent="0.25">
      <c r="G2147" t="str">
        <f t="shared" si="117"/>
        <v>Insert into BlueCreditTypeRainbow Values (, , , , , )</v>
      </c>
      <c r="N2147" s="4">
        <v>2144</v>
      </c>
      <c r="O2147" s="8">
        <f>$B$7*COUNTIF(Sheet2!$B$1:$B$132,N2147)</f>
        <v>0</v>
      </c>
      <c r="P2147" s="8">
        <f t="shared" ca="1" si="115"/>
        <v>0</v>
      </c>
      <c r="Q2147" s="8">
        <f ca="1">CEILING(R2146*(IF(N2147&lt;=IF($B$2=0,0,OFFSET(Sheet2!$B$1,Sheet1!$B$2-1,0)),$B$1/(365*100),$B$3/(365*100)))*100,1)/100</f>
        <v>17.03</v>
      </c>
      <c r="R2147" s="9">
        <f t="shared" ca="1" si="116"/>
        <v>41714.603350477191</v>
      </c>
    </row>
    <row r="2148" spans="7:18" x14ac:dyDescent="0.25">
      <c r="G2148" t="str">
        <f t="shared" si="117"/>
        <v>Insert into BlueCreditTypeRainbow Values (, , , , , )</v>
      </c>
      <c r="N2148" s="4">
        <v>2145</v>
      </c>
      <c r="O2148" s="8">
        <f>$B$7*COUNTIF(Sheet2!$B$1:$B$132,N2148)</f>
        <v>0</v>
      </c>
      <c r="P2148" s="8">
        <f t="shared" ca="1" si="115"/>
        <v>0</v>
      </c>
      <c r="Q2148" s="8">
        <f ca="1">CEILING(R2147*(IF(N2148&lt;=IF($B$2=0,0,OFFSET(Sheet2!$B$1,Sheet1!$B$2-1,0)),$B$1/(365*100),$B$3/(365*100)))*100,1)/100</f>
        <v>17.03</v>
      </c>
      <c r="R2148" s="9">
        <f t="shared" ca="1" si="116"/>
        <v>41731.63335047719</v>
      </c>
    </row>
    <row r="2149" spans="7:18" x14ac:dyDescent="0.25">
      <c r="G2149" t="str">
        <f t="shared" si="117"/>
        <v>Insert into BlueCreditTypeRainbow Values (, , , , , )</v>
      </c>
      <c r="N2149" s="4">
        <v>2146</v>
      </c>
      <c r="O2149" s="8">
        <f>$B$7*COUNTIF(Sheet2!$B$1:$B$132,N2149)</f>
        <v>0</v>
      </c>
      <c r="P2149" s="8">
        <f t="shared" ca="1" si="115"/>
        <v>0</v>
      </c>
      <c r="Q2149" s="8">
        <f ca="1">CEILING(R2148*(IF(N2149&lt;=IF($B$2=0,0,OFFSET(Sheet2!$B$1,Sheet1!$B$2-1,0)),$B$1/(365*100),$B$3/(365*100)))*100,1)/100</f>
        <v>17.04</v>
      </c>
      <c r="R2149" s="9">
        <f t="shared" ca="1" si="116"/>
        <v>41748.673350477191</v>
      </c>
    </row>
    <row r="2150" spans="7:18" x14ac:dyDescent="0.25">
      <c r="G2150" t="str">
        <f t="shared" si="117"/>
        <v>Insert into BlueCreditTypeRainbow Values (, , , , , )</v>
      </c>
      <c r="N2150" s="4">
        <v>2147</v>
      </c>
      <c r="O2150" s="8">
        <f>$B$7*COUNTIF(Sheet2!$B$1:$B$132,N2150)</f>
        <v>0</v>
      </c>
      <c r="P2150" s="8">
        <f t="shared" ca="1" si="115"/>
        <v>0</v>
      </c>
      <c r="Q2150" s="8">
        <f ca="1">CEILING(R2149*(IF(N2150&lt;=IF($B$2=0,0,OFFSET(Sheet2!$B$1,Sheet1!$B$2-1,0)),$B$1/(365*100),$B$3/(365*100)))*100,1)/100</f>
        <v>17.05</v>
      </c>
      <c r="R2150" s="9">
        <f t="shared" ca="1" si="116"/>
        <v>41765.723350477194</v>
      </c>
    </row>
    <row r="2151" spans="7:18" x14ac:dyDescent="0.25">
      <c r="G2151" t="str">
        <f t="shared" si="117"/>
        <v>Insert into BlueCreditTypeRainbow Values (, , , , , )</v>
      </c>
      <c r="N2151" s="4">
        <v>2148</v>
      </c>
      <c r="O2151" s="8">
        <f>$B$7*COUNTIF(Sheet2!$B$1:$B$132,N2151)</f>
        <v>0</v>
      </c>
      <c r="P2151" s="8">
        <f t="shared" ca="1" si="115"/>
        <v>0</v>
      </c>
      <c r="Q2151" s="8">
        <f ca="1">CEILING(R2150*(IF(N2151&lt;=IF($B$2=0,0,OFFSET(Sheet2!$B$1,Sheet1!$B$2-1,0)),$B$1/(365*100),$B$3/(365*100)))*100,1)/100</f>
        <v>17.05</v>
      </c>
      <c r="R2151" s="9">
        <f t="shared" ca="1" si="116"/>
        <v>41782.773350477197</v>
      </c>
    </row>
    <row r="2152" spans="7:18" x14ac:dyDescent="0.25">
      <c r="G2152" t="str">
        <f t="shared" si="117"/>
        <v>Insert into BlueCreditTypeRainbow Values (, , , , , )</v>
      </c>
      <c r="N2152" s="4">
        <v>2149</v>
      </c>
      <c r="O2152" s="8">
        <f>$B$7*COUNTIF(Sheet2!$B$1:$B$132,N2152)</f>
        <v>0</v>
      </c>
      <c r="P2152" s="8">
        <f t="shared" ca="1" si="115"/>
        <v>0</v>
      </c>
      <c r="Q2152" s="8">
        <f ca="1">CEILING(R2151*(IF(N2152&lt;=IF($B$2=0,0,OFFSET(Sheet2!$B$1,Sheet1!$B$2-1,0)),$B$1/(365*100),$B$3/(365*100)))*100,1)/100</f>
        <v>17.059999999999999</v>
      </c>
      <c r="R2152" s="9">
        <f t="shared" ca="1" si="116"/>
        <v>41799.833350477194</v>
      </c>
    </row>
    <row r="2153" spans="7:18" x14ac:dyDescent="0.25">
      <c r="G2153" t="str">
        <f t="shared" si="117"/>
        <v>Insert into BlueCreditTypeRainbow Values (, , , , , )</v>
      </c>
      <c r="N2153" s="4">
        <v>2150</v>
      </c>
      <c r="O2153" s="8">
        <f>$B$7*COUNTIF(Sheet2!$B$1:$B$132,N2153)</f>
        <v>0</v>
      </c>
      <c r="P2153" s="8">
        <f t="shared" ca="1" si="115"/>
        <v>0</v>
      </c>
      <c r="Q2153" s="8">
        <f ca="1">CEILING(R2152*(IF(N2153&lt;=IF($B$2=0,0,OFFSET(Sheet2!$B$1,Sheet1!$B$2-1,0)),$B$1/(365*100),$B$3/(365*100)))*100,1)/100</f>
        <v>17.07</v>
      </c>
      <c r="R2153" s="9">
        <f t="shared" ca="1" si="116"/>
        <v>41816.903350477194</v>
      </c>
    </row>
    <row r="2154" spans="7:18" x14ac:dyDescent="0.25">
      <c r="G2154" t="str">
        <f t="shared" si="117"/>
        <v>Insert into BlueCreditTypeRainbow Values (, , , , , )</v>
      </c>
      <c r="N2154" s="4">
        <v>2151</v>
      </c>
      <c r="O2154" s="8">
        <f>$B$7*COUNTIF(Sheet2!$B$1:$B$132,N2154)</f>
        <v>0</v>
      </c>
      <c r="P2154" s="8">
        <f t="shared" ca="1" si="115"/>
        <v>0</v>
      </c>
      <c r="Q2154" s="8">
        <f ca="1">CEILING(R2153*(IF(N2154&lt;=IF($B$2=0,0,OFFSET(Sheet2!$B$1,Sheet1!$B$2-1,0)),$B$1/(365*100),$B$3/(365*100)))*100,1)/100</f>
        <v>17.079999999999998</v>
      </c>
      <c r="R2154" s="9">
        <f t="shared" ca="1" si="116"/>
        <v>41833.983350477196</v>
      </c>
    </row>
    <row r="2155" spans="7:18" x14ac:dyDescent="0.25">
      <c r="G2155" t="str">
        <f t="shared" si="117"/>
        <v>Insert into BlueCreditTypeRainbow Values (, , , , , )</v>
      </c>
      <c r="N2155" s="4">
        <v>2152</v>
      </c>
      <c r="O2155" s="8">
        <f>$B$7*COUNTIF(Sheet2!$B$1:$B$132,N2155)</f>
        <v>0</v>
      </c>
      <c r="P2155" s="8">
        <f t="shared" ca="1" si="115"/>
        <v>0</v>
      </c>
      <c r="Q2155" s="8">
        <f ca="1">CEILING(R2154*(IF(N2155&lt;=IF($B$2=0,0,OFFSET(Sheet2!$B$1,Sheet1!$B$2-1,0)),$B$1/(365*100),$B$3/(365*100)))*100,1)/100</f>
        <v>17.079999999999998</v>
      </c>
      <c r="R2155" s="9">
        <f t="shared" ca="1" si="116"/>
        <v>41851.063350477198</v>
      </c>
    </row>
    <row r="2156" spans="7:18" x14ac:dyDescent="0.25">
      <c r="G2156" t="str">
        <f t="shared" si="117"/>
        <v>Insert into BlueCreditTypeRainbow Values (, , , , , )</v>
      </c>
      <c r="N2156" s="4">
        <v>2153</v>
      </c>
      <c r="O2156" s="8">
        <f>$B$7*COUNTIF(Sheet2!$B$1:$B$132,N2156)</f>
        <v>0</v>
      </c>
      <c r="P2156" s="8">
        <f t="shared" ca="1" si="115"/>
        <v>0</v>
      </c>
      <c r="Q2156" s="8">
        <f ca="1">CEILING(R2155*(IF(N2156&lt;=IF($B$2=0,0,OFFSET(Sheet2!$B$1,Sheet1!$B$2-1,0)),$B$1/(365*100),$B$3/(365*100)))*100,1)/100</f>
        <v>17.09</v>
      </c>
      <c r="R2156" s="9">
        <f t="shared" ca="1" si="116"/>
        <v>41868.153350477194</v>
      </c>
    </row>
    <row r="2157" spans="7:18" x14ac:dyDescent="0.25">
      <c r="G2157" t="str">
        <f t="shared" si="117"/>
        <v>Insert into BlueCreditTypeRainbow Values (, , , , , )</v>
      </c>
      <c r="N2157" s="4">
        <v>2154</v>
      </c>
      <c r="O2157" s="8">
        <f>$B$7*COUNTIF(Sheet2!$B$1:$B$132,N2157)</f>
        <v>0</v>
      </c>
      <c r="P2157" s="8">
        <f t="shared" ca="1" si="115"/>
        <v>0</v>
      </c>
      <c r="Q2157" s="8">
        <f ca="1">CEILING(R2156*(IF(N2157&lt;=IF($B$2=0,0,OFFSET(Sheet2!$B$1,Sheet1!$B$2-1,0)),$B$1/(365*100),$B$3/(365*100)))*100,1)/100</f>
        <v>17.100000000000001</v>
      </c>
      <c r="R2157" s="9">
        <f t="shared" ca="1" si="116"/>
        <v>41885.253350477193</v>
      </c>
    </row>
    <row r="2158" spans="7:18" x14ac:dyDescent="0.25">
      <c r="G2158" t="str">
        <f t="shared" si="117"/>
        <v>Insert into BlueCreditTypeRainbow Values (, , , , , )</v>
      </c>
      <c r="N2158" s="4">
        <v>2155</v>
      </c>
      <c r="O2158" s="8">
        <f>$B$7*COUNTIF(Sheet2!$B$1:$B$132,N2158)</f>
        <v>0</v>
      </c>
      <c r="P2158" s="8">
        <f t="shared" ca="1" si="115"/>
        <v>0</v>
      </c>
      <c r="Q2158" s="8">
        <f ca="1">CEILING(R2157*(IF(N2158&lt;=IF($B$2=0,0,OFFSET(Sheet2!$B$1,Sheet1!$B$2-1,0)),$B$1/(365*100),$B$3/(365*100)))*100,1)/100</f>
        <v>17.100000000000001</v>
      </c>
      <c r="R2158" s="9">
        <f t="shared" ca="1" si="116"/>
        <v>41902.353350477191</v>
      </c>
    </row>
    <row r="2159" spans="7:18" x14ac:dyDescent="0.25">
      <c r="G2159" t="str">
        <f t="shared" si="117"/>
        <v>Insert into BlueCreditTypeRainbow Values (, , , , , )</v>
      </c>
      <c r="N2159" s="4">
        <v>2156</v>
      </c>
      <c r="O2159" s="8">
        <f>$B$7*COUNTIF(Sheet2!$B$1:$B$132,N2159)</f>
        <v>0</v>
      </c>
      <c r="P2159" s="8">
        <f t="shared" ca="1" si="115"/>
        <v>0</v>
      </c>
      <c r="Q2159" s="8">
        <f ca="1">CEILING(R2158*(IF(N2159&lt;=IF($B$2=0,0,OFFSET(Sheet2!$B$1,Sheet1!$B$2-1,0)),$B$1/(365*100),$B$3/(365*100)))*100,1)/100</f>
        <v>17.11</v>
      </c>
      <c r="R2159" s="9">
        <f t="shared" ca="1" si="116"/>
        <v>41919.463350477192</v>
      </c>
    </row>
    <row r="2160" spans="7:18" x14ac:dyDescent="0.25">
      <c r="G2160" t="str">
        <f t="shared" si="117"/>
        <v>Insert into BlueCreditTypeRainbow Values (, , , , , )</v>
      </c>
      <c r="N2160" s="4">
        <v>2157</v>
      </c>
      <c r="O2160" s="8">
        <f>$B$7*COUNTIF(Sheet2!$B$1:$B$132,N2160)</f>
        <v>0</v>
      </c>
      <c r="P2160" s="8">
        <f t="shared" ca="1" si="115"/>
        <v>0</v>
      </c>
      <c r="Q2160" s="8">
        <f ca="1">CEILING(R2159*(IF(N2160&lt;=IF($B$2=0,0,OFFSET(Sheet2!$B$1,Sheet1!$B$2-1,0)),$B$1/(365*100),$B$3/(365*100)))*100,1)/100</f>
        <v>17.12</v>
      </c>
      <c r="R2160" s="9">
        <f t="shared" ca="1" si="116"/>
        <v>41936.583350477194</v>
      </c>
    </row>
    <row r="2161" spans="7:18" x14ac:dyDescent="0.25">
      <c r="G2161" t="str">
        <f t="shared" si="117"/>
        <v>Insert into BlueCreditTypeRainbow Values (, , , , , )</v>
      </c>
      <c r="N2161" s="4">
        <v>2158</v>
      </c>
      <c r="O2161" s="8">
        <f>$B$7*COUNTIF(Sheet2!$B$1:$B$132,N2161)</f>
        <v>0</v>
      </c>
      <c r="P2161" s="8">
        <f t="shared" ca="1" si="115"/>
        <v>0</v>
      </c>
      <c r="Q2161" s="8">
        <f ca="1">CEILING(R2160*(IF(N2161&lt;=IF($B$2=0,0,OFFSET(Sheet2!$B$1,Sheet1!$B$2-1,0)),$B$1/(365*100),$B$3/(365*100)))*100,1)/100</f>
        <v>17.12</v>
      </c>
      <c r="R2161" s="9">
        <f t="shared" ca="1" si="116"/>
        <v>41953.703350477197</v>
      </c>
    </row>
    <row r="2162" spans="7:18" x14ac:dyDescent="0.25">
      <c r="G2162" t="str">
        <f t="shared" si="117"/>
        <v>Insert into BlueCreditTypeRainbow Values (, , , , , )</v>
      </c>
      <c r="N2162" s="4">
        <v>2159</v>
      </c>
      <c r="O2162" s="8">
        <f>$B$7*COUNTIF(Sheet2!$B$1:$B$132,N2162)</f>
        <v>0</v>
      </c>
      <c r="P2162" s="8">
        <f t="shared" ca="1" si="115"/>
        <v>0</v>
      </c>
      <c r="Q2162" s="8">
        <f ca="1">CEILING(R2161*(IF(N2162&lt;=IF($B$2=0,0,OFFSET(Sheet2!$B$1,Sheet1!$B$2-1,0)),$B$1/(365*100),$B$3/(365*100)))*100,1)/100</f>
        <v>17.13</v>
      </c>
      <c r="R2162" s="9">
        <f t="shared" ca="1" si="116"/>
        <v>41970.833350477194</v>
      </c>
    </row>
    <row r="2163" spans="7:18" x14ac:dyDescent="0.25">
      <c r="G2163" t="str">
        <f t="shared" si="117"/>
        <v>Insert into BlueCreditTypeRainbow Values (, , , , , )</v>
      </c>
      <c r="N2163" s="4">
        <v>2160</v>
      </c>
      <c r="O2163" s="8">
        <f>$B$7*COUNTIF(Sheet2!$B$1:$B$132,N2163)</f>
        <v>0</v>
      </c>
      <c r="P2163" s="8">
        <f t="shared" ca="1" si="115"/>
        <v>0</v>
      </c>
      <c r="Q2163" s="8">
        <f ca="1">CEILING(R2162*(IF(N2163&lt;=IF($B$2=0,0,OFFSET(Sheet2!$B$1,Sheet1!$B$2-1,0)),$B$1/(365*100),$B$3/(365*100)))*100,1)/100</f>
        <v>17.14</v>
      </c>
      <c r="R2163" s="9">
        <f t="shared" ca="1" si="116"/>
        <v>41987.973350477194</v>
      </c>
    </row>
    <row r="2164" spans="7:18" x14ac:dyDescent="0.25">
      <c r="G2164" t="str">
        <f t="shared" si="117"/>
        <v>Insert into BlueCreditTypeRainbow Values (, , , , , )</v>
      </c>
      <c r="N2164" s="4">
        <v>2161</v>
      </c>
      <c r="O2164" s="8">
        <f>$B$7*COUNTIF(Sheet2!$B$1:$B$132,N2164)</f>
        <v>0</v>
      </c>
      <c r="P2164" s="8">
        <f t="shared" ca="1" si="115"/>
        <v>0</v>
      </c>
      <c r="Q2164" s="8">
        <f ca="1">CEILING(R2163*(IF(N2164&lt;=IF($B$2=0,0,OFFSET(Sheet2!$B$1,Sheet1!$B$2-1,0)),$B$1/(365*100),$B$3/(365*100)))*100,1)/100</f>
        <v>17.149999999999999</v>
      </c>
      <c r="R2164" s="9">
        <f t="shared" ca="1" si="116"/>
        <v>42005.123350477195</v>
      </c>
    </row>
    <row r="2165" spans="7:18" x14ac:dyDescent="0.25">
      <c r="G2165" t="str">
        <f t="shared" si="117"/>
        <v>Insert into BlueCreditTypeRainbow Values (, , , , , )</v>
      </c>
      <c r="N2165" s="4">
        <v>2162</v>
      </c>
      <c r="O2165" s="8">
        <f>$B$7*COUNTIF(Sheet2!$B$1:$B$132,N2165)</f>
        <v>0</v>
      </c>
      <c r="P2165" s="8">
        <f t="shared" ca="1" si="115"/>
        <v>0</v>
      </c>
      <c r="Q2165" s="8">
        <f ca="1">CEILING(R2164*(IF(N2165&lt;=IF($B$2=0,0,OFFSET(Sheet2!$B$1,Sheet1!$B$2-1,0)),$B$1/(365*100),$B$3/(365*100)))*100,1)/100</f>
        <v>17.149999999999999</v>
      </c>
      <c r="R2165" s="9">
        <f t="shared" ca="1" si="116"/>
        <v>42022.273350477197</v>
      </c>
    </row>
    <row r="2166" spans="7:18" x14ac:dyDescent="0.25">
      <c r="G2166" t="str">
        <f t="shared" si="117"/>
        <v>Insert into BlueCreditTypeRainbow Values (, , , , , )</v>
      </c>
      <c r="N2166" s="4">
        <v>2163</v>
      </c>
      <c r="O2166" s="8">
        <f>$B$7*COUNTIF(Sheet2!$B$1:$B$132,N2166)</f>
        <v>0</v>
      </c>
      <c r="P2166" s="8">
        <f t="shared" ca="1" si="115"/>
        <v>0</v>
      </c>
      <c r="Q2166" s="8">
        <f ca="1">CEILING(R2165*(IF(N2166&lt;=IF($B$2=0,0,OFFSET(Sheet2!$B$1,Sheet1!$B$2-1,0)),$B$1/(365*100),$B$3/(365*100)))*100,1)/100</f>
        <v>17.16</v>
      </c>
      <c r="R2166" s="9">
        <f t="shared" ca="1" si="116"/>
        <v>42039.4333504772</v>
      </c>
    </row>
    <row r="2167" spans="7:18" x14ac:dyDescent="0.25">
      <c r="G2167" t="str">
        <f t="shared" si="117"/>
        <v>Insert into BlueCreditTypeRainbow Values (, , , , , )</v>
      </c>
      <c r="N2167" s="4">
        <v>2164</v>
      </c>
      <c r="O2167" s="8">
        <f>$B$7*COUNTIF(Sheet2!$B$1:$B$132,N2167)</f>
        <v>21157.10552356458</v>
      </c>
      <c r="P2167" s="8">
        <f t="shared" ca="1" si="115"/>
        <v>21139.935523564582</v>
      </c>
      <c r="Q2167" s="8">
        <f ca="1">CEILING(R2166*(IF(N2167&lt;=IF($B$2=0,0,OFFSET(Sheet2!$B$1,Sheet1!$B$2-1,0)),$B$1/(365*100),$B$3/(365*100)))*100,1)/100</f>
        <v>17.170000000000002</v>
      </c>
      <c r="R2167" s="9">
        <f t="shared" ca="1" si="116"/>
        <v>20899.497826912619</v>
      </c>
    </row>
    <row r="2168" spans="7:18" x14ac:dyDescent="0.25">
      <c r="G2168" t="str">
        <f t="shared" si="117"/>
        <v>Insert into BlueCreditTypeRainbow Values (, , , , , )</v>
      </c>
      <c r="N2168" s="4">
        <v>2165</v>
      </c>
      <c r="O2168" s="8">
        <f>$B$7*COUNTIF(Sheet2!$B$1:$B$132,N2168)</f>
        <v>0</v>
      </c>
      <c r="P2168" s="8">
        <f t="shared" ca="1" si="115"/>
        <v>0</v>
      </c>
      <c r="Q2168" s="8">
        <f ca="1">CEILING(R2167*(IF(N2168&lt;=IF($B$2=0,0,OFFSET(Sheet2!$B$1,Sheet1!$B$2-1,0)),$B$1/(365*100),$B$3/(365*100)))*100,1)/100</f>
        <v>8.5399999999999991</v>
      </c>
      <c r="R2168" s="9">
        <f t="shared" ca="1" si="116"/>
        <v>20908.037826912619</v>
      </c>
    </row>
    <row r="2169" spans="7:18" x14ac:dyDescent="0.25">
      <c r="G2169" t="str">
        <f t="shared" si="117"/>
        <v>Insert into BlueCreditTypeRainbow Values (, , , , , )</v>
      </c>
      <c r="N2169" s="4">
        <v>2166</v>
      </c>
      <c r="O2169" s="8">
        <f>$B$7*COUNTIF(Sheet2!$B$1:$B$132,N2169)</f>
        <v>0</v>
      </c>
      <c r="P2169" s="8">
        <f t="shared" ca="1" si="115"/>
        <v>0</v>
      </c>
      <c r="Q2169" s="8">
        <f ca="1">CEILING(R2168*(IF(N2169&lt;=IF($B$2=0,0,OFFSET(Sheet2!$B$1,Sheet1!$B$2-1,0)),$B$1/(365*100),$B$3/(365*100)))*100,1)/100</f>
        <v>8.5399999999999991</v>
      </c>
      <c r="R2169" s="9">
        <f t="shared" ca="1" si="116"/>
        <v>20916.57782691262</v>
      </c>
    </row>
    <row r="2170" spans="7:18" x14ac:dyDescent="0.25">
      <c r="G2170" t="str">
        <f t="shared" si="117"/>
        <v>Insert into BlueCreditTypeRainbow Values (, , , , , )</v>
      </c>
      <c r="N2170" s="4">
        <v>2167</v>
      </c>
      <c r="O2170" s="8">
        <f>$B$7*COUNTIF(Sheet2!$B$1:$B$132,N2170)</f>
        <v>0</v>
      </c>
      <c r="P2170" s="8">
        <f t="shared" ca="1" si="115"/>
        <v>0</v>
      </c>
      <c r="Q2170" s="8">
        <f ca="1">CEILING(R2169*(IF(N2170&lt;=IF($B$2=0,0,OFFSET(Sheet2!$B$1,Sheet1!$B$2-1,0)),$B$1/(365*100),$B$3/(365*100)))*100,1)/100</f>
        <v>8.5399999999999991</v>
      </c>
      <c r="R2170" s="9">
        <f t="shared" ca="1" si="116"/>
        <v>20925.117826912621</v>
      </c>
    </row>
    <row r="2171" spans="7:18" x14ac:dyDescent="0.25">
      <c r="G2171" t="str">
        <f t="shared" si="117"/>
        <v>Insert into BlueCreditTypeRainbow Values (, , , , , )</v>
      </c>
      <c r="N2171" s="4">
        <v>2168</v>
      </c>
      <c r="O2171" s="8">
        <f>$B$7*COUNTIF(Sheet2!$B$1:$B$132,N2171)</f>
        <v>0</v>
      </c>
      <c r="P2171" s="8">
        <f t="shared" ca="1" si="115"/>
        <v>0</v>
      </c>
      <c r="Q2171" s="8">
        <f ca="1">CEILING(R2170*(IF(N2171&lt;=IF($B$2=0,0,OFFSET(Sheet2!$B$1,Sheet1!$B$2-1,0)),$B$1/(365*100),$B$3/(365*100)))*100,1)/100</f>
        <v>8.5500000000000007</v>
      </c>
      <c r="R2171" s="9">
        <f t="shared" ca="1" si="116"/>
        <v>20933.667826912621</v>
      </c>
    </row>
    <row r="2172" spans="7:18" x14ac:dyDescent="0.25">
      <c r="G2172" t="str">
        <f t="shared" si="117"/>
        <v>Insert into BlueCreditTypeRainbow Values (, , , , , )</v>
      </c>
      <c r="N2172" s="4">
        <v>2169</v>
      </c>
      <c r="O2172" s="8">
        <f>$B$7*COUNTIF(Sheet2!$B$1:$B$132,N2172)</f>
        <v>0</v>
      </c>
      <c r="P2172" s="8">
        <f t="shared" ca="1" si="115"/>
        <v>0</v>
      </c>
      <c r="Q2172" s="8">
        <f ca="1">CEILING(R2171*(IF(N2172&lt;=IF($B$2=0,0,OFFSET(Sheet2!$B$1,Sheet1!$B$2-1,0)),$B$1/(365*100),$B$3/(365*100)))*100,1)/100</f>
        <v>8.5500000000000007</v>
      </c>
      <c r="R2172" s="9">
        <f t="shared" ca="1" si="116"/>
        <v>20942.21782691262</v>
      </c>
    </row>
    <row r="2173" spans="7:18" x14ac:dyDescent="0.25">
      <c r="G2173" t="str">
        <f t="shared" si="117"/>
        <v>Insert into BlueCreditTypeRainbow Values (, , , , , )</v>
      </c>
      <c r="N2173" s="4">
        <v>2170</v>
      </c>
      <c r="O2173" s="8">
        <f>$B$7*COUNTIF(Sheet2!$B$1:$B$132,N2173)</f>
        <v>0</v>
      </c>
      <c r="P2173" s="8">
        <f t="shared" ca="1" si="115"/>
        <v>0</v>
      </c>
      <c r="Q2173" s="8">
        <f ca="1">CEILING(R2172*(IF(N2173&lt;=IF($B$2=0,0,OFFSET(Sheet2!$B$1,Sheet1!$B$2-1,0)),$B$1/(365*100),$B$3/(365*100)))*100,1)/100</f>
        <v>8.5500000000000007</v>
      </c>
      <c r="R2173" s="9">
        <f t="shared" ca="1" si="116"/>
        <v>20950.767826912619</v>
      </c>
    </row>
    <row r="2174" spans="7:18" x14ac:dyDescent="0.25">
      <c r="G2174" t="str">
        <f t="shared" si="117"/>
        <v>Insert into BlueCreditTypeRainbow Values (, , , , , )</v>
      </c>
      <c r="N2174" s="4">
        <v>2171</v>
      </c>
      <c r="O2174" s="8">
        <f>$B$7*COUNTIF(Sheet2!$B$1:$B$132,N2174)</f>
        <v>0</v>
      </c>
      <c r="P2174" s="8">
        <f t="shared" ca="1" si="115"/>
        <v>0</v>
      </c>
      <c r="Q2174" s="8">
        <f ca="1">CEILING(R2173*(IF(N2174&lt;=IF($B$2=0,0,OFFSET(Sheet2!$B$1,Sheet1!$B$2-1,0)),$B$1/(365*100),$B$3/(365*100)))*100,1)/100</f>
        <v>8.56</v>
      </c>
      <c r="R2174" s="9">
        <f t="shared" ca="1" si="116"/>
        <v>20959.32782691262</v>
      </c>
    </row>
    <row r="2175" spans="7:18" x14ac:dyDescent="0.25">
      <c r="G2175" t="str">
        <f t="shared" si="117"/>
        <v>Insert into BlueCreditTypeRainbow Values (, , , , , )</v>
      </c>
      <c r="N2175" s="4">
        <v>2172</v>
      </c>
      <c r="O2175" s="8">
        <f>$B$7*COUNTIF(Sheet2!$B$1:$B$132,N2175)</f>
        <v>0</v>
      </c>
      <c r="P2175" s="8">
        <f t="shared" ref="P2175:P2238" ca="1" si="118">IF(O2175-Q2175&gt; 0, O2175-Q2175, 0)</f>
        <v>0</v>
      </c>
      <c r="Q2175" s="8">
        <f ca="1">CEILING(R2174*(IF(N2175&lt;=IF($B$2=0,0,OFFSET(Sheet2!$B$1,Sheet1!$B$2-1,0)),$B$1/(365*100),$B$3/(365*100)))*100,1)/100</f>
        <v>8.56</v>
      </c>
      <c r="R2175" s="9">
        <f t="shared" ref="R2175:R2238" ca="1" si="119">R2174+Q2175-O2175</f>
        <v>20967.887826912622</v>
      </c>
    </row>
    <row r="2176" spans="7:18" x14ac:dyDescent="0.25">
      <c r="G2176" t="str">
        <f t="shared" si="117"/>
        <v>Insert into BlueCreditTypeRainbow Values (, , , , , )</v>
      </c>
      <c r="N2176" s="4">
        <v>2173</v>
      </c>
      <c r="O2176" s="8">
        <f>$B$7*COUNTIF(Sheet2!$B$1:$B$132,N2176)</f>
        <v>0</v>
      </c>
      <c r="P2176" s="8">
        <f t="shared" ca="1" si="118"/>
        <v>0</v>
      </c>
      <c r="Q2176" s="8">
        <f ca="1">CEILING(R2175*(IF(N2176&lt;=IF($B$2=0,0,OFFSET(Sheet2!$B$1,Sheet1!$B$2-1,0)),$B$1/(365*100),$B$3/(365*100)))*100,1)/100</f>
        <v>8.56</v>
      </c>
      <c r="R2176" s="9">
        <f t="shared" ca="1" si="119"/>
        <v>20976.447826912623</v>
      </c>
    </row>
    <row r="2177" spans="7:18" x14ac:dyDescent="0.25">
      <c r="G2177" t="str">
        <f t="shared" si="117"/>
        <v>Insert into BlueCreditTypeRainbow Values (, , , , , )</v>
      </c>
      <c r="N2177" s="4">
        <v>2174</v>
      </c>
      <c r="O2177" s="8">
        <f>$B$7*COUNTIF(Sheet2!$B$1:$B$132,N2177)</f>
        <v>0</v>
      </c>
      <c r="P2177" s="8">
        <f t="shared" ca="1" si="118"/>
        <v>0</v>
      </c>
      <c r="Q2177" s="8">
        <f ca="1">CEILING(R2176*(IF(N2177&lt;=IF($B$2=0,0,OFFSET(Sheet2!$B$1,Sheet1!$B$2-1,0)),$B$1/(365*100),$B$3/(365*100)))*100,1)/100</f>
        <v>8.57</v>
      </c>
      <c r="R2177" s="9">
        <f t="shared" ca="1" si="119"/>
        <v>20985.017826912623</v>
      </c>
    </row>
    <row r="2178" spans="7:18" x14ac:dyDescent="0.25">
      <c r="G2178" t="str">
        <f t="shared" si="117"/>
        <v>Insert into BlueCreditTypeRainbow Values (, , , , , )</v>
      </c>
      <c r="N2178" s="4">
        <v>2175</v>
      </c>
      <c r="O2178" s="8">
        <f>$B$7*COUNTIF(Sheet2!$B$1:$B$132,N2178)</f>
        <v>0</v>
      </c>
      <c r="P2178" s="8">
        <f t="shared" ca="1" si="118"/>
        <v>0</v>
      </c>
      <c r="Q2178" s="8">
        <f ca="1">CEILING(R2177*(IF(N2178&lt;=IF($B$2=0,0,OFFSET(Sheet2!$B$1,Sheet1!$B$2-1,0)),$B$1/(365*100),$B$3/(365*100)))*100,1)/100</f>
        <v>8.57</v>
      </c>
      <c r="R2178" s="9">
        <f t="shared" ca="1" si="119"/>
        <v>20993.587826912622</v>
      </c>
    </row>
    <row r="2179" spans="7:18" x14ac:dyDescent="0.25">
      <c r="G2179" t="str">
        <f t="shared" si="117"/>
        <v>Insert into BlueCreditTypeRainbow Values (, , , , , )</v>
      </c>
      <c r="N2179" s="4">
        <v>2176</v>
      </c>
      <c r="O2179" s="8">
        <f>$B$7*COUNTIF(Sheet2!$B$1:$B$132,N2179)</f>
        <v>0</v>
      </c>
      <c r="P2179" s="8">
        <f t="shared" ca="1" si="118"/>
        <v>0</v>
      </c>
      <c r="Q2179" s="8">
        <f ca="1">CEILING(R2178*(IF(N2179&lt;=IF($B$2=0,0,OFFSET(Sheet2!$B$1,Sheet1!$B$2-1,0)),$B$1/(365*100),$B$3/(365*100)))*100,1)/100</f>
        <v>8.57</v>
      </c>
      <c r="R2179" s="9">
        <f t="shared" ca="1" si="119"/>
        <v>21002.157826912622</v>
      </c>
    </row>
    <row r="2180" spans="7:18" x14ac:dyDescent="0.25">
      <c r="G2180" t="str">
        <f t="shared" si="117"/>
        <v>Insert into BlueCreditTypeRainbow Values (, , , , , )</v>
      </c>
      <c r="N2180" s="4">
        <v>2177</v>
      </c>
      <c r="O2180" s="8">
        <f>$B$7*COUNTIF(Sheet2!$B$1:$B$132,N2180)</f>
        <v>0</v>
      </c>
      <c r="P2180" s="8">
        <f t="shared" ca="1" si="118"/>
        <v>0</v>
      </c>
      <c r="Q2180" s="8">
        <f ca="1">CEILING(R2179*(IF(N2180&lt;=IF($B$2=0,0,OFFSET(Sheet2!$B$1,Sheet1!$B$2-1,0)),$B$1/(365*100),$B$3/(365*100)))*100,1)/100</f>
        <v>8.58</v>
      </c>
      <c r="R2180" s="9">
        <f t="shared" ca="1" si="119"/>
        <v>21010.737826912624</v>
      </c>
    </row>
    <row r="2181" spans="7:18" x14ac:dyDescent="0.25">
      <c r="G2181" t="str">
        <f t="shared" si="117"/>
        <v>Insert into BlueCreditTypeRainbow Values (, , , , , )</v>
      </c>
      <c r="N2181" s="4">
        <v>2178</v>
      </c>
      <c r="O2181" s="8">
        <f>$B$7*COUNTIF(Sheet2!$B$1:$B$132,N2181)</f>
        <v>0</v>
      </c>
      <c r="P2181" s="8">
        <f t="shared" ca="1" si="118"/>
        <v>0</v>
      </c>
      <c r="Q2181" s="8">
        <f ca="1">CEILING(R2180*(IF(N2181&lt;=IF($B$2=0,0,OFFSET(Sheet2!$B$1,Sheet1!$B$2-1,0)),$B$1/(365*100),$B$3/(365*100)))*100,1)/100</f>
        <v>8.58</v>
      </c>
      <c r="R2181" s="9">
        <f t="shared" ca="1" si="119"/>
        <v>21019.317826912626</v>
      </c>
    </row>
    <row r="2182" spans="7:18" x14ac:dyDescent="0.25">
      <c r="G2182" t="str">
        <f t="shared" si="117"/>
        <v>Insert into BlueCreditTypeRainbow Values (, , , , , )</v>
      </c>
      <c r="N2182" s="4">
        <v>2179</v>
      </c>
      <c r="O2182" s="8">
        <f>$B$7*COUNTIF(Sheet2!$B$1:$B$132,N2182)</f>
        <v>0</v>
      </c>
      <c r="P2182" s="8">
        <f t="shared" ca="1" si="118"/>
        <v>0</v>
      </c>
      <c r="Q2182" s="8">
        <f ca="1">CEILING(R2181*(IF(N2182&lt;=IF($B$2=0,0,OFFSET(Sheet2!$B$1,Sheet1!$B$2-1,0)),$B$1/(365*100),$B$3/(365*100)))*100,1)/100</f>
        <v>8.59</v>
      </c>
      <c r="R2182" s="9">
        <f t="shared" ca="1" si="119"/>
        <v>21027.907826912626</v>
      </c>
    </row>
    <row r="2183" spans="7:18" x14ac:dyDescent="0.25">
      <c r="G2183" t="str">
        <f t="shared" si="117"/>
        <v>Insert into BlueCreditTypeRainbow Values (, , , , , )</v>
      </c>
      <c r="N2183" s="4">
        <v>2180</v>
      </c>
      <c r="O2183" s="8">
        <f>$B$7*COUNTIF(Sheet2!$B$1:$B$132,N2183)</f>
        <v>0</v>
      </c>
      <c r="P2183" s="8">
        <f t="shared" ca="1" si="118"/>
        <v>0</v>
      </c>
      <c r="Q2183" s="8">
        <f ca="1">CEILING(R2182*(IF(N2183&lt;=IF($B$2=0,0,OFFSET(Sheet2!$B$1,Sheet1!$B$2-1,0)),$B$1/(365*100),$B$3/(365*100)))*100,1)/100</f>
        <v>8.59</v>
      </c>
      <c r="R2183" s="9">
        <f t="shared" ca="1" si="119"/>
        <v>21036.497826912626</v>
      </c>
    </row>
    <row r="2184" spans="7:18" x14ac:dyDescent="0.25">
      <c r="G2184" t="str">
        <f t="shared" si="117"/>
        <v>Insert into BlueCreditTypeRainbow Values (, , , , , )</v>
      </c>
      <c r="N2184" s="4">
        <v>2181</v>
      </c>
      <c r="O2184" s="8">
        <f>$B$7*COUNTIF(Sheet2!$B$1:$B$132,N2184)</f>
        <v>0</v>
      </c>
      <c r="P2184" s="8">
        <f t="shared" ca="1" si="118"/>
        <v>0</v>
      </c>
      <c r="Q2184" s="8">
        <f ca="1">CEILING(R2183*(IF(N2184&lt;=IF($B$2=0,0,OFFSET(Sheet2!$B$1,Sheet1!$B$2-1,0)),$B$1/(365*100),$B$3/(365*100)))*100,1)/100</f>
        <v>8.59</v>
      </c>
      <c r="R2184" s="9">
        <f t="shared" ca="1" si="119"/>
        <v>21045.087826912626</v>
      </c>
    </row>
    <row r="2185" spans="7:18" x14ac:dyDescent="0.25">
      <c r="G2185" t="str">
        <f t="shared" si="117"/>
        <v>Insert into BlueCreditTypeRainbow Values (, , , , , )</v>
      </c>
      <c r="N2185" s="4">
        <v>2182</v>
      </c>
      <c r="O2185" s="8">
        <f>$B$7*COUNTIF(Sheet2!$B$1:$B$132,N2185)</f>
        <v>0</v>
      </c>
      <c r="P2185" s="8">
        <f t="shared" ca="1" si="118"/>
        <v>0</v>
      </c>
      <c r="Q2185" s="8">
        <f ca="1">CEILING(R2184*(IF(N2185&lt;=IF($B$2=0,0,OFFSET(Sheet2!$B$1,Sheet1!$B$2-1,0)),$B$1/(365*100),$B$3/(365*100)))*100,1)/100</f>
        <v>8.6</v>
      </c>
      <c r="R2185" s="9">
        <f t="shared" ca="1" si="119"/>
        <v>21053.687826912625</v>
      </c>
    </row>
    <row r="2186" spans="7:18" x14ac:dyDescent="0.25">
      <c r="G2186" t="str">
        <f t="shared" si="117"/>
        <v>Insert into BlueCreditTypeRainbow Values (, , , , , )</v>
      </c>
      <c r="N2186" s="4">
        <v>2183</v>
      </c>
      <c r="O2186" s="8">
        <f>$B$7*COUNTIF(Sheet2!$B$1:$B$132,N2186)</f>
        <v>0</v>
      </c>
      <c r="P2186" s="8">
        <f t="shared" ca="1" si="118"/>
        <v>0</v>
      </c>
      <c r="Q2186" s="8">
        <f ca="1">CEILING(R2185*(IF(N2186&lt;=IF($B$2=0,0,OFFSET(Sheet2!$B$1,Sheet1!$B$2-1,0)),$B$1/(365*100),$B$3/(365*100)))*100,1)/100</f>
        <v>8.6</v>
      </c>
      <c r="R2186" s="9">
        <f t="shared" ca="1" si="119"/>
        <v>21062.287826912623</v>
      </c>
    </row>
    <row r="2187" spans="7:18" x14ac:dyDescent="0.25">
      <c r="G2187" t="str">
        <f t="shared" si="117"/>
        <v>Insert into BlueCreditTypeRainbow Values (, , , , , )</v>
      </c>
      <c r="N2187" s="4">
        <v>2184</v>
      </c>
      <c r="O2187" s="8">
        <f>$B$7*COUNTIF(Sheet2!$B$1:$B$132,N2187)</f>
        <v>0</v>
      </c>
      <c r="P2187" s="8">
        <f t="shared" ca="1" si="118"/>
        <v>0</v>
      </c>
      <c r="Q2187" s="8">
        <f ca="1">CEILING(R2186*(IF(N2187&lt;=IF($B$2=0,0,OFFSET(Sheet2!$B$1,Sheet1!$B$2-1,0)),$B$1/(365*100),$B$3/(365*100)))*100,1)/100</f>
        <v>8.6</v>
      </c>
      <c r="R2187" s="9">
        <f t="shared" ca="1" si="119"/>
        <v>21070.887826912622</v>
      </c>
    </row>
    <row r="2188" spans="7:18" x14ac:dyDescent="0.25">
      <c r="G2188" t="str">
        <f t="shared" si="117"/>
        <v>Insert into BlueCreditTypeRainbow Values (, , , , , )</v>
      </c>
      <c r="N2188" s="4">
        <v>2185</v>
      </c>
      <c r="O2188" s="8">
        <f>$B$7*COUNTIF(Sheet2!$B$1:$B$132,N2188)</f>
        <v>0</v>
      </c>
      <c r="P2188" s="8">
        <f t="shared" ca="1" si="118"/>
        <v>0</v>
      </c>
      <c r="Q2188" s="8">
        <f ca="1">CEILING(R2187*(IF(N2188&lt;=IF($B$2=0,0,OFFSET(Sheet2!$B$1,Sheet1!$B$2-1,0)),$B$1/(365*100),$B$3/(365*100)))*100,1)/100</f>
        <v>8.61</v>
      </c>
      <c r="R2188" s="9">
        <f t="shared" ca="1" si="119"/>
        <v>21079.497826912622</v>
      </c>
    </row>
    <row r="2189" spans="7:18" x14ac:dyDescent="0.25">
      <c r="G2189" t="str">
        <f t="shared" si="117"/>
        <v>Insert into BlueCreditTypeRainbow Values (, , , , , )</v>
      </c>
      <c r="N2189" s="4">
        <v>2186</v>
      </c>
      <c r="O2189" s="8">
        <f>$B$7*COUNTIF(Sheet2!$B$1:$B$132,N2189)</f>
        <v>0</v>
      </c>
      <c r="P2189" s="8">
        <f t="shared" ca="1" si="118"/>
        <v>0</v>
      </c>
      <c r="Q2189" s="8">
        <f ca="1">CEILING(R2188*(IF(N2189&lt;=IF($B$2=0,0,OFFSET(Sheet2!$B$1,Sheet1!$B$2-1,0)),$B$1/(365*100),$B$3/(365*100)))*100,1)/100</f>
        <v>8.61</v>
      </c>
      <c r="R2189" s="9">
        <f t="shared" ca="1" si="119"/>
        <v>21088.107826912623</v>
      </c>
    </row>
    <row r="2190" spans="7:18" x14ac:dyDescent="0.25">
      <c r="G2190" t="str">
        <f t="shared" si="117"/>
        <v>Insert into BlueCreditTypeRainbow Values (, , , , , )</v>
      </c>
      <c r="N2190" s="4">
        <v>2187</v>
      </c>
      <c r="O2190" s="8">
        <f>$B$7*COUNTIF(Sheet2!$B$1:$B$132,N2190)</f>
        <v>0</v>
      </c>
      <c r="P2190" s="8">
        <f t="shared" ca="1" si="118"/>
        <v>0</v>
      </c>
      <c r="Q2190" s="8">
        <f ca="1">CEILING(R2189*(IF(N2190&lt;=IF($B$2=0,0,OFFSET(Sheet2!$B$1,Sheet1!$B$2-1,0)),$B$1/(365*100),$B$3/(365*100)))*100,1)/100</f>
        <v>8.61</v>
      </c>
      <c r="R2190" s="9">
        <f t="shared" ca="1" si="119"/>
        <v>21096.717826912623</v>
      </c>
    </row>
    <row r="2191" spans="7:18" x14ac:dyDescent="0.25">
      <c r="G2191" t="str">
        <f t="shared" ref="G2191:G2254" si="120">CONCATENATE("Insert into BlueCreditTypeRainbow Values (",A2191,", ",B2191,", ",C2191,", ",D2191,", ",E2191,", ",F2191,")")</f>
        <v>Insert into BlueCreditTypeRainbow Values (, , , , , )</v>
      </c>
      <c r="N2191" s="4">
        <v>2188</v>
      </c>
      <c r="O2191" s="8">
        <f>$B$7*COUNTIF(Sheet2!$B$1:$B$132,N2191)</f>
        <v>0</v>
      </c>
      <c r="P2191" s="8">
        <f t="shared" ca="1" si="118"/>
        <v>0</v>
      </c>
      <c r="Q2191" s="8">
        <f ca="1">CEILING(R2190*(IF(N2191&lt;=IF($B$2=0,0,OFFSET(Sheet2!$B$1,Sheet1!$B$2-1,0)),$B$1/(365*100),$B$3/(365*100)))*100,1)/100</f>
        <v>8.6199999999999992</v>
      </c>
      <c r="R2191" s="9">
        <f t="shared" ca="1" si="119"/>
        <v>21105.337826912622</v>
      </c>
    </row>
    <row r="2192" spans="7:18" x14ac:dyDescent="0.25">
      <c r="G2192" t="str">
        <f t="shared" si="120"/>
        <v>Insert into BlueCreditTypeRainbow Values (, , , , , )</v>
      </c>
      <c r="N2192" s="4">
        <v>2189</v>
      </c>
      <c r="O2192" s="8">
        <f>$B$7*COUNTIF(Sheet2!$B$1:$B$132,N2192)</f>
        <v>0</v>
      </c>
      <c r="P2192" s="8">
        <f t="shared" ca="1" si="118"/>
        <v>0</v>
      </c>
      <c r="Q2192" s="8">
        <f ca="1">CEILING(R2191*(IF(N2192&lt;=IF($B$2=0,0,OFFSET(Sheet2!$B$1,Sheet1!$B$2-1,0)),$B$1/(365*100),$B$3/(365*100)))*100,1)/100</f>
        <v>8.6199999999999992</v>
      </c>
      <c r="R2192" s="9">
        <f t="shared" ca="1" si="119"/>
        <v>21113.957826912621</v>
      </c>
    </row>
    <row r="2193" spans="7:18" x14ac:dyDescent="0.25">
      <c r="G2193" t="str">
        <f t="shared" si="120"/>
        <v>Insert into BlueCreditTypeRainbow Values (, , , , , )</v>
      </c>
      <c r="N2193" s="4">
        <v>2190</v>
      </c>
      <c r="O2193" s="8">
        <f>$B$7*COUNTIF(Sheet2!$B$1:$B$132,N2193)</f>
        <v>0</v>
      </c>
      <c r="P2193" s="8">
        <f t="shared" ca="1" si="118"/>
        <v>0</v>
      </c>
      <c r="Q2193" s="8">
        <f ca="1">CEILING(R2192*(IF(N2193&lt;=IF($B$2=0,0,OFFSET(Sheet2!$B$1,Sheet1!$B$2-1,0)),$B$1/(365*100),$B$3/(365*100)))*100,1)/100</f>
        <v>8.6199999999999992</v>
      </c>
      <c r="R2193" s="9">
        <f t="shared" ca="1" si="119"/>
        <v>21122.57782691262</v>
      </c>
    </row>
    <row r="2194" spans="7:18" x14ac:dyDescent="0.25">
      <c r="G2194" t="str">
        <f t="shared" si="120"/>
        <v>Insert into BlueCreditTypeRainbow Values (, , , , , )</v>
      </c>
      <c r="N2194" s="4">
        <v>2191</v>
      </c>
      <c r="O2194" s="8">
        <f>$B$7*COUNTIF(Sheet2!$B$1:$B$132,N2194)</f>
        <v>0</v>
      </c>
      <c r="P2194" s="8">
        <f t="shared" ca="1" si="118"/>
        <v>0</v>
      </c>
      <c r="Q2194" s="8">
        <f ca="1">CEILING(R2193*(IF(N2194&lt;=IF($B$2=0,0,OFFSET(Sheet2!$B$1,Sheet1!$B$2-1,0)),$B$1/(365*100),$B$3/(365*100)))*100,1)/100</f>
        <v>8.6300000000000008</v>
      </c>
      <c r="R2194" s="9">
        <f t="shared" ca="1" si="119"/>
        <v>21131.207826912621</v>
      </c>
    </row>
    <row r="2195" spans="7:18" x14ac:dyDescent="0.25">
      <c r="G2195" t="str">
        <f t="shared" si="120"/>
        <v>Insert into BlueCreditTypeRainbow Values (, , , , , )</v>
      </c>
      <c r="N2195" s="4">
        <v>2192</v>
      </c>
      <c r="O2195" s="8">
        <f>$B$7*COUNTIF(Sheet2!$B$1:$B$132,N2195)</f>
        <v>0</v>
      </c>
      <c r="P2195" s="8">
        <f t="shared" ca="1" si="118"/>
        <v>0</v>
      </c>
      <c r="Q2195" s="8">
        <f ca="1">CEILING(R2194*(IF(N2195&lt;=IF($B$2=0,0,OFFSET(Sheet2!$B$1,Sheet1!$B$2-1,0)),$B$1/(365*100),$B$3/(365*100)))*100,1)/100</f>
        <v>8.6300000000000008</v>
      </c>
      <c r="R2195" s="9">
        <f t="shared" ca="1" si="119"/>
        <v>21139.837826912622</v>
      </c>
    </row>
    <row r="2196" spans="7:18" x14ac:dyDescent="0.25">
      <c r="G2196" t="str">
        <f t="shared" si="120"/>
        <v>Insert into BlueCreditTypeRainbow Values (, , , , , )</v>
      </c>
      <c r="N2196" s="4">
        <v>2193</v>
      </c>
      <c r="O2196" s="8">
        <f>$B$7*COUNTIF(Sheet2!$B$1:$B$132,N2196)</f>
        <v>0</v>
      </c>
      <c r="P2196" s="8">
        <f t="shared" ca="1" si="118"/>
        <v>0</v>
      </c>
      <c r="Q2196" s="8">
        <f ca="1">CEILING(R2195*(IF(N2196&lt;=IF($B$2=0,0,OFFSET(Sheet2!$B$1,Sheet1!$B$2-1,0)),$B$1/(365*100),$B$3/(365*100)))*100,1)/100</f>
        <v>8.6300000000000008</v>
      </c>
      <c r="R2196" s="9">
        <f t="shared" ca="1" si="119"/>
        <v>21148.467826912623</v>
      </c>
    </row>
    <row r="2197" spans="7:18" x14ac:dyDescent="0.25">
      <c r="G2197" t="str">
        <f t="shared" si="120"/>
        <v>Insert into BlueCreditTypeRainbow Values (, , , , , )</v>
      </c>
      <c r="N2197" s="4">
        <v>2194</v>
      </c>
      <c r="O2197" s="8">
        <f>$B$7*COUNTIF(Sheet2!$B$1:$B$132,N2197)</f>
        <v>21157.10552356458</v>
      </c>
      <c r="P2197" s="8">
        <f t="shared" ca="1" si="118"/>
        <v>21148.465523564581</v>
      </c>
      <c r="Q2197" s="8">
        <f ca="1">CEILING(R2196*(IF(N2197&lt;=IF($B$2=0,0,OFFSET(Sheet2!$B$1,Sheet1!$B$2-1,0)),$B$1/(365*100),$B$3/(365*100)))*100,1)/100</f>
        <v>8.64</v>
      </c>
      <c r="R2197" s="9">
        <f t="shared" ca="1" si="119"/>
        <v>2.3033480429148767E-3</v>
      </c>
    </row>
    <row r="2198" spans="7:18" x14ac:dyDescent="0.25">
      <c r="G2198" t="str">
        <f t="shared" si="120"/>
        <v>Insert into BlueCreditTypeRainbow Values (, , , , , )</v>
      </c>
      <c r="N2198" s="4">
        <v>2195</v>
      </c>
      <c r="O2198" s="8">
        <f>$B$7*COUNTIF(Sheet2!$B$1:$B$132,N2198)</f>
        <v>0</v>
      </c>
      <c r="P2198" s="8">
        <f t="shared" ca="1" si="118"/>
        <v>0</v>
      </c>
      <c r="Q2198" s="8">
        <f ca="1">CEILING(R2197*(IF(N2198&lt;=IF($B$2=0,0,OFFSET(Sheet2!$B$1,Sheet1!$B$2-1,0)),$B$1/(365*100),$B$3/(365*100)))*100,1)/100</f>
        <v>0.01</v>
      </c>
      <c r="R2198" s="9">
        <f t="shared" ca="1" si="119"/>
        <v>1.2303348042914877E-2</v>
      </c>
    </row>
    <row r="2199" spans="7:18" x14ac:dyDescent="0.25">
      <c r="G2199" t="str">
        <f t="shared" si="120"/>
        <v>Insert into BlueCreditTypeRainbow Values (, , , , , )</v>
      </c>
      <c r="N2199" s="4">
        <v>2196</v>
      </c>
      <c r="O2199" s="8">
        <f>$B$7*COUNTIF(Sheet2!$B$1:$B$132,N2199)</f>
        <v>0</v>
      </c>
      <c r="P2199" s="8">
        <f t="shared" ca="1" si="118"/>
        <v>0</v>
      </c>
      <c r="Q2199" s="8">
        <f ca="1">CEILING(R2198*(IF(N2199&lt;=IF($B$2=0,0,OFFSET(Sheet2!$B$1,Sheet1!$B$2-1,0)),$B$1/(365*100),$B$3/(365*100)))*100,1)/100</f>
        <v>0.01</v>
      </c>
      <c r="R2199" s="9">
        <f t="shared" ca="1" si="119"/>
        <v>2.2303348042914877E-2</v>
      </c>
    </row>
    <row r="2200" spans="7:18" x14ac:dyDescent="0.25">
      <c r="G2200" t="str">
        <f t="shared" si="120"/>
        <v>Insert into BlueCreditTypeRainbow Values (, , , , , )</v>
      </c>
      <c r="N2200" s="4">
        <v>2197</v>
      </c>
      <c r="O2200" s="8">
        <f>$B$7*COUNTIF(Sheet2!$B$1:$B$132,N2200)</f>
        <v>0</v>
      </c>
      <c r="P2200" s="8">
        <f t="shared" ca="1" si="118"/>
        <v>0</v>
      </c>
      <c r="Q2200" s="8">
        <f ca="1">CEILING(R2199*(IF(N2200&lt;=IF($B$2=0,0,OFFSET(Sheet2!$B$1,Sheet1!$B$2-1,0)),$B$1/(365*100),$B$3/(365*100)))*100,1)/100</f>
        <v>0.01</v>
      </c>
      <c r="R2200" s="9">
        <f t="shared" ca="1" si="119"/>
        <v>3.2303348042914876E-2</v>
      </c>
    </row>
    <row r="2201" spans="7:18" x14ac:dyDescent="0.25">
      <c r="G2201" t="str">
        <f t="shared" si="120"/>
        <v>Insert into BlueCreditTypeRainbow Values (, , , , , )</v>
      </c>
      <c r="N2201" s="4">
        <v>2198</v>
      </c>
      <c r="O2201" s="8">
        <f>$B$7*COUNTIF(Sheet2!$B$1:$B$132,N2201)</f>
        <v>0</v>
      </c>
      <c r="P2201" s="8">
        <f t="shared" ca="1" si="118"/>
        <v>0</v>
      </c>
      <c r="Q2201" s="8">
        <f ca="1">CEILING(R2200*(IF(N2201&lt;=IF($B$2=0,0,OFFSET(Sheet2!$B$1,Sheet1!$B$2-1,0)),$B$1/(365*100),$B$3/(365*100)))*100,1)/100</f>
        <v>0.01</v>
      </c>
      <c r="R2201" s="9">
        <f t="shared" ca="1" si="119"/>
        <v>4.2303348042914878E-2</v>
      </c>
    </row>
    <row r="2202" spans="7:18" x14ac:dyDescent="0.25">
      <c r="G2202" t="str">
        <f t="shared" si="120"/>
        <v>Insert into BlueCreditTypeRainbow Values (, , , , , )</v>
      </c>
      <c r="N2202" s="4">
        <v>2199</v>
      </c>
      <c r="O2202" s="8">
        <f>$B$7*COUNTIF(Sheet2!$B$1:$B$132,N2202)</f>
        <v>0</v>
      </c>
      <c r="P2202" s="8">
        <f t="shared" ca="1" si="118"/>
        <v>0</v>
      </c>
      <c r="Q2202" s="8">
        <f ca="1">CEILING(R2201*(IF(N2202&lt;=IF($B$2=0,0,OFFSET(Sheet2!$B$1,Sheet1!$B$2-1,0)),$B$1/(365*100),$B$3/(365*100)))*100,1)/100</f>
        <v>0.01</v>
      </c>
      <c r="R2202" s="9">
        <f t="shared" ca="1" si="119"/>
        <v>5.2303348042914879E-2</v>
      </c>
    </row>
    <row r="2203" spans="7:18" x14ac:dyDescent="0.25">
      <c r="G2203" t="str">
        <f t="shared" si="120"/>
        <v>Insert into BlueCreditTypeRainbow Values (, , , , , )</v>
      </c>
      <c r="N2203" s="4">
        <v>2200</v>
      </c>
      <c r="O2203" s="8">
        <f>$B$7*COUNTIF(Sheet2!$B$1:$B$132,N2203)</f>
        <v>0</v>
      </c>
      <c r="P2203" s="8">
        <f t="shared" ca="1" si="118"/>
        <v>0</v>
      </c>
      <c r="Q2203" s="8">
        <f ca="1">CEILING(R2202*(IF(N2203&lt;=IF($B$2=0,0,OFFSET(Sheet2!$B$1,Sheet1!$B$2-1,0)),$B$1/(365*100),$B$3/(365*100)))*100,1)/100</f>
        <v>0.01</v>
      </c>
      <c r="R2203" s="9">
        <f t="shared" ca="1" si="119"/>
        <v>6.2303348042914881E-2</v>
      </c>
    </row>
    <row r="2204" spans="7:18" x14ac:dyDescent="0.25">
      <c r="G2204" t="str">
        <f t="shared" si="120"/>
        <v>Insert into BlueCreditTypeRainbow Values (, , , , , )</v>
      </c>
      <c r="N2204" s="4">
        <v>2201</v>
      </c>
      <c r="O2204" s="8">
        <f>$B$7*COUNTIF(Sheet2!$B$1:$B$132,N2204)</f>
        <v>0</v>
      </c>
      <c r="P2204" s="8">
        <f t="shared" ca="1" si="118"/>
        <v>0</v>
      </c>
      <c r="Q2204" s="8">
        <f ca="1">CEILING(R2203*(IF(N2204&lt;=IF($B$2=0,0,OFFSET(Sheet2!$B$1,Sheet1!$B$2-1,0)),$B$1/(365*100),$B$3/(365*100)))*100,1)/100</f>
        <v>0.01</v>
      </c>
      <c r="R2204" s="9">
        <f t="shared" ca="1" si="119"/>
        <v>7.2303348042914883E-2</v>
      </c>
    </row>
    <row r="2205" spans="7:18" x14ac:dyDescent="0.25">
      <c r="G2205" t="str">
        <f t="shared" si="120"/>
        <v>Insert into BlueCreditTypeRainbow Values (, , , , , )</v>
      </c>
      <c r="N2205" s="4">
        <v>2202</v>
      </c>
      <c r="O2205" s="8">
        <f>$B$7*COUNTIF(Sheet2!$B$1:$B$132,N2205)</f>
        <v>0</v>
      </c>
      <c r="P2205" s="8">
        <f t="shared" ca="1" si="118"/>
        <v>0</v>
      </c>
      <c r="Q2205" s="8">
        <f ca="1">CEILING(R2204*(IF(N2205&lt;=IF($B$2=0,0,OFFSET(Sheet2!$B$1,Sheet1!$B$2-1,0)),$B$1/(365*100),$B$3/(365*100)))*100,1)/100</f>
        <v>0.01</v>
      </c>
      <c r="R2205" s="9">
        <f t="shared" ca="1" si="119"/>
        <v>8.2303348042914878E-2</v>
      </c>
    </row>
    <row r="2206" spans="7:18" x14ac:dyDescent="0.25">
      <c r="G2206" t="str">
        <f t="shared" si="120"/>
        <v>Insert into BlueCreditTypeRainbow Values (, , , , , )</v>
      </c>
      <c r="N2206" s="4">
        <v>2203</v>
      </c>
      <c r="O2206" s="8">
        <f>$B$7*COUNTIF(Sheet2!$B$1:$B$132,N2206)</f>
        <v>0</v>
      </c>
      <c r="P2206" s="8">
        <f t="shared" ca="1" si="118"/>
        <v>0</v>
      </c>
      <c r="Q2206" s="8">
        <f ca="1">CEILING(R2205*(IF(N2206&lt;=IF($B$2=0,0,OFFSET(Sheet2!$B$1,Sheet1!$B$2-1,0)),$B$1/(365*100),$B$3/(365*100)))*100,1)/100</f>
        <v>0.01</v>
      </c>
      <c r="R2206" s="9">
        <f t="shared" ca="1" si="119"/>
        <v>9.2303348042914873E-2</v>
      </c>
    </row>
    <row r="2207" spans="7:18" x14ac:dyDescent="0.25">
      <c r="G2207" t="str">
        <f t="shared" si="120"/>
        <v>Insert into BlueCreditTypeRainbow Values (, , , , , )</v>
      </c>
      <c r="N2207" s="4">
        <v>2204</v>
      </c>
      <c r="O2207" s="8">
        <f>$B$7*COUNTIF(Sheet2!$B$1:$B$132,N2207)</f>
        <v>0</v>
      </c>
      <c r="P2207" s="8">
        <f t="shared" ca="1" si="118"/>
        <v>0</v>
      </c>
      <c r="Q2207" s="8">
        <f ca="1">CEILING(R2206*(IF(N2207&lt;=IF($B$2=0,0,OFFSET(Sheet2!$B$1,Sheet1!$B$2-1,0)),$B$1/(365*100),$B$3/(365*100)))*100,1)/100</f>
        <v>0.01</v>
      </c>
      <c r="R2207" s="9">
        <f t="shared" ca="1" si="119"/>
        <v>0.10230334804291487</v>
      </c>
    </row>
    <row r="2208" spans="7:18" x14ac:dyDescent="0.25">
      <c r="G2208" t="str">
        <f t="shared" si="120"/>
        <v>Insert into BlueCreditTypeRainbow Values (, , , , , )</v>
      </c>
      <c r="N2208" s="4">
        <v>2205</v>
      </c>
      <c r="O2208" s="8">
        <f>$B$7*COUNTIF(Sheet2!$B$1:$B$132,N2208)</f>
        <v>0</v>
      </c>
      <c r="P2208" s="8">
        <f t="shared" ca="1" si="118"/>
        <v>0</v>
      </c>
      <c r="Q2208" s="8">
        <f ca="1">CEILING(R2207*(IF(N2208&lt;=IF($B$2=0,0,OFFSET(Sheet2!$B$1,Sheet1!$B$2-1,0)),$B$1/(365*100),$B$3/(365*100)))*100,1)/100</f>
        <v>0.01</v>
      </c>
      <c r="R2208" s="9">
        <f t="shared" ca="1" si="119"/>
        <v>0.11230334804291486</v>
      </c>
    </row>
    <row r="2209" spans="7:18" x14ac:dyDescent="0.25">
      <c r="G2209" t="str">
        <f t="shared" si="120"/>
        <v>Insert into BlueCreditTypeRainbow Values (, , , , , )</v>
      </c>
      <c r="N2209" s="4">
        <v>2206</v>
      </c>
      <c r="O2209" s="8">
        <f>$B$7*COUNTIF(Sheet2!$B$1:$B$132,N2209)</f>
        <v>0</v>
      </c>
      <c r="P2209" s="8">
        <f t="shared" ca="1" si="118"/>
        <v>0</v>
      </c>
      <c r="Q2209" s="8">
        <f ca="1">CEILING(R2208*(IF(N2209&lt;=IF($B$2=0,0,OFFSET(Sheet2!$B$1,Sheet1!$B$2-1,0)),$B$1/(365*100),$B$3/(365*100)))*100,1)/100</f>
        <v>0.01</v>
      </c>
      <c r="R2209" s="9">
        <f t="shared" ca="1" si="119"/>
        <v>0.12230334804291486</v>
      </c>
    </row>
    <row r="2210" spans="7:18" x14ac:dyDescent="0.25">
      <c r="G2210" t="str">
        <f t="shared" si="120"/>
        <v>Insert into BlueCreditTypeRainbow Values (, , , , , )</v>
      </c>
      <c r="N2210" s="4">
        <v>2207</v>
      </c>
      <c r="O2210" s="8">
        <f>$B$7*COUNTIF(Sheet2!$B$1:$B$132,N2210)</f>
        <v>0</v>
      </c>
      <c r="P2210" s="8">
        <f t="shared" ca="1" si="118"/>
        <v>0</v>
      </c>
      <c r="Q2210" s="8">
        <f ca="1">CEILING(R2209*(IF(N2210&lt;=IF($B$2=0,0,OFFSET(Sheet2!$B$1,Sheet1!$B$2-1,0)),$B$1/(365*100),$B$3/(365*100)))*100,1)/100</f>
        <v>0.01</v>
      </c>
      <c r="R2210" s="9">
        <f t="shared" ca="1" si="119"/>
        <v>0.13230334804291485</v>
      </c>
    </row>
    <row r="2211" spans="7:18" x14ac:dyDescent="0.25">
      <c r="G2211" t="str">
        <f t="shared" si="120"/>
        <v>Insert into BlueCreditTypeRainbow Values (, , , , , )</v>
      </c>
      <c r="N2211" s="4">
        <v>2208</v>
      </c>
      <c r="O2211" s="8">
        <f>$B$7*COUNTIF(Sheet2!$B$1:$B$132,N2211)</f>
        <v>0</v>
      </c>
      <c r="P2211" s="8">
        <f t="shared" ca="1" si="118"/>
        <v>0</v>
      </c>
      <c r="Q2211" s="8">
        <f ca="1">CEILING(R2210*(IF(N2211&lt;=IF($B$2=0,0,OFFSET(Sheet2!$B$1,Sheet1!$B$2-1,0)),$B$1/(365*100),$B$3/(365*100)))*100,1)/100</f>
        <v>0.01</v>
      </c>
      <c r="R2211" s="9">
        <f t="shared" ca="1" si="119"/>
        <v>0.14230334804291486</v>
      </c>
    </row>
    <row r="2212" spans="7:18" x14ac:dyDescent="0.25">
      <c r="G2212" t="str">
        <f t="shared" si="120"/>
        <v>Insert into BlueCreditTypeRainbow Values (, , , , , )</v>
      </c>
      <c r="N2212" s="4">
        <v>2209</v>
      </c>
      <c r="O2212" s="8">
        <f>$B$7*COUNTIF(Sheet2!$B$1:$B$132,N2212)</f>
        <v>0</v>
      </c>
      <c r="P2212" s="8">
        <f t="shared" ca="1" si="118"/>
        <v>0</v>
      </c>
      <c r="Q2212" s="8">
        <f ca="1">CEILING(R2211*(IF(N2212&lt;=IF($B$2=0,0,OFFSET(Sheet2!$B$1,Sheet1!$B$2-1,0)),$B$1/(365*100),$B$3/(365*100)))*100,1)/100</f>
        <v>0.01</v>
      </c>
      <c r="R2212" s="9">
        <f t="shared" ca="1" si="119"/>
        <v>0.15230334804291487</v>
      </c>
    </row>
    <row r="2213" spans="7:18" x14ac:dyDescent="0.25">
      <c r="G2213" t="str">
        <f t="shared" si="120"/>
        <v>Insert into BlueCreditTypeRainbow Values (, , , , , )</v>
      </c>
      <c r="N2213" s="4">
        <v>2210</v>
      </c>
      <c r="O2213" s="8">
        <f>$B$7*COUNTIF(Sheet2!$B$1:$B$132,N2213)</f>
        <v>0</v>
      </c>
      <c r="P2213" s="8">
        <f t="shared" ca="1" si="118"/>
        <v>0</v>
      </c>
      <c r="Q2213" s="8">
        <f ca="1">CEILING(R2212*(IF(N2213&lt;=IF($B$2=0,0,OFFSET(Sheet2!$B$1,Sheet1!$B$2-1,0)),$B$1/(365*100),$B$3/(365*100)))*100,1)/100</f>
        <v>0.01</v>
      </c>
      <c r="R2213" s="9">
        <f t="shared" ca="1" si="119"/>
        <v>0.16230334804291488</v>
      </c>
    </row>
    <row r="2214" spans="7:18" x14ac:dyDescent="0.25">
      <c r="G2214" t="str">
        <f t="shared" si="120"/>
        <v>Insert into BlueCreditTypeRainbow Values (, , , , , )</v>
      </c>
      <c r="N2214" s="4">
        <v>2211</v>
      </c>
      <c r="O2214" s="8">
        <f>$B$7*COUNTIF(Sheet2!$B$1:$B$132,N2214)</f>
        <v>0</v>
      </c>
      <c r="P2214" s="8">
        <f t="shared" ca="1" si="118"/>
        <v>0</v>
      </c>
      <c r="Q2214" s="8">
        <f ca="1">CEILING(R2213*(IF(N2214&lt;=IF($B$2=0,0,OFFSET(Sheet2!$B$1,Sheet1!$B$2-1,0)),$B$1/(365*100),$B$3/(365*100)))*100,1)/100</f>
        <v>0.01</v>
      </c>
      <c r="R2214" s="9">
        <f t="shared" ca="1" si="119"/>
        <v>0.17230334804291489</v>
      </c>
    </row>
    <row r="2215" spans="7:18" x14ac:dyDescent="0.25">
      <c r="G2215" t="str">
        <f t="shared" si="120"/>
        <v>Insert into BlueCreditTypeRainbow Values (, , , , , )</v>
      </c>
      <c r="N2215" s="4">
        <v>2212</v>
      </c>
      <c r="O2215" s="8">
        <f>$B$7*COUNTIF(Sheet2!$B$1:$B$132,N2215)</f>
        <v>0</v>
      </c>
      <c r="P2215" s="8">
        <f t="shared" ca="1" si="118"/>
        <v>0</v>
      </c>
      <c r="Q2215" s="8">
        <f ca="1">CEILING(R2214*(IF(N2215&lt;=IF($B$2=0,0,OFFSET(Sheet2!$B$1,Sheet1!$B$2-1,0)),$B$1/(365*100),$B$3/(365*100)))*100,1)/100</f>
        <v>0.01</v>
      </c>
      <c r="R2215" s="9">
        <f t="shared" ca="1" si="119"/>
        <v>0.1823033480429149</v>
      </c>
    </row>
    <row r="2216" spans="7:18" x14ac:dyDescent="0.25">
      <c r="G2216" t="str">
        <f t="shared" si="120"/>
        <v>Insert into BlueCreditTypeRainbow Values (, , , , , )</v>
      </c>
      <c r="N2216" s="4">
        <v>2213</v>
      </c>
      <c r="O2216" s="8">
        <f>$B$7*COUNTIF(Sheet2!$B$1:$B$132,N2216)</f>
        <v>0</v>
      </c>
      <c r="P2216" s="8">
        <f t="shared" ca="1" si="118"/>
        <v>0</v>
      </c>
      <c r="Q2216" s="8">
        <f ca="1">CEILING(R2215*(IF(N2216&lt;=IF($B$2=0,0,OFFSET(Sheet2!$B$1,Sheet1!$B$2-1,0)),$B$1/(365*100),$B$3/(365*100)))*100,1)/100</f>
        <v>0.01</v>
      </c>
      <c r="R2216" s="9">
        <f t="shared" ca="1" si="119"/>
        <v>0.19230334804291491</v>
      </c>
    </row>
    <row r="2217" spans="7:18" x14ac:dyDescent="0.25">
      <c r="G2217" t="str">
        <f t="shared" si="120"/>
        <v>Insert into BlueCreditTypeRainbow Values (, , , , , )</v>
      </c>
      <c r="N2217" s="4">
        <v>2214</v>
      </c>
      <c r="O2217" s="8">
        <f>$B$7*COUNTIF(Sheet2!$B$1:$B$132,N2217)</f>
        <v>0</v>
      </c>
      <c r="P2217" s="8">
        <f t="shared" ca="1" si="118"/>
        <v>0</v>
      </c>
      <c r="Q2217" s="8">
        <f ca="1">CEILING(R2216*(IF(N2217&lt;=IF($B$2=0,0,OFFSET(Sheet2!$B$1,Sheet1!$B$2-1,0)),$B$1/(365*100),$B$3/(365*100)))*100,1)/100</f>
        <v>0.01</v>
      </c>
      <c r="R2217" s="9">
        <f t="shared" ca="1" si="119"/>
        <v>0.20230334804291492</v>
      </c>
    </row>
    <row r="2218" spans="7:18" x14ac:dyDescent="0.25">
      <c r="G2218" t="str">
        <f t="shared" si="120"/>
        <v>Insert into BlueCreditTypeRainbow Values (, , , , , )</v>
      </c>
      <c r="N2218" s="4">
        <v>2215</v>
      </c>
      <c r="O2218" s="8">
        <f>$B$7*COUNTIF(Sheet2!$B$1:$B$132,N2218)</f>
        <v>0</v>
      </c>
      <c r="P2218" s="8">
        <f t="shared" ca="1" si="118"/>
        <v>0</v>
      </c>
      <c r="Q2218" s="8">
        <f ca="1">CEILING(R2217*(IF(N2218&lt;=IF($B$2=0,0,OFFSET(Sheet2!$B$1,Sheet1!$B$2-1,0)),$B$1/(365*100),$B$3/(365*100)))*100,1)/100</f>
        <v>0.01</v>
      </c>
      <c r="R2218" s="9">
        <f t="shared" ca="1" si="119"/>
        <v>0.21230334804291492</v>
      </c>
    </row>
    <row r="2219" spans="7:18" x14ac:dyDescent="0.25">
      <c r="G2219" t="str">
        <f t="shared" si="120"/>
        <v>Insert into BlueCreditTypeRainbow Values (, , , , , )</v>
      </c>
      <c r="N2219" s="4">
        <v>2216</v>
      </c>
      <c r="O2219" s="8">
        <f>$B$7*COUNTIF(Sheet2!$B$1:$B$132,N2219)</f>
        <v>0</v>
      </c>
      <c r="P2219" s="8">
        <f t="shared" ca="1" si="118"/>
        <v>0</v>
      </c>
      <c r="Q2219" s="8">
        <f ca="1">CEILING(R2218*(IF(N2219&lt;=IF($B$2=0,0,OFFSET(Sheet2!$B$1,Sheet1!$B$2-1,0)),$B$1/(365*100),$B$3/(365*100)))*100,1)/100</f>
        <v>0.01</v>
      </c>
      <c r="R2219" s="9">
        <f t="shared" ca="1" si="119"/>
        <v>0.22230334804291493</v>
      </c>
    </row>
    <row r="2220" spans="7:18" x14ac:dyDescent="0.25">
      <c r="G2220" t="str">
        <f t="shared" si="120"/>
        <v>Insert into BlueCreditTypeRainbow Values (, , , , , )</v>
      </c>
      <c r="N2220" s="4">
        <v>2217</v>
      </c>
      <c r="O2220" s="8">
        <f>$B$7*COUNTIF(Sheet2!$B$1:$B$132,N2220)</f>
        <v>0</v>
      </c>
      <c r="P2220" s="8">
        <f t="shared" ca="1" si="118"/>
        <v>0</v>
      </c>
      <c r="Q2220" s="8">
        <f ca="1">CEILING(R2219*(IF(N2220&lt;=IF($B$2=0,0,OFFSET(Sheet2!$B$1,Sheet1!$B$2-1,0)),$B$1/(365*100),$B$3/(365*100)))*100,1)/100</f>
        <v>0.01</v>
      </c>
      <c r="R2220" s="9">
        <f t="shared" ca="1" si="119"/>
        <v>0.23230334804291494</v>
      </c>
    </row>
    <row r="2221" spans="7:18" x14ac:dyDescent="0.25">
      <c r="G2221" t="str">
        <f t="shared" si="120"/>
        <v>Insert into BlueCreditTypeRainbow Values (, , , , , )</v>
      </c>
      <c r="N2221" s="4">
        <v>2218</v>
      </c>
      <c r="O2221" s="8">
        <f>$B$7*COUNTIF(Sheet2!$B$1:$B$132,N2221)</f>
        <v>0</v>
      </c>
      <c r="P2221" s="8">
        <f t="shared" ca="1" si="118"/>
        <v>0</v>
      </c>
      <c r="Q2221" s="8">
        <f ca="1">CEILING(R2220*(IF(N2221&lt;=IF($B$2=0,0,OFFSET(Sheet2!$B$1,Sheet1!$B$2-1,0)),$B$1/(365*100),$B$3/(365*100)))*100,1)/100</f>
        <v>0.01</v>
      </c>
      <c r="R2221" s="9">
        <f t="shared" ca="1" si="119"/>
        <v>0.24230334804291495</v>
      </c>
    </row>
    <row r="2222" spans="7:18" x14ac:dyDescent="0.25">
      <c r="G2222" t="str">
        <f t="shared" si="120"/>
        <v>Insert into BlueCreditTypeRainbow Values (, , , , , )</v>
      </c>
      <c r="N2222" s="4">
        <v>2219</v>
      </c>
      <c r="O2222" s="8">
        <f>$B$7*COUNTIF(Sheet2!$B$1:$B$132,N2222)</f>
        <v>0</v>
      </c>
      <c r="P2222" s="8">
        <f t="shared" ca="1" si="118"/>
        <v>0</v>
      </c>
      <c r="Q2222" s="8">
        <f ca="1">CEILING(R2221*(IF(N2222&lt;=IF($B$2=0,0,OFFSET(Sheet2!$B$1,Sheet1!$B$2-1,0)),$B$1/(365*100),$B$3/(365*100)))*100,1)/100</f>
        <v>0.01</v>
      </c>
      <c r="R2222" s="9">
        <f t="shared" ca="1" si="119"/>
        <v>0.25230334804291493</v>
      </c>
    </row>
    <row r="2223" spans="7:18" x14ac:dyDescent="0.25">
      <c r="G2223" t="str">
        <f t="shared" si="120"/>
        <v>Insert into BlueCreditTypeRainbow Values (, , , , , )</v>
      </c>
      <c r="N2223" s="4">
        <v>2220</v>
      </c>
      <c r="O2223" s="8">
        <f>$B$7*COUNTIF(Sheet2!$B$1:$B$132,N2223)</f>
        <v>0</v>
      </c>
      <c r="P2223" s="8">
        <f t="shared" ca="1" si="118"/>
        <v>0</v>
      </c>
      <c r="Q2223" s="8">
        <f ca="1">CEILING(R2222*(IF(N2223&lt;=IF($B$2=0,0,OFFSET(Sheet2!$B$1,Sheet1!$B$2-1,0)),$B$1/(365*100),$B$3/(365*100)))*100,1)/100</f>
        <v>0.01</v>
      </c>
      <c r="R2223" s="9">
        <f t="shared" ca="1" si="119"/>
        <v>0.26230334804291494</v>
      </c>
    </row>
    <row r="2224" spans="7:18" x14ac:dyDescent="0.25">
      <c r="G2224" t="str">
        <f t="shared" si="120"/>
        <v>Insert into BlueCreditTypeRainbow Values (, , , , , )</v>
      </c>
      <c r="N2224" s="4">
        <v>2221</v>
      </c>
      <c r="O2224" s="8">
        <f>$B$7*COUNTIF(Sheet2!$B$1:$B$132,N2224)</f>
        <v>0</v>
      </c>
      <c r="P2224" s="8">
        <f t="shared" ca="1" si="118"/>
        <v>0</v>
      </c>
      <c r="Q2224" s="8">
        <f ca="1">CEILING(R2223*(IF(N2224&lt;=IF($B$2=0,0,OFFSET(Sheet2!$B$1,Sheet1!$B$2-1,0)),$B$1/(365*100),$B$3/(365*100)))*100,1)/100</f>
        <v>0.01</v>
      </c>
      <c r="R2224" s="9">
        <f t="shared" ca="1" si="119"/>
        <v>0.27230334804291495</v>
      </c>
    </row>
    <row r="2225" spans="7:18" x14ac:dyDescent="0.25">
      <c r="G2225" t="str">
        <f t="shared" si="120"/>
        <v>Insert into BlueCreditTypeRainbow Values (, , , , , )</v>
      </c>
      <c r="N2225" s="4">
        <v>2222</v>
      </c>
      <c r="O2225" s="8">
        <f>$B$7*COUNTIF(Sheet2!$B$1:$B$132,N2225)</f>
        <v>0</v>
      </c>
      <c r="P2225" s="8">
        <f t="shared" ca="1" si="118"/>
        <v>0</v>
      </c>
      <c r="Q2225" s="8">
        <f ca="1">CEILING(R2224*(IF(N2225&lt;=IF($B$2=0,0,OFFSET(Sheet2!$B$1,Sheet1!$B$2-1,0)),$B$1/(365*100),$B$3/(365*100)))*100,1)/100</f>
        <v>0.01</v>
      </c>
      <c r="R2225" s="9">
        <f t="shared" ca="1" si="119"/>
        <v>0.28230334804291496</v>
      </c>
    </row>
    <row r="2226" spans="7:18" x14ac:dyDescent="0.25">
      <c r="G2226" t="str">
        <f t="shared" si="120"/>
        <v>Insert into BlueCreditTypeRainbow Values (, , , , , )</v>
      </c>
      <c r="N2226" s="4">
        <v>2223</v>
      </c>
      <c r="O2226" s="8">
        <f>$B$7*COUNTIF(Sheet2!$B$1:$B$132,N2226)</f>
        <v>0</v>
      </c>
      <c r="P2226" s="8">
        <f t="shared" ca="1" si="118"/>
        <v>0</v>
      </c>
      <c r="Q2226" s="8">
        <f ca="1">CEILING(R2225*(IF(N2226&lt;=IF($B$2=0,0,OFFSET(Sheet2!$B$1,Sheet1!$B$2-1,0)),$B$1/(365*100),$B$3/(365*100)))*100,1)/100</f>
        <v>0.01</v>
      </c>
      <c r="R2226" s="9">
        <f t="shared" ca="1" si="119"/>
        <v>0.29230334804291497</v>
      </c>
    </row>
    <row r="2227" spans="7:18" x14ac:dyDescent="0.25">
      <c r="G2227" t="str">
        <f t="shared" si="120"/>
        <v>Insert into BlueCreditTypeRainbow Values (, , , , , )</v>
      </c>
      <c r="N2227" s="4">
        <v>2224</v>
      </c>
      <c r="O2227" s="8">
        <f>$B$7*COUNTIF(Sheet2!$B$1:$B$132,N2227)</f>
        <v>21157.10552356458</v>
      </c>
      <c r="P2227" s="8">
        <f t="shared" ca="1" si="118"/>
        <v>21157.095523564582</v>
      </c>
      <c r="Q2227" s="8">
        <f ca="1">CEILING(R2226*(IF(N2227&lt;=IF($B$2=0,0,OFFSET(Sheet2!$B$1,Sheet1!$B$2-1,0)),$B$1/(365*100),$B$3/(365*100)))*100,1)/100</f>
        <v>0.01</v>
      </c>
      <c r="R2227" s="9">
        <f t="shared" ca="1" si="119"/>
        <v>-21156.803220216538</v>
      </c>
    </row>
    <row r="2228" spans="7:18" x14ac:dyDescent="0.25">
      <c r="G2228" t="str">
        <f t="shared" si="120"/>
        <v>Insert into BlueCreditTypeRainbow Values (, , , , , )</v>
      </c>
      <c r="N2228" s="4">
        <v>2225</v>
      </c>
      <c r="O2228" s="8">
        <f>$B$7*COUNTIF(Sheet2!$B$1:$B$132,N2228)</f>
        <v>0</v>
      </c>
      <c r="P2228" s="8">
        <f t="shared" ca="1" si="118"/>
        <v>8.6300000000000008</v>
      </c>
      <c r="Q2228" s="8">
        <f ca="1">CEILING(R2227*(IF(N2228&lt;=IF($B$2=0,0,OFFSET(Sheet2!$B$1,Sheet1!$B$2-1,0)),$B$1/(365*100),$B$3/(365*100)))*100,1)/100</f>
        <v>-8.6300000000000008</v>
      </c>
      <c r="R2228" s="9">
        <f t="shared" ca="1" si="119"/>
        <v>-21165.433220216539</v>
      </c>
    </row>
    <row r="2229" spans="7:18" x14ac:dyDescent="0.25">
      <c r="G2229" t="str">
        <f t="shared" si="120"/>
        <v>Insert into BlueCreditTypeRainbow Values (, , , , , )</v>
      </c>
      <c r="N2229" s="4">
        <v>2226</v>
      </c>
      <c r="O2229" s="8">
        <f>$B$7*COUNTIF(Sheet2!$B$1:$B$132,N2229)</f>
        <v>0</v>
      </c>
      <c r="P2229" s="8">
        <f t="shared" ca="1" si="118"/>
        <v>8.64</v>
      </c>
      <c r="Q2229" s="8">
        <f ca="1">CEILING(R2228*(IF(N2229&lt;=IF($B$2=0,0,OFFSET(Sheet2!$B$1,Sheet1!$B$2-1,0)),$B$1/(365*100),$B$3/(365*100)))*100,1)/100</f>
        <v>-8.64</v>
      </c>
      <c r="R2229" s="9">
        <f t="shared" ca="1" si="119"/>
        <v>-21174.073220216538</v>
      </c>
    </row>
    <row r="2230" spans="7:18" x14ac:dyDescent="0.25">
      <c r="G2230" t="str">
        <f t="shared" si="120"/>
        <v>Insert into BlueCreditTypeRainbow Values (, , , , , )</v>
      </c>
      <c r="N2230" s="4">
        <v>2227</v>
      </c>
      <c r="O2230" s="8">
        <f>$B$7*COUNTIF(Sheet2!$B$1:$B$132,N2230)</f>
        <v>0</v>
      </c>
      <c r="P2230" s="8">
        <f t="shared" ca="1" si="118"/>
        <v>8.64</v>
      </c>
      <c r="Q2230" s="8">
        <f ca="1">CEILING(R2229*(IF(N2230&lt;=IF($B$2=0,0,OFFSET(Sheet2!$B$1,Sheet1!$B$2-1,0)),$B$1/(365*100),$B$3/(365*100)))*100,1)/100</f>
        <v>-8.64</v>
      </c>
      <c r="R2230" s="9">
        <f t="shared" ca="1" si="119"/>
        <v>-21182.713220216538</v>
      </c>
    </row>
    <row r="2231" spans="7:18" x14ac:dyDescent="0.25">
      <c r="G2231" t="str">
        <f t="shared" si="120"/>
        <v>Insert into BlueCreditTypeRainbow Values (, , , , , )</v>
      </c>
      <c r="N2231" s="4">
        <v>2228</v>
      </c>
      <c r="O2231" s="8">
        <f>$B$7*COUNTIF(Sheet2!$B$1:$B$132,N2231)</f>
        <v>0</v>
      </c>
      <c r="P2231" s="8">
        <f t="shared" ca="1" si="118"/>
        <v>8.64</v>
      </c>
      <c r="Q2231" s="8">
        <f ca="1">CEILING(R2230*(IF(N2231&lt;=IF($B$2=0,0,OFFSET(Sheet2!$B$1,Sheet1!$B$2-1,0)),$B$1/(365*100),$B$3/(365*100)))*100,1)/100</f>
        <v>-8.64</v>
      </c>
      <c r="R2231" s="9">
        <f t="shared" ca="1" si="119"/>
        <v>-21191.353220216537</v>
      </c>
    </row>
    <row r="2232" spans="7:18" x14ac:dyDescent="0.25">
      <c r="G2232" t="str">
        <f t="shared" si="120"/>
        <v>Insert into BlueCreditTypeRainbow Values (, , , , , )</v>
      </c>
      <c r="N2232" s="4">
        <v>2229</v>
      </c>
      <c r="O2232" s="8">
        <f>$B$7*COUNTIF(Sheet2!$B$1:$B$132,N2232)</f>
        <v>0</v>
      </c>
      <c r="P2232" s="8">
        <f t="shared" ca="1" si="118"/>
        <v>8.65</v>
      </c>
      <c r="Q2232" s="8">
        <f ca="1">CEILING(R2231*(IF(N2232&lt;=IF($B$2=0,0,OFFSET(Sheet2!$B$1,Sheet1!$B$2-1,0)),$B$1/(365*100),$B$3/(365*100)))*100,1)/100</f>
        <v>-8.65</v>
      </c>
      <c r="R2232" s="9">
        <f t="shared" ca="1" si="119"/>
        <v>-21200.003220216538</v>
      </c>
    </row>
    <row r="2233" spans="7:18" x14ac:dyDescent="0.25">
      <c r="G2233" t="str">
        <f t="shared" si="120"/>
        <v>Insert into BlueCreditTypeRainbow Values (, , , , , )</v>
      </c>
      <c r="N2233" s="4">
        <v>2230</v>
      </c>
      <c r="O2233" s="8">
        <f>$B$7*COUNTIF(Sheet2!$B$1:$B$132,N2233)</f>
        <v>0</v>
      </c>
      <c r="P2233" s="8">
        <f t="shared" ca="1" si="118"/>
        <v>8.65</v>
      </c>
      <c r="Q2233" s="8">
        <f ca="1">CEILING(R2232*(IF(N2233&lt;=IF($B$2=0,0,OFFSET(Sheet2!$B$1,Sheet1!$B$2-1,0)),$B$1/(365*100),$B$3/(365*100)))*100,1)/100</f>
        <v>-8.65</v>
      </c>
      <c r="R2233" s="9">
        <f t="shared" ca="1" si="119"/>
        <v>-21208.65322021654</v>
      </c>
    </row>
    <row r="2234" spans="7:18" x14ac:dyDescent="0.25">
      <c r="G2234" t="str">
        <f t="shared" si="120"/>
        <v>Insert into BlueCreditTypeRainbow Values (, , , , , )</v>
      </c>
      <c r="N2234" s="4">
        <v>2231</v>
      </c>
      <c r="O2234" s="8">
        <f>$B$7*COUNTIF(Sheet2!$B$1:$B$132,N2234)</f>
        <v>0</v>
      </c>
      <c r="P2234" s="8">
        <f t="shared" ca="1" si="118"/>
        <v>8.65</v>
      </c>
      <c r="Q2234" s="8">
        <f ca="1">CEILING(R2233*(IF(N2234&lt;=IF($B$2=0,0,OFFSET(Sheet2!$B$1,Sheet1!$B$2-1,0)),$B$1/(365*100),$B$3/(365*100)))*100,1)/100</f>
        <v>-8.65</v>
      </c>
      <c r="R2234" s="9">
        <f t="shared" ca="1" si="119"/>
        <v>-21217.303220216541</v>
      </c>
    </row>
    <row r="2235" spans="7:18" x14ac:dyDescent="0.25">
      <c r="G2235" t="str">
        <f t="shared" si="120"/>
        <v>Insert into BlueCreditTypeRainbow Values (, , , , , )</v>
      </c>
      <c r="N2235" s="4">
        <v>2232</v>
      </c>
      <c r="O2235" s="8">
        <f>$B$7*COUNTIF(Sheet2!$B$1:$B$132,N2235)</f>
        <v>0</v>
      </c>
      <c r="P2235" s="8">
        <f t="shared" ca="1" si="118"/>
        <v>8.66</v>
      </c>
      <c r="Q2235" s="8">
        <f ca="1">CEILING(R2234*(IF(N2235&lt;=IF($B$2=0,0,OFFSET(Sheet2!$B$1,Sheet1!$B$2-1,0)),$B$1/(365*100),$B$3/(365*100)))*100,1)/100</f>
        <v>-8.66</v>
      </c>
      <c r="R2235" s="9">
        <f t="shared" ca="1" si="119"/>
        <v>-21225.963220216541</v>
      </c>
    </row>
    <row r="2236" spans="7:18" x14ac:dyDescent="0.25">
      <c r="G2236" t="str">
        <f t="shared" si="120"/>
        <v>Insert into BlueCreditTypeRainbow Values (, , , , , )</v>
      </c>
      <c r="N2236" s="4">
        <v>2233</v>
      </c>
      <c r="O2236" s="8">
        <f>$B$7*COUNTIF(Sheet2!$B$1:$B$132,N2236)</f>
        <v>0</v>
      </c>
      <c r="P2236" s="8">
        <f t="shared" ca="1" si="118"/>
        <v>8.66</v>
      </c>
      <c r="Q2236" s="8">
        <f ca="1">CEILING(R2235*(IF(N2236&lt;=IF($B$2=0,0,OFFSET(Sheet2!$B$1,Sheet1!$B$2-1,0)),$B$1/(365*100),$B$3/(365*100)))*100,1)/100</f>
        <v>-8.66</v>
      </c>
      <c r="R2236" s="9">
        <f t="shared" ca="1" si="119"/>
        <v>-21234.623220216541</v>
      </c>
    </row>
    <row r="2237" spans="7:18" x14ac:dyDescent="0.25">
      <c r="G2237" t="str">
        <f t="shared" si="120"/>
        <v>Insert into BlueCreditTypeRainbow Values (, , , , , )</v>
      </c>
      <c r="N2237" s="4">
        <v>2234</v>
      </c>
      <c r="O2237" s="8">
        <f>$B$7*COUNTIF(Sheet2!$B$1:$B$132,N2237)</f>
        <v>0</v>
      </c>
      <c r="P2237" s="8">
        <f t="shared" ca="1" si="118"/>
        <v>8.66</v>
      </c>
      <c r="Q2237" s="8">
        <f ca="1">CEILING(R2236*(IF(N2237&lt;=IF($B$2=0,0,OFFSET(Sheet2!$B$1,Sheet1!$B$2-1,0)),$B$1/(365*100),$B$3/(365*100)))*100,1)/100</f>
        <v>-8.66</v>
      </c>
      <c r="R2237" s="9">
        <f t="shared" ca="1" si="119"/>
        <v>-21243.283220216541</v>
      </c>
    </row>
    <row r="2238" spans="7:18" x14ac:dyDescent="0.25">
      <c r="G2238" t="str">
        <f t="shared" si="120"/>
        <v>Insert into BlueCreditTypeRainbow Values (, , , , , )</v>
      </c>
      <c r="N2238" s="4">
        <v>2235</v>
      </c>
      <c r="O2238" s="8">
        <f>$B$7*COUNTIF(Sheet2!$B$1:$B$132,N2238)</f>
        <v>0</v>
      </c>
      <c r="P2238" s="8">
        <f t="shared" ca="1" si="118"/>
        <v>8.67</v>
      </c>
      <c r="Q2238" s="8">
        <f ca="1">CEILING(R2237*(IF(N2238&lt;=IF($B$2=0,0,OFFSET(Sheet2!$B$1,Sheet1!$B$2-1,0)),$B$1/(365*100),$B$3/(365*100)))*100,1)/100</f>
        <v>-8.67</v>
      </c>
      <c r="R2238" s="9">
        <f t="shared" ca="1" si="119"/>
        <v>-21251.953220216539</v>
      </c>
    </row>
    <row r="2239" spans="7:18" x14ac:dyDescent="0.25">
      <c r="G2239" t="str">
        <f t="shared" si="120"/>
        <v>Insert into BlueCreditTypeRainbow Values (, , , , , )</v>
      </c>
      <c r="N2239" s="4">
        <v>2236</v>
      </c>
      <c r="O2239" s="8">
        <f>$B$7*COUNTIF(Sheet2!$B$1:$B$132,N2239)</f>
        <v>0</v>
      </c>
      <c r="P2239" s="8">
        <f t="shared" ref="P2239:P2302" ca="1" si="121">IF(O2239-Q2239&gt; 0, O2239-Q2239, 0)</f>
        <v>8.67</v>
      </c>
      <c r="Q2239" s="8">
        <f ca="1">CEILING(R2238*(IF(N2239&lt;=IF($B$2=0,0,OFFSET(Sheet2!$B$1,Sheet1!$B$2-1,0)),$B$1/(365*100),$B$3/(365*100)))*100,1)/100</f>
        <v>-8.67</v>
      </c>
      <c r="R2239" s="9">
        <f t="shared" ref="R2239:R2302" ca="1" si="122">R2238+Q2239-O2239</f>
        <v>-21260.623220216537</v>
      </c>
    </row>
    <row r="2240" spans="7:18" x14ac:dyDescent="0.25">
      <c r="G2240" t="str">
        <f t="shared" si="120"/>
        <v>Insert into BlueCreditTypeRainbow Values (, , , , , )</v>
      </c>
      <c r="N2240" s="4">
        <v>2237</v>
      </c>
      <c r="O2240" s="8">
        <f>$B$7*COUNTIF(Sheet2!$B$1:$B$132,N2240)</f>
        <v>0</v>
      </c>
      <c r="P2240" s="8">
        <f t="shared" ca="1" si="121"/>
        <v>8.67</v>
      </c>
      <c r="Q2240" s="8">
        <f ca="1">CEILING(R2239*(IF(N2240&lt;=IF($B$2=0,0,OFFSET(Sheet2!$B$1,Sheet1!$B$2-1,0)),$B$1/(365*100),$B$3/(365*100)))*100,1)/100</f>
        <v>-8.67</v>
      </c>
      <c r="R2240" s="9">
        <f t="shared" ca="1" si="122"/>
        <v>-21269.293220216536</v>
      </c>
    </row>
    <row r="2241" spans="7:18" x14ac:dyDescent="0.25">
      <c r="G2241" t="str">
        <f t="shared" si="120"/>
        <v>Insert into BlueCreditTypeRainbow Values (, , , , , )</v>
      </c>
      <c r="N2241" s="4">
        <v>2238</v>
      </c>
      <c r="O2241" s="8">
        <f>$B$7*COUNTIF(Sheet2!$B$1:$B$132,N2241)</f>
        <v>0</v>
      </c>
      <c r="P2241" s="8">
        <f t="shared" ca="1" si="121"/>
        <v>8.68</v>
      </c>
      <c r="Q2241" s="8">
        <f ca="1">CEILING(R2240*(IF(N2241&lt;=IF($B$2=0,0,OFFSET(Sheet2!$B$1,Sheet1!$B$2-1,0)),$B$1/(365*100),$B$3/(365*100)))*100,1)/100</f>
        <v>-8.68</v>
      </c>
      <c r="R2241" s="9">
        <f t="shared" ca="1" si="122"/>
        <v>-21277.973220216536</v>
      </c>
    </row>
    <row r="2242" spans="7:18" x14ac:dyDescent="0.25">
      <c r="G2242" t="str">
        <f t="shared" si="120"/>
        <v>Insert into BlueCreditTypeRainbow Values (, , , , , )</v>
      </c>
      <c r="N2242" s="4">
        <v>2239</v>
      </c>
      <c r="O2242" s="8">
        <f>$B$7*COUNTIF(Sheet2!$B$1:$B$132,N2242)</f>
        <v>0</v>
      </c>
      <c r="P2242" s="8">
        <f t="shared" ca="1" si="121"/>
        <v>8.68</v>
      </c>
      <c r="Q2242" s="8">
        <f ca="1">CEILING(R2241*(IF(N2242&lt;=IF($B$2=0,0,OFFSET(Sheet2!$B$1,Sheet1!$B$2-1,0)),$B$1/(365*100),$B$3/(365*100)))*100,1)/100</f>
        <v>-8.68</v>
      </c>
      <c r="R2242" s="9">
        <f t="shared" ca="1" si="122"/>
        <v>-21286.653220216536</v>
      </c>
    </row>
    <row r="2243" spans="7:18" x14ac:dyDescent="0.25">
      <c r="G2243" t="str">
        <f t="shared" si="120"/>
        <v>Insert into BlueCreditTypeRainbow Values (, , , , , )</v>
      </c>
      <c r="N2243" s="4">
        <v>2240</v>
      </c>
      <c r="O2243" s="8">
        <f>$B$7*COUNTIF(Sheet2!$B$1:$B$132,N2243)</f>
        <v>0</v>
      </c>
      <c r="P2243" s="8">
        <f t="shared" ca="1" si="121"/>
        <v>8.68</v>
      </c>
      <c r="Q2243" s="8">
        <f ca="1">CEILING(R2242*(IF(N2243&lt;=IF($B$2=0,0,OFFSET(Sheet2!$B$1,Sheet1!$B$2-1,0)),$B$1/(365*100),$B$3/(365*100)))*100,1)/100</f>
        <v>-8.68</v>
      </c>
      <c r="R2243" s="9">
        <f t="shared" ca="1" si="122"/>
        <v>-21295.333220216537</v>
      </c>
    </row>
    <row r="2244" spans="7:18" x14ac:dyDescent="0.25">
      <c r="G2244" t="str">
        <f t="shared" si="120"/>
        <v>Insert into BlueCreditTypeRainbow Values (, , , , , )</v>
      </c>
      <c r="N2244" s="4">
        <v>2241</v>
      </c>
      <c r="O2244" s="8">
        <f>$B$7*COUNTIF(Sheet2!$B$1:$B$132,N2244)</f>
        <v>0</v>
      </c>
      <c r="P2244" s="8">
        <f t="shared" ca="1" si="121"/>
        <v>8.69</v>
      </c>
      <c r="Q2244" s="8">
        <f ca="1">CEILING(R2243*(IF(N2244&lt;=IF($B$2=0,0,OFFSET(Sheet2!$B$1,Sheet1!$B$2-1,0)),$B$1/(365*100),$B$3/(365*100)))*100,1)/100</f>
        <v>-8.69</v>
      </c>
      <c r="R2244" s="9">
        <f t="shared" ca="1" si="122"/>
        <v>-21304.023220216535</v>
      </c>
    </row>
    <row r="2245" spans="7:18" x14ac:dyDescent="0.25">
      <c r="G2245" t="str">
        <f t="shared" si="120"/>
        <v>Insert into BlueCreditTypeRainbow Values (, , , , , )</v>
      </c>
      <c r="N2245" s="4">
        <v>2242</v>
      </c>
      <c r="O2245" s="8">
        <f>$B$7*COUNTIF(Sheet2!$B$1:$B$132,N2245)</f>
        <v>0</v>
      </c>
      <c r="P2245" s="8">
        <f t="shared" ca="1" si="121"/>
        <v>8.69</v>
      </c>
      <c r="Q2245" s="8">
        <f ca="1">CEILING(R2244*(IF(N2245&lt;=IF($B$2=0,0,OFFSET(Sheet2!$B$1,Sheet1!$B$2-1,0)),$B$1/(365*100),$B$3/(365*100)))*100,1)/100</f>
        <v>-8.69</v>
      </c>
      <c r="R2245" s="9">
        <f t="shared" ca="1" si="122"/>
        <v>-21312.713220216534</v>
      </c>
    </row>
    <row r="2246" spans="7:18" x14ac:dyDescent="0.25">
      <c r="G2246" t="str">
        <f t="shared" si="120"/>
        <v>Insert into BlueCreditTypeRainbow Values (, , , , , )</v>
      </c>
      <c r="N2246" s="4">
        <v>2243</v>
      </c>
      <c r="O2246" s="8">
        <f>$B$7*COUNTIF(Sheet2!$B$1:$B$132,N2246)</f>
        <v>0</v>
      </c>
      <c r="P2246" s="8">
        <f t="shared" ca="1" si="121"/>
        <v>8.6999999999999993</v>
      </c>
      <c r="Q2246" s="8">
        <f ca="1">CEILING(R2245*(IF(N2246&lt;=IF($B$2=0,0,OFFSET(Sheet2!$B$1,Sheet1!$B$2-1,0)),$B$1/(365*100),$B$3/(365*100)))*100,1)/100</f>
        <v>-8.6999999999999993</v>
      </c>
      <c r="R2246" s="9">
        <f t="shared" ca="1" si="122"/>
        <v>-21321.413220216535</v>
      </c>
    </row>
    <row r="2247" spans="7:18" x14ac:dyDescent="0.25">
      <c r="G2247" t="str">
        <f t="shared" si="120"/>
        <v>Insert into BlueCreditTypeRainbow Values (, , , , , )</v>
      </c>
      <c r="N2247" s="4">
        <v>2244</v>
      </c>
      <c r="O2247" s="8">
        <f>$B$7*COUNTIF(Sheet2!$B$1:$B$132,N2247)</f>
        <v>0</v>
      </c>
      <c r="P2247" s="8">
        <f t="shared" ca="1" si="121"/>
        <v>8.6999999999999993</v>
      </c>
      <c r="Q2247" s="8">
        <f ca="1">CEILING(R2246*(IF(N2247&lt;=IF($B$2=0,0,OFFSET(Sheet2!$B$1,Sheet1!$B$2-1,0)),$B$1/(365*100),$B$3/(365*100)))*100,1)/100</f>
        <v>-8.6999999999999993</v>
      </c>
      <c r="R2247" s="9">
        <f t="shared" ca="1" si="122"/>
        <v>-21330.113220216535</v>
      </c>
    </row>
    <row r="2248" spans="7:18" x14ac:dyDescent="0.25">
      <c r="G2248" t="str">
        <f t="shared" si="120"/>
        <v>Insert into BlueCreditTypeRainbow Values (, , , , , )</v>
      </c>
      <c r="N2248" s="4">
        <v>2245</v>
      </c>
      <c r="O2248" s="8">
        <f>$B$7*COUNTIF(Sheet2!$B$1:$B$132,N2248)</f>
        <v>0</v>
      </c>
      <c r="P2248" s="8">
        <f t="shared" ca="1" si="121"/>
        <v>8.6999999999999993</v>
      </c>
      <c r="Q2248" s="8">
        <f ca="1">CEILING(R2247*(IF(N2248&lt;=IF($B$2=0,0,OFFSET(Sheet2!$B$1,Sheet1!$B$2-1,0)),$B$1/(365*100),$B$3/(365*100)))*100,1)/100</f>
        <v>-8.6999999999999993</v>
      </c>
      <c r="R2248" s="9">
        <f t="shared" ca="1" si="122"/>
        <v>-21338.813220216536</v>
      </c>
    </row>
    <row r="2249" spans="7:18" x14ac:dyDescent="0.25">
      <c r="G2249" t="str">
        <f t="shared" si="120"/>
        <v>Insert into BlueCreditTypeRainbow Values (, , , , , )</v>
      </c>
      <c r="N2249" s="4">
        <v>2246</v>
      </c>
      <c r="O2249" s="8">
        <f>$B$7*COUNTIF(Sheet2!$B$1:$B$132,N2249)</f>
        <v>0</v>
      </c>
      <c r="P2249" s="8">
        <f t="shared" ca="1" si="121"/>
        <v>8.7100000000000009</v>
      </c>
      <c r="Q2249" s="8">
        <f ca="1">CEILING(R2248*(IF(N2249&lt;=IF($B$2=0,0,OFFSET(Sheet2!$B$1,Sheet1!$B$2-1,0)),$B$1/(365*100),$B$3/(365*100)))*100,1)/100</f>
        <v>-8.7100000000000009</v>
      </c>
      <c r="R2249" s="9">
        <f t="shared" ca="1" si="122"/>
        <v>-21347.523220216535</v>
      </c>
    </row>
    <row r="2250" spans="7:18" x14ac:dyDescent="0.25">
      <c r="G2250" t="str">
        <f t="shared" si="120"/>
        <v>Insert into BlueCreditTypeRainbow Values (, , , , , )</v>
      </c>
      <c r="N2250" s="4">
        <v>2247</v>
      </c>
      <c r="O2250" s="8">
        <f>$B$7*COUNTIF(Sheet2!$B$1:$B$132,N2250)</f>
        <v>0</v>
      </c>
      <c r="P2250" s="8">
        <f t="shared" ca="1" si="121"/>
        <v>8.7100000000000009</v>
      </c>
      <c r="Q2250" s="8">
        <f ca="1">CEILING(R2249*(IF(N2250&lt;=IF($B$2=0,0,OFFSET(Sheet2!$B$1,Sheet1!$B$2-1,0)),$B$1/(365*100),$B$3/(365*100)))*100,1)/100</f>
        <v>-8.7100000000000009</v>
      </c>
      <c r="R2250" s="9">
        <f t="shared" ca="1" si="122"/>
        <v>-21356.233220216534</v>
      </c>
    </row>
    <row r="2251" spans="7:18" x14ac:dyDescent="0.25">
      <c r="G2251" t="str">
        <f t="shared" si="120"/>
        <v>Insert into BlueCreditTypeRainbow Values (, , , , , )</v>
      </c>
      <c r="N2251" s="4">
        <v>2248</v>
      </c>
      <c r="O2251" s="8">
        <f>$B$7*COUNTIF(Sheet2!$B$1:$B$132,N2251)</f>
        <v>0</v>
      </c>
      <c r="P2251" s="8">
        <f t="shared" ca="1" si="121"/>
        <v>8.7100000000000009</v>
      </c>
      <c r="Q2251" s="8">
        <f ca="1">CEILING(R2250*(IF(N2251&lt;=IF($B$2=0,0,OFFSET(Sheet2!$B$1,Sheet1!$B$2-1,0)),$B$1/(365*100),$B$3/(365*100)))*100,1)/100</f>
        <v>-8.7100000000000009</v>
      </c>
      <c r="R2251" s="9">
        <f t="shared" ca="1" si="122"/>
        <v>-21364.943220216534</v>
      </c>
    </row>
    <row r="2252" spans="7:18" x14ac:dyDescent="0.25">
      <c r="G2252" t="str">
        <f t="shared" si="120"/>
        <v>Insert into BlueCreditTypeRainbow Values (, , , , , )</v>
      </c>
      <c r="N2252" s="4">
        <v>2249</v>
      </c>
      <c r="O2252" s="8">
        <f>$B$7*COUNTIF(Sheet2!$B$1:$B$132,N2252)</f>
        <v>0</v>
      </c>
      <c r="P2252" s="8">
        <f t="shared" ca="1" si="121"/>
        <v>8.7200000000000006</v>
      </c>
      <c r="Q2252" s="8">
        <f ca="1">CEILING(R2251*(IF(N2252&lt;=IF($B$2=0,0,OFFSET(Sheet2!$B$1,Sheet1!$B$2-1,0)),$B$1/(365*100),$B$3/(365*100)))*100,1)/100</f>
        <v>-8.7200000000000006</v>
      </c>
      <c r="R2252" s="9">
        <f t="shared" ca="1" si="122"/>
        <v>-21373.663220216535</v>
      </c>
    </row>
    <row r="2253" spans="7:18" x14ac:dyDescent="0.25">
      <c r="G2253" t="str">
        <f t="shared" si="120"/>
        <v>Insert into BlueCreditTypeRainbow Values (, , , , , )</v>
      </c>
      <c r="N2253" s="4">
        <v>2250</v>
      </c>
      <c r="O2253" s="8">
        <f>$B$7*COUNTIF(Sheet2!$B$1:$B$132,N2253)</f>
        <v>0</v>
      </c>
      <c r="P2253" s="8">
        <f t="shared" ca="1" si="121"/>
        <v>8.7200000000000006</v>
      </c>
      <c r="Q2253" s="8">
        <f ca="1">CEILING(R2252*(IF(N2253&lt;=IF($B$2=0,0,OFFSET(Sheet2!$B$1,Sheet1!$B$2-1,0)),$B$1/(365*100),$B$3/(365*100)))*100,1)/100</f>
        <v>-8.7200000000000006</v>
      </c>
      <c r="R2253" s="9">
        <f t="shared" ca="1" si="122"/>
        <v>-21382.383220216536</v>
      </c>
    </row>
    <row r="2254" spans="7:18" x14ac:dyDescent="0.25">
      <c r="G2254" t="str">
        <f t="shared" si="120"/>
        <v>Insert into BlueCreditTypeRainbow Values (, , , , , )</v>
      </c>
      <c r="N2254" s="4">
        <v>2251</v>
      </c>
      <c r="O2254" s="8">
        <f>$B$7*COUNTIF(Sheet2!$B$1:$B$132,N2254)</f>
        <v>0</v>
      </c>
      <c r="P2254" s="8">
        <f t="shared" ca="1" si="121"/>
        <v>8.7200000000000006</v>
      </c>
      <c r="Q2254" s="8">
        <f ca="1">CEILING(R2253*(IF(N2254&lt;=IF($B$2=0,0,OFFSET(Sheet2!$B$1,Sheet1!$B$2-1,0)),$B$1/(365*100),$B$3/(365*100)))*100,1)/100</f>
        <v>-8.7200000000000006</v>
      </c>
      <c r="R2254" s="9">
        <f t="shared" ca="1" si="122"/>
        <v>-21391.103220216537</v>
      </c>
    </row>
    <row r="2255" spans="7:18" x14ac:dyDescent="0.25">
      <c r="G2255" t="str">
        <f t="shared" ref="G2255:G2318" si="123">CONCATENATE("Insert into BlueCreditTypeRainbow Values (",A2255,", ",B2255,", ",C2255,", ",D2255,", ",E2255,", ",F2255,")")</f>
        <v>Insert into BlueCreditTypeRainbow Values (, , , , , )</v>
      </c>
      <c r="N2255" s="4">
        <v>2252</v>
      </c>
      <c r="O2255" s="8">
        <f>$B$7*COUNTIF(Sheet2!$B$1:$B$132,N2255)</f>
        <v>0</v>
      </c>
      <c r="P2255" s="8">
        <f t="shared" ca="1" si="121"/>
        <v>8.73</v>
      </c>
      <c r="Q2255" s="8">
        <f ca="1">CEILING(R2254*(IF(N2255&lt;=IF($B$2=0,0,OFFSET(Sheet2!$B$1,Sheet1!$B$2-1,0)),$B$1/(365*100),$B$3/(365*100)))*100,1)/100</f>
        <v>-8.73</v>
      </c>
      <c r="R2255" s="9">
        <f t="shared" ca="1" si="122"/>
        <v>-21399.833220216537</v>
      </c>
    </row>
    <row r="2256" spans="7:18" x14ac:dyDescent="0.25">
      <c r="G2256" t="str">
        <f t="shared" si="123"/>
        <v>Insert into BlueCreditTypeRainbow Values (, , , , , )</v>
      </c>
      <c r="N2256" s="4">
        <v>2253</v>
      </c>
      <c r="O2256" s="8">
        <f>$B$7*COUNTIF(Sheet2!$B$1:$B$132,N2256)</f>
        <v>0</v>
      </c>
      <c r="P2256" s="8">
        <f t="shared" ca="1" si="121"/>
        <v>8.73</v>
      </c>
      <c r="Q2256" s="8">
        <f ca="1">CEILING(R2255*(IF(N2256&lt;=IF($B$2=0,0,OFFSET(Sheet2!$B$1,Sheet1!$B$2-1,0)),$B$1/(365*100),$B$3/(365*100)))*100,1)/100</f>
        <v>-8.73</v>
      </c>
      <c r="R2256" s="9">
        <f t="shared" ca="1" si="122"/>
        <v>-21408.563220216536</v>
      </c>
    </row>
    <row r="2257" spans="7:18" x14ac:dyDescent="0.25">
      <c r="G2257" t="str">
        <f t="shared" si="123"/>
        <v>Insert into BlueCreditTypeRainbow Values (, , , , , )</v>
      </c>
      <c r="N2257" s="4">
        <v>2254</v>
      </c>
      <c r="O2257" s="8">
        <f>$B$7*COUNTIF(Sheet2!$B$1:$B$132,N2257)</f>
        <v>0</v>
      </c>
      <c r="P2257" s="8">
        <f t="shared" ca="1" si="121"/>
        <v>8.73</v>
      </c>
      <c r="Q2257" s="8">
        <f ca="1">CEILING(R2256*(IF(N2257&lt;=IF($B$2=0,0,OFFSET(Sheet2!$B$1,Sheet1!$B$2-1,0)),$B$1/(365*100),$B$3/(365*100)))*100,1)/100</f>
        <v>-8.73</v>
      </c>
      <c r="R2257" s="9">
        <f t="shared" ca="1" si="122"/>
        <v>-21417.293220216536</v>
      </c>
    </row>
    <row r="2258" spans="7:18" x14ac:dyDescent="0.25">
      <c r="G2258" t="str">
        <f t="shared" si="123"/>
        <v>Insert into BlueCreditTypeRainbow Values (, , , , , )</v>
      </c>
      <c r="N2258" s="4">
        <v>2255</v>
      </c>
      <c r="O2258" s="8">
        <f>$B$7*COUNTIF(Sheet2!$B$1:$B$132,N2258)</f>
        <v>21157.10552356458</v>
      </c>
      <c r="P2258" s="8">
        <f t="shared" ca="1" si="121"/>
        <v>21165.845523564582</v>
      </c>
      <c r="Q2258" s="8">
        <f ca="1">CEILING(R2257*(IF(N2258&lt;=IF($B$2=0,0,OFFSET(Sheet2!$B$1,Sheet1!$B$2-1,0)),$B$1/(365*100),$B$3/(365*100)))*100,1)/100</f>
        <v>-8.74</v>
      </c>
      <c r="R2258" s="9">
        <f t="shared" ca="1" si="122"/>
        <v>-42583.138743781121</v>
      </c>
    </row>
    <row r="2259" spans="7:18" x14ac:dyDescent="0.25">
      <c r="G2259" t="str">
        <f t="shared" si="123"/>
        <v>Insert into BlueCreditTypeRainbow Values (, , , , , )</v>
      </c>
      <c r="N2259" s="4">
        <v>2256</v>
      </c>
      <c r="O2259" s="8">
        <f>$B$7*COUNTIF(Sheet2!$B$1:$B$132,N2259)</f>
        <v>0</v>
      </c>
      <c r="P2259" s="8">
        <f t="shared" ca="1" si="121"/>
        <v>17.38</v>
      </c>
      <c r="Q2259" s="8">
        <f ca="1">CEILING(R2258*(IF(N2259&lt;=IF($B$2=0,0,OFFSET(Sheet2!$B$1,Sheet1!$B$2-1,0)),$B$1/(365*100),$B$3/(365*100)))*100,1)/100</f>
        <v>-17.38</v>
      </c>
      <c r="R2259" s="9">
        <f t="shared" ca="1" si="122"/>
        <v>-42600.518743781118</v>
      </c>
    </row>
    <row r="2260" spans="7:18" x14ac:dyDescent="0.25">
      <c r="G2260" t="str">
        <f t="shared" si="123"/>
        <v>Insert into BlueCreditTypeRainbow Values (, , , , , )</v>
      </c>
      <c r="N2260" s="4">
        <v>2257</v>
      </c>
      <c r="O2260" s="8">
        <f>$B$7*COUNTIF(Sheet2!$B$1:$B$132,N2260)</f>
        <v>0</v>
      </c>
      <c r="P2260" s="8">
        <f t="shared" ca="1" si="121"/>
        <v>17.39</v>
      </c>
      <c r="Q2260" s="8">
        <f ca="1">CEILING(R2259*(IF(N2260&lt;=IF($B$2=0,0,OFFSET(Sheet2!$B$1,Sheet1!$B$2-1,0)),$B$1/(365*100),$B$3/(365*100)))*100,1)/100</f>
        <v>-17.39</v>
      </c>
      <c r="R2260" s="9">
        <f t="shared" ca="1" si="122"/>
        <v>-42617.908743781118</v>
      </c>
    </row>
    <row r="2261" spans="7:18" x14ac:dyDescent="0.25">
      <c r="G2261" t="str">
        <f t="shared" si="123"/>
        <v>Insert into BlueCreditTypeRainbow Values (, , , , , )</v>
      </c>
      <c r="N2261" s="4">
        <v>2258</v>
      </c>
      <c r="O2261" s="8">
        <f>$B$7*COUNTIF(Sheet2!$B$1:$B$132,N2261)</f>
        <v>0</v>
      </c>
      <c r="P2261" s="8">
        <f t="shared" ca="1" si="121"/>
        <v>17.39</v>
      </c>
      <c r="Q2261" s="8">
        <f ca="1">CEILING(R2260*(IF(N2261&lt;=IF($B$2=0,0,OFFSET(Sheet2!$B$1,Sheet1!$B$2-1,0)),$B$1/(365*100),$B$3/(365*100)))*100,1)/100</f>
        <v>-17.39</v>
      </c>
      <c r="R2261" s="9">
        <f t="shared" ca="1" si="122"/>
        <v>-42635.298743781117</v>
      </c>
    </row>
    <row r="2262" spans="7:18" x14ac:dyDescent="0.25">
      <c r="G2262" t="str">
        <f t="shared" si="123"/>
        <v>Insert into BlueCreditTypeRainbow Values (, , , , , )</v>
      </c>
      <c r="N2262" s="4">
        <v>2259</v>
      </c>
      <c r="O2262" s="8">
        <f>$B$7*COUNTIF(Sheet2!$B$1:$B$132,N2262)</f>
        <v>0</v>
      </c>
      <c r="P2262" s="8">
        <f t="shared" ca="1" si="121"/>
        <v>17.399999999999999</v>
      </c>
      <c r="Q2262" s="8">
        <f ca="1">CEILING(R2261*(IF(N2262&lt;=IF($B$2=0,0,OFFSET(Sheet2!$B$1,Sheet1!$B$2-1,0)),$B$1/(365*100),$B$3/(365*100)))*100,1)/100</f>
        <v>-17.399999999999999</v>
      </c>
      <c r="R2262" s="9">
        <f t="shared" ca="1" si="122"/>
        <v>-42652.698743781119</v>
      </c>
    </row>
    <row r="2263" spans="7:18" x14ac:dyDescent="0.25">
      <c r="G2263" t="str">
        <f t="shared" si="123"/>
        <v>Insert into BlueCreditTypeRainbow Values (, , , , , )</v>
      </c>
      <c r="N2263" s="4">
        <v>2260</v>
      </c>
      <c r="O2263" s="8">
        <f>$B$7*COUNTIF(Sheet2!$B$1:$B$132,N2263)</f>
        <v>0</v>
      </c>
      <c r="P2263" s="8">
        <f t="shared" ca="1" si="121"/>
        <v>17.41</v>
      </c>
      <c r="Q2263" s="8">
        <f ca="1">CEILING(R2262*(IF(N2263&lt;=IF($B$2=0,0,OFFSET(Sheet2!$B$1,Sheet1!$B$2-1,0)),$B$1/(365*100),$B$3/(365*100)))*100,1)/100</f>
        <v>-17.41</v>
      </c>
      <c r="R2263" s="9">
        <f t="shared" ca="1" si="122"/>
        <v>-42670.108743781122</v>
      </c>
    </row>
    <row r="2264" spans="7:18" x14ac:dyDescent="0.25">
      <c r="G2264" t="str">
        <f t="shared" si="123"/>
        <v>Insert into BlueCreditTypeRainbow Values (, , , , , )</v>
      </c>
      <c r="N2264" s="4">
        <v>2261</v>
      </c>
      <c r="O2264" s="8">
        <f>$B$7*COUNTIF(Sheet2!$B$1:$B$132,N2264)</f>
        <v>0</v>
      </c>
      <c r="P2264" s="8">
        <f t="shared" ca="1" si="121"/>
        <v>17.41</v>
      </c>
      <c r="Q2264" s="8">
        <f ca="1">CEILING(R2263*(IF(N2264&lt;=IF($B$2=0,0,OFFSET(Sheet2!$B$1,Sheet1!$B$2-1,0)),$B$1/(365*100),$B$3/(365*100)))*100,1)/100</f>
        <v>-17.41</v>
      </c>
      <c r="R2264" s="9">
        <f t="shared" ca="1" si="122"/>
        <v>-42687.518743781126</v>
      </c>
    </row>
    <row r="2265" spans="7:18" x14ac:dyDescent="0.25">
      <c r="G2265" t="str">
        <f t="shared" si="123"/>
        <v>Insert into BlueCreditTypeRainbow Values (, , , , , )</v>
      </c>
      <c r="N2265" s="4">
        <v>2262</v>
      </c>
      <c r="O2265" s="8">
        <f>$B$7*COUNTIF(Sheet2!$B$1:$B$132,N2265)</f>
        <v>0</v>
      </c>
      <c r="P2265" s="8">
        <f t="shared" ca="1" si="121"/>
        <v>17.420000000000002</v>
      </c>
      <c r="Q2265" s="8">
        <f ca="1">CEILING(R2264*(IF(N2265&lt;=IF($B$2=0,0,OFFSET(Sheet2!$B$1,Sheet1!$B$2-1,0)),$B$1/(365*100),$B$3/(365*100)))*100,1)/100</f>
        <v>-17.420000000000002</v>
      </c>
      <c r="R2265" s="9">
        <f t="shared" ca="1" si="122"/>
        <v>-42704.938743781124</v>
      </c>
    </row>
    <row r="2266" spans="7:18" x14ac:dyDescent="0.25">
      <c r="G2266" t="str">
        <f t="shared" si="123"/>
        <v>Insert into BlueCreditTypeRainbow Values (, , , , , )</v>
      </c>
      <c r="N2266" s="4">
        <v>2263</v>
      </c>
      <c r="O2266" s="8">
        <f>$B$7*COUNTIF(Sheet2!$B$1:$B$132,N2266)</f>
        <v>0</v>
      </c>
      <c r="P2266" s="8">
        <f t="shared" ca="1" si="121"/>
        <v>17.43</v>
      </c>
      <c r="Q2266" s="8">
        <f ca="1">CEILING(R2265*(IF(N2266&lt;=IF($B$2=0,0,OFFSET(Sheet2!$B$1,Sheet1!$B$2-1,0)),$B$1/(365*100),$B$3/(365*100)))*100,1)/100</f>
        <v>-17.43</v>
      </c>
      <c r="R2266" s="9">
        <f t="shared" ca="1" si="122"/>
        <v>-42722.368743781124</v>
      </c>
    </row>
    <row r="2267" spans="7:18" x14ac:dyDescent="0.25">
      <c r="G2267" t="str">
        <f t="shared" si="123"/>
        <v>Insert into BlueCreditTypeRainbow Values (, , , , , )</v>
      </c>
      <c r="N2267" s="4">
        <v>2264</v>
      </c>
      <c r="O2267" s="8">
        <f>$B$7*COUNTIF(Sheet2!$B$1:$B$132,N2267)</f>
        <v>0</v>
      </c>
      <c r="P2267" s="8">
        <f t="shared" ca="1" si="121"/>
        <v>17.440000000000001</v>
      </c>
      <c r="Q2267" s="8">
        <f ca="1">CEILING(R2266*(IF(N2267&lt;=IF($B$2=0,0,OFFSET(Sheet2!$B$1,Sheet1!$B$2-1,0)),$B$1/(365*100),$B$3/(365*100)))*100,1)/100</f>
        <v>-17.440000000000001</v>
      </c>
      <c r="R2267" s="9">
        <f t="shared" ca="1" si="122"/>
        <v>-42739.808743781126</v>
      </c>
    </row>
    <row r="2268" spans="7:18" x14ac:dyDescent="0.25">
      <c r="G2268" t="str">
        <f t="shared" si="123"/>
        <v>Insert into BlueCreditTypeRainbow Values (, , , , , )</v>
      </c>
      <c r="N2268" s="4">
        <v>2265</v>
      </c>
      <c r="O2268" s="8">
        <f>$B$7*COUNTIF(Sheet2!$B$1:$B$132,N2268)</f>
        <v>0</v>
      </c>
      <c r="P2268" s="8">
        <f t="shared" ca="1" si="121"/>
        <v>17.440000000000001</v>
      </c>
      <c r="Q2268" s="8">
        <f ca="1">CEILING(R2267*(IF(N2268&lt;=IF($B$2=0,0,OFFSET(Sheet2!$B$1,Sheet1!$B$2-1,0)),$B$1/(365*100),$B$3/(365*100)))*100,1)/100</f>
        <v>-17.440000000000001</v>
      </c>
      <c r="R2268" s="9">
        <f t="shared" ca="1" si="122"/>
        <v>-42757.248743781129</v>
      </c>
    </row>
    <row r="2269" spans="7:18" x14ac:dyDescent="0.25">
      <c r="G2269" t="str">
        <f t="shared" si="123"/>
        <v>Insert into BlueCreditTypeRainbow Values (, , , , , )</v>
      </c>
      <c r="N2269" s="4">
        <v>2266</v>
      </c>
      <c r="O2269" s="8">
        <f>$B$7*COUNTIF(Sheet2!$B$1:$B$132,N2269)</f>
        <v>0</v>
      </c>
      <c r="P2269" s="8">
        <f t="shared" ca="1" si="121"/>
        <v>17.45</v>
      </c>
      <c r="Q2269" s="8">
        <f ca="1">CEILING(R2268*(IF(N2269&lt;=IF($B$2=0,0,OFFSET(Sheet2!$B$1,Sheet1!$B$2-1,0)),$B$1/(365*100),$B$3/(365*100)))*100,1)/100</f>
        <v>-17.45</v>
      </c>
      <c r="R2269" s="9">
        <f t="shared" ca="1" si="122"/>
        <v>-42774.698743781126</v>
      </c>
    </row>
    <row r="2270" spans="7:18" x14ac:dyDescent="0.25">
      <c r="G2270" t="str">
        <f t="shared" si="123"/>
        <v>Insert into BlueCreditTypeRainbow Values (, , , , , )</v>
      </c>
      <c r="N2270" s="4">
        <v>2267</v>
      </c>
      <c r="O2270" s="8">
        <f>$B$7*COUNTIF(Sheet2!$B$1:$B$132,N2270)</f>
        <v>0</v>
      </c>
      <c r="P2270" s="8">
        <f t="shared" ca="1" si="121"/>
        <v>17.46</v>
      </c>
      <c r="Q2270" s="8">
        <f ca="1">CEILING(R2269*(IF(N2270&lt;=IF($B$2=0,0,OFFSET(Sheet2!$B$1,Sheet1!$B$2-1,0)),$B$1/(365*100),$B$3/(365*100)))*100,1)/100</f>
        <v>-17.46</v>
      </c>
      <c r="R2270" s="9">
        <f t="shared" ca="1" si="122"/>
        <v>-42792.158743781125</v>
      </c>
    </row>
    <row r="2271" spans="7:18" x14ac:dyDescent="0.25">
      <c r="G2271" t="str">
        <f t="shared" si="123"/>
        <v>Insert into BlueCreditTypeRainbow Values (, , , , , )</v>
      </c>
      <c r="N2271" s="4">
        <v>2268</v>
      </c>
      <c r="O2271" s="8">
        <f>$B$7*COUNTIF(Sheet2!$B$1:$B$132,N2271)</f>
        <v>0</v>
      </c>
      <c r="P2271" s="8">
        <f t="shared" ca="1" si="121"/>
        <v>17.46</v>
      </c>
      <c r="Q2271" s="8">
        <f ca="1">CEILING(R2270*(IF(N2271&lt;=IF($B$2=0,0,OFFSET(Sheet2!$B$1,Sheet1!$B$2-1,0)),$B$1/(365*100),$B$3/(365*100)))*100,1)/100</f>
        <v>-17.46</v>
      </c>
      <c r="R2271" s="9">
        <f t="shared" ca="1" si="122"/>
        <v>-42809.618743781124</v>
      </c>
    </row>
    <row r="2272" spans="7:18" x14ac:dyDescent="0.25">
      <c r="G2272" t="str">
        <f t="shared" si="123"/>
        <v>Insert into BlueCreditTypeRainbow Values (, , , , , )</v>
      </c>
      <c r="N2272" s="4">
        <v>2269</v>
      </c>
      <c r="O2272" s="8">
        <f>$B$7*COUNTIF(Sheet2!$B$1:$B$132,N2272)</f>
        <v>0</v>
      </c>
      <c r="P2272" s="8">
        <f t="shared" ca="1" si="121"/>
        <v>17.47</v>
      </c>
      <c r="Q2272" s="8">
        <f ca="1">CEILING(R2271*(IF(N2272&lt;=IF($B$2=0,0,OFFSET(Sheet2!$B$1,Sheet1!$B$2-1,0)),$B$1/(365*100),$B$3/(365*100)))*100,1)/100</f>
        <v>-17.47</v>
      </c>
      <c r="R2272" s="9">
        <f t="shared" ca="1" si="122"/>
        <v>-42827.088743781125</v>
      </c>
    </row>
    <row r="2273" spans="7:18" x14ac:dyDescent="0.25">
      <c r="G2273" t="str">
        <f t="shared" si="123"/>
        <v>Insert into BlueCreditTypeRainbow Values (, , , , , )</v>
      </c>
      <c r="N2273" s="4">
        <v>2270</v>
      </c>
      <c r="O2273" s="8">
        <f>$B$7*COUNTIF(Sheet2!$B$1:$B$132,N2273)</f>
        <v>0</v>
      </c>
      <c r="P2273" s="8">
        <f t="shared" ca="1" si="121"/>
        <v>17.48</v>
      </c>
      <c r="Q2273" s="8">
        <f ca="1">CEILING(R2272*(IF(N2273&lt;=IF($B$2=0,0,OFFSET(Sheet2!$B$1,Sheet1!$B$2-1,0)),$B$1/(365*100),$B$3/(365*100)))*100,1)/100</f>
        <v>-17.48</v>
      </c>
      <c r="R2273" s="9">
        <f t="shared" ca="1" si="122"/>
        <v>-42844.568743781128</v>
      </c>
    </row>
    <row r="2274" spans="7:18" x14ac:dyDescent="0.25">
      <c r="G2274" t="str">
        <f t="shared" si="123"/>
        <v>Insert into BlueCreditTypeRainbow Values (, , , , , )</v>
      </c>
      <c r="N2274" s="4">
        <v>2271</v>
      </c>
      <c r="O2274" s="8">
        <f>$B$7*COUNTIF(Sheet2!$B$1:$B$132,N2274)</f>
        <v>0</v>
      </c>
      <c r="P2274" s="8">
        <f t="shared" ca="1" si="121"/>
        <v>17.48</v>
      </c>
      <c r="Q2274" s="8">
        <f ca="1">CEILING(R2273*(IF(N2274&lt;=IF($B$2=0,0,OFFSET(Sheet2!$B$1,Sheet1!$B$2-1,0)),$B$1/(365*100),$B$3/(365*100)))*100,1)/100</f>
        <v>-17.48</v>
      </c>
      <c r="R2274" s="9">
        <f t="shared" ca="1" si="122"/>
        <v>-42862.048743781132</v>
      </c>
    </row>
    <row r="2275" spans="7:18" x14ac:dyDescent="0.25">
      <c r="G2275" t="str">
        <f t="shared" si="123"/>
        <v>Insert into BlueCreditTypeRainbow Values (, , , , , )</v>
      </c>
      <c r="N2275" s="4">
        <v>2272</v>
      </c>
      <c r="O2275" s="8">
        <f>$B$7*COUNTIF(Sheet2!$B$1:$B$132,N2275)</f>
        <v>0</v>
      </c>
      <c r="P2275" s="8">
        <f t="shared" ca="1" si="121"/>
        <v>17.489999999999998</v>
      </c>
      <c r="Q2275" s="8">
        <f ca="1">CEILING(R2274*(IF(N2275&lt;=IF($B$2=0,0,OFFSET(Sheet2!$B$1,Sheet1!$B$2-1,0)),$B$1/(365*100),$B$3/(365*100)))*100,1)/100</f>
        <v>-17.489999999999998</v>
      </c>
      <c r="R2275" s="9">
        <f t="shared" ca="1" si="122"/>
        <v>-42879.53874378113</v>
      </c>
    </row>
    <row r="2276" spans="7:18" x14ac:dyDescent="0.25">
      <c r="G2276" t="str">
        <f t="shared" si="123"/>
        <v>Insert into BlueCreditTypeRainbow Values (, , , , , )</v>
      </c>
      <c r="N2276" s="4">
        <v>2273</v>
      </c>
      <c r="O2276" s="8">
        <f>$B$7*COUNTIF(Sheet2!$B$1:$B$132,N2276)</f>
        <v>0</v>
      </c>
      <c r="P2276" s="8">
        <f t="shared" ca="1" si="121"/>
        <v>17.5</v>
      </c>
      <c r="Q2276" s="8">
        <f ca="1">CEILING(R2275*(IF(N2276&lt;=IF($B$2=0,0,OFFSET(Sheet2!$B$1,Sheet1!$B$2-1,0)),$B$1/(365*100),$B$3/(365*100)))*100,1)/100</f>
        <v>-17.5</v>
      </c>
      <c r="R2276" s="9">
        <f t="shared" ca="1" si="122"/>
        <v>-42897.03874378113</v>
      </c>
    </row>
    <row r="2277" spans="7:18" x14ac:dyDescent="0.25">
      <c r="G2277" t="str">
        <f t="shared" si="123"/>
        <v>Insert into BlueCreditTypeRainbow Values (, , , , , )</v>
      </c>
      <c r="N2277" s="4">
        <v>2274</v>
      </c>
      <c r="O2277" s="8">
        <f>$B$7*COUNTIF(Sheet2!$B$1:$B$132,N2277)</f>
        <v>0</v>
      </c>
      <c r="P2277" s="8">
        <f t="shared" ca="1" si="121"/>
        <v>17.510000000000002</v>
      </c>
      <c r="Q2277" s="8">
        <f ca="1">CEILING(R2276*(IF(N2277&lt;=IF($B$2=0,0,OFFSET(Sheet2!$B$1,Sheet1!$B$2-1,0)),$B$1/(365*100),$B$3/(365*100)))*100,1)/100</f>
        <v>-17.510000000000002</v>
      </c>
      <c r="R2277" s="9">
        <f t="shared" ca="1" si="122"/>
        <v>-42914.548743781132</v>
      </c>
    </row>
    <row r="2278" spans="7:18" x14ac:dyDescent="0.25">
      <c r="G2278" t="str">
        <f t="shared" si="123"/>
        <v>Insert into BlueCreditTypeRainbow Values (, , , , , )</v>
      </c>
      <c r="N2278" s="4">
        <v>2275</v>
      </c>
      <c r="O2278" s="8">
        <f>$B$7*COUNTIF(Sheet2!$B$1:$B$132,N2278)</f>
        <v>0</v>
      </c>
      <c r="P2278" s="8">
        <f t="shared" ca="1" si="121"/>
        <v>17.510000000000002</v>
      </c>
      <c r="Q2278" s="8">
        <f ca="1">CEILING(R2277*(IF(N2278&lt;=IF($B$2=0,0,OFFSET(Sheet2!$B$1,Sheet1!$B$2-1,0)),$B$1/(365*100),$B$3/(365*100)))*100,1)/100</f>
        <v>-17.510000000000002</v>
      </c>
      <c r="R2278" s="9">
        <f t="shared" ca="1" si="122"/>
        <v>-42932.058743781134</v>
      </c>
    </row>
    <row r="2279" spans="7:18" x14ac:dyDescent="0.25">
      <c r="G2279" t="str">
        <f t="shared" si="123"/>
        <v>Insert into BlueCreditTypeRainbow Values (, , , , , )</v>
      </c>
      <c r="N2279" s="4">
        <v>2276</v>
      </c>
      <c r="O2279" s="8">
        <f>$B$7*COUNTIF(Sheet2!$B$1:$B$132,N2279)</f>
        <v>0</v>
      </c>
      <c r="P2279" s="8">
        <f t="shared" ca="1" si="121"/>
        <v>17.52</v>
      </c>
      <c r="Q2279" s="8">
        <f ca="1">CEILING(R2278*(IF(N2279&lt;=IF($B$2=0,0,OFFSET(Sheet2!$B$1,Sheet1!$B$2-1,0)),$B$1/(365*100),$B$3/(365*100)))*100,1)/100</f>
        <v>-17.52</v>
      </c>
      <c r="R2279" s="9">
        <f t="shared" ca="1" si="122"/>
        <v>-42949.57874378113</v>
      </c>
    </row>
    <row r="2280" spans="7:18" x14ac:dyDescent="0.25">
      <c r="G2280" t="str">
        <f t="shared" si="123"/>
        <v>Insert into BlueCreditTypeRainbow Values (, , , , , )</v>
      </c>
      <c r="N2280" s="4">
        <v>2277</v>
      </c>
      <c r="O2280" s="8">
        <f>$B$7*COUNTIF(Sheet2!$B$1:$B$132,N2280)</f>
        <v>0</v>
      </c>
      <c r="P2280" s="8">
        <f t="shared" ca="1" si="121"/>
        <v>17.53</v>
      </c>
      <c r="Q2280" s="8">
        <f ca="1">CEILING(R2279*(IF(N2280&lt;=IF($B$2=0,0,OFFSET(Sheet2!$B$1,Sheet1!$B$2-1,0)),$B$1/(365*100),$B$3/(365*100)))*100,1)/100</f>
        <v>-17.53</v>
      </c>
      <c r="R2280" s="9">
        <f t="shared" ca="1" si="122"/>
        <v>-42967.108743781129</v>
      </c>
    </row>
    <row r="2281" spans="7:18" x14ac:dyDescent="0.25">
      <c r="G2281" t="str">
        <f t="shared" si="123"/>
        <v>Insert into BlueCreditTypeRainbow Values (, , , , , )</v>
      </c>
      <c r="N2281" s="4">
        <v>2278</v>
      </c>
      <c r="O2281" s="8">
        <f>$B$7*COUNTIF(Sheet2!$B$1:$B$132,N2281)</f>
        <v>0</v>
      </c>
      <c r="P2281" s="8">
        <f t="shared" ca="1" si="121"/>
        <v>17.53</v>
      </c>
      <c r="Q2281" s="8">
        <f ca="1">CEILING(R2280*(IF(N2281&lt;=IF($B$2=0,0,OFFSET(Sheet2!$B$1,Sheet1!$B$2-1,0)),$B$1/(365*100),$B$3/(365*100)))*100,1)/100</f>
        <v>-17.53</v>
      </c>
      <c r="R2281" s="9">
        <f t="shared" ca="1" si="122"/>
        <v>-42984.638743781128</v>
      </c>
    </row>
    <row r="2282" spans="7:18" x14ac:dyDescent="0.25">
      <c r="G2282" t="str">
        <f t="shared" si="123"/>
        <v>Insert into BlueCreditTypeRainbow Values (, , , , , )</v>
      </c>
      <c r="N2282" s="4">
        <v>2279</v>
      </c>
      <c r="O2282" s="8">
        <f>$B$7*COUNTIF(Sheet2!$B$1:$B$132,N2282)</f>
        <v>0</v>
      </c>
      <c r="P2282" s="8">
        <f t="shared" ca="1" si="121"/>
        <v>17.54</v>
      </c>
      <c r="Q2282" s="8">
        <f ca="1">CEILING(R2281*(IF(N2282&lt;=IF($B$2=0,0,OFFSET(Sheet2!$B$1,Sheet1!$B$2-1,0)),$B$1/(365*100),$B$3/(365*100)))*100,1)/100</f>
        <v>-17.54</v>
      </c>
      <c r="R2282" s="9">
        <f t="shared" ca="1" si="122"/>
        <v>-43002.178743781129</v>
      </c>
    </row>
    <row r="2283" spans="7:18" x14ac:dyDescent="0.25">
      <c r="G2283" t="str">
        <f t="shared" si="123"/>
        <v>Insert into BlueCreditTypeRainbow Values (, , , , , )</v>
      </c>
      <c r="N2283" s="4">
        <v>2280</v>
      </c>
      <c r="O2283" s="8">
        <f>$B$7*COUNTIF(Sheet2!$B$1:$B$132,N2283)</f>
        <v>0</v>
      </c>
      <c r="P2283" s="8">
        <f t="shared" ca="1" si="121"/>
        <v>17.55</v>
      </c>
      <c r="Q2283" s="8">
        <f ca="1">CEILING(R2282*(IF(N2283&lt;=IF($B$2=0,0,OFFSET(Sheet2!$B$1,Sheet1!$B$2-1,0)),$B$1/(365*100),$B$3/(365*100)))*100,1)/100</f>
        <v>-17.55</v>
      </c>
      <c r="R2283" s="9">
        <f t="shared" ca="1" si="122"/>
        <v>-43019.728743781132</v>
      </c>
    </row>
    <row r="2284" spans="7:18" x14ac:dyDescent="0.25">
      <c r="G2284" t="str">
        <f t="shared" si="123"/>
        <v>Insert into BlueCreditTypeRainbow Values (, , , , , )</v>
      </c>
      <c r="N2284" s="4">
        <v>2281</v>
      </c>
      <c r="O2284" s="8">
        <f>$B$7*COUNTIF(Sheet2!$B$1:$B$132,N2284)</f>
        <v>0</v>
      </c>
      <c r="P2284" s="8">
        <f t="shared" ca="1" si="121"/>
        <v>17.559999999999999</v>
      </c>
      <c r="Q2284" s="8">
        <f ca="1">CEILING(R2283*(IF(N2284&lt;=IF($B$2=0,0,OFFSET(Sheet2!$B$1,Sheet1!$B$2-1,0)),$B$1/(365*100),$B$3/(365*100)))*100,1)/100</f>
        <v>-17.559999999999999</v>
      </c>
      <c r="R2284" s="9">
        <f t="shared" ca="1" si="122"/>
        <v>-43037.28874378113</v>
      </c>
    </row>
    <row r="2285" spans="7:18" x14ac:dyDescent="0.25">
      <c r="G2285" t="str">
        <f t="shared" si="123"/>
        <v>Insert into BlueCreditTypeRainbow Values (, , , , , )</v>
      </c>
      <c r="N2285" s="4">
        <v>2282</v>
      </c>
      <c r="O2285" s="8">
        <f>$B$7*COUNTIF(Sheet2!$B$1:$B$132,N2285)</f>
        <v>0</v>
      </c>
      <c r="P2285" s="8">
        <f t="shared" ca="1" si="121"/>
        <v>17.559999999999999</v>
      </c>
      <c r="Q2285" s="8">
        <f ca="1">CEILING(R2284*(IF(N2285&lt;=IF($B$2=0,0,OFFSET(Sheet2!$B$1,Sheet1!$B$2-1,0)),$B$1/(365*100),$B$3/(365*100)))*100,1)/100</f>
        <v>-17.559999999999999</v>
      </c>
      <c r="R2285" s="9">
        <f t="shared" ca="1" si="122"/>
        <v>-43054.848743781127</v>
      </c>
    </row>
    <row r="2286" spans="7:18" x14ac:dyDescent="0.25">
      <c r="G2286" t="str">
        <f t="shared" si="123"/>
        <v>Insert into BlueCreditTypeRainbow Values (, , , , , )</v>
      </c>
      <c r="N2286" s="4">
        <v>2283</v>
      </c>
      <c r="O2286" s="8">
        <f>$B$7*COUNTIF(Sheet2!$B$1:$B$132,N2286)</f>
        <v>0</v>
      </c>
      <c r="P2286" s="8">
        <f t="shared" ca="1" si="121"/>
        <v>17.57</v>
      </c>
      <c r="Q2286" s="8">
        <f ca="1">CEILING(R2285*(IF(N2286&lt;=IF($B$2=0,0,OFFSET(Sheet2!$B$1,Sheet1!$B$2-1,0)),$B$1/(365*100),$B$3/(365*100)))*100,1)/100</f>
        <v>-17.57</v>
      </c>
      <c r="R2286" s="9">
        <f t="shared" ca="1" si="122"/>
        <v>-43072.418743781127</v>
      </c>
    </row>
    <row r="2287" spans="7:18" x14ac:dyDescent="0.25">
      <c r="G2287" t="str">
        <f t="shared" si="123"/>
        <v>Insert into BlueCreditTypeRainbow Values (, , , , , )</v>
      </c>
      <c r="N2287" s="4">
        <v>2284</v>
      </c>
      <c r="O2287" s="8">
        <f>$B$7*COUNTIF(Sheet2!$B$1:$B$132,N2287)</f>
        <v>0</v>
      </c>
      <c r="P2287" s="8">
        <f t="shared" ca="1" si="121"/>
        <v>17.579999999999998</v>
      </c>
      <c r="Q2287" s="8">
        <f ca="1">CEILING(R2286*(IF(N2287&lt;=IF($B$2=0,0,OFFSET(Sheet2!$B$1,Sheet1!$B$2-1,0)),$B$1/(365*100),$B$3/(365*100)))*100,1)/100</f>
        <v>-17.579999999999998</v>
      </c>
      <c r="R2287" s="9">
        <f t="shared" ca="1" si="122"/>
        <v>-43089.998743781129</v>
      </c>
    </row>
    <row r="2288" spans="7:18" x14ac:dyDescent="0.25">
      <c r="G2288" t="str">
        <f t="shared" si="123"/>
        <v>Insert into BlueCreditTypeRainbow Values (, , , , , )</v>
      </c>
      <c r="N2288" s="4">
        <v>2285</v>
      </c>
      <c r="O2288" s="8">
        <f>$B$7*COUNTIF(Sheet2!$B$1:$B$132,N2288)</f>
        <v>21157.10552356458</v>
      </c>
      <c r="P2288" s="8">
        <f t="shared" ca="1" si="121"/>
        <v>21174.69552356458</v>
      </c>
      <c r="Q2288" s="8">
        <f ca="1">CEILING(R2287*(IF(N2288&lt;=IF($B$2=0,0,OFFSET(Sheet2!$B$1,Sheet1!$B$2-1,0)),$B$1/(365*100),$B$3/(365*100)))*100,1)/100</f>
        <v>-17.59</v>
      </c>
      <c r="R2288" s="9">
        <f t="shared" ca="1" si="122"/>
        <v>-64264.694267345709</v>
      </c>
    </row>
    <row r="2289" spans="7:18" x14ac:dyDescent="0.25">
      <c r="G2289" t="str">
        <f t="shared" si="123"/>
        <v>Insert into BlueCreditTypeRainbow Values (, , , , , )</v>
      </c>
      <c r="N2289" s="4">
        <v>2286</v>
      </c>
      <c r="O2289" s="8">
        <f>$B$7*COUNTIF(Sheet2!$B$1:$B$132,N2289)</f>
        <v>0</v>
      </c>
      <c r="P2289" s="8">
        <f t="shared" ca="1" si="121"/>
        <v>26.23</v>
      </c>
      <c r="Q2289" s="8">
        <f ca="1">CEILING(R2288*(IF(N2289&lt;=IF($B$2=0,0,OFFSET(Sheet2!$B$1,Sheet1!$B$2-1,0)),$B$1/(365*100),$B$3/(365*100)))*100,1)/100</f>
        <v>-26.23</v>
      </c>
      <c r="R2289" s="9">
        <f t="shared" ca="1" si="122"/>
        <v>-64290.924267345712</v>
      </c>
    </row>
    <row r="2290" spans="7:18" x14ac:dyDescent="0.25">
      <c r="G2290" t="str">
        <f t="shared" si="123"/>
        <v>Insert into BlueCreditTypeRainbow Values (, , , , , )</v>
      </c>
      <c r="N2290" s="4">
        <v>2287</v>
      </c>
      <c r="O2290" s="8">
        <f>$B$7*COUNTIF(Sheet2!$B$1:$B$132,N2290)</f>
        <v>0</v>
      </c>
      <c r="P2290" s="8">
        <f t="shared" ca="1" si="121"/>
        <v>26.24</v>
      </c>
      <c r="Q2290" s="8">
        <f ca="1">CEILING(R2289*(IF(N2290&lt;=IF($B$2=0,0,OFFSET(Sheet2!$B$1,Sheet1!$B$2-1,0)),$B$1/(365*100),$B$3/(365*100)))*100,1)/100</f>
        <v>-26.24</v>
      </c>
      <c r="R2290" s="9">
        <f t="shared" ca="1" si="122"/>
        <v>-64317.16426734571</v>
      </c>
    </row>
    <row r="2291" spans="7:18" x14ac:dyDescent="0.25">
      <c r="G2291" t="str">
        <f t="shared" si="123"/>
        <v>Insert into BlueCreditTypeRainbow Values (, , , , , )</v>
      </c>
      <c r="N2291" s="4">
        <v>2288</v>
      </c>
      <c r="O2291" s="8">
        <f>$B$7*COUNTIF(Sheet2!$B$1:$B$132,N2291)</f>
        <v>0</v>
      </c>
      <c r="P2291" s="8">
        <f t="shared" ca="1" si="121"/>
        <v>26.25</v>
      </c>
      <c r="Q2291" s="8">
        <f ca="1">CEILING(R2290*(IF(N2291&lt;=IF($B$2=0,0,OFFSET(Sheet2!$B$1,Sheet1!$B$2-1,0)),$B$1/(365*100),$B$3/(365*100)))*100,1)/100</f>
        <v>-26.25</v>
      </c>
      <c r="R2291" s="9">
        <f t="shared" ca="1" si="122"/>
        <v>-64343.41426734571</v>
      </c>
    </row>
    <row r="2292" spans="7:18" x14ac:dyDescent="0.25">
      <c r="G2292" t="str">
        <f t="shared" si="123"/>
        <v>Insert into BlueCreditTypeRainbow Values (, , , , , )</v>
      </c>
      <c r="N2292" s="4">
        <v>2289</v>
      </c>
      <c r="O2292" s="8">
        <f>$B$7*COUNTIF(Sheet2!$B$1:$B$132,N2292)</f>
        <v>0</v>
      </c>
      <c r="P2292" s="8">
        <f t="shared" ca="1" si="121"/>
        <v>26.26</v>
      </c>
      <c r="Q2292" s="8">
        <f ca="1">CEILING(R2291*(IF(N2292&lt;=IF($B$2=0,0,OFFSET(Sheet2!$B$1,Sheet1!$B$2-1,0)),$B$1/(365*100),$B$3/(365*100)))*100,1)/100</f>
        <v>-26.26</v>
      </c>
      <c r="R2292" s="9">
        <f t="shared" ca="1" si="122"/>
        <v>-64369.674267345712</v>
      </c>
    </row>
    <row r="2293" spans="7:18" x14ac:dyDescent="0.25">
      <c r="G2293" t="str">
        <f t="shared" si="123"/>
        <v>Insert into BlueCreditTypeRainbow Values (, , , , , )</v>
      </c>
      <c r="N2293" s="4">
        <v>2290</v>
      </c>
      <c r="O2293" s="8">
        <f>$B$7*COUNTIF(Sheet2!$B$1:$B$132,N2293)</f>
        <v>0</v>
      </c>
      <c r="P2293" s="8">
        <f t="shared" ca="1" si="121"/>
        <v>26.27</v>
      </c>
      <c r="Q2293" s="8">
        <f ca="1">CEILING(R2292*(IF(N2293&lt;=IF($B$2=0,0,OFFSET(Sheet2!$B$1,Sheet1!$B$2-1,0)),$B$1/(365*100),$B$3/(365*100)))*100,1)/100</f>
        <v>-26.27</v>
      </c>
      <c r="R2293" s="9">
        <f t="shared" ca="1" si="122"/>
        <v>-64395.944267345709</v>
      </c>
    </row>
    <row r="2294" spans="7:18" x14ac:dyDescent="0.25">
      <c r="G2294" t="str">
        <f t="shared" si="123"/>
        <v>Insert into BlueCreditTypeRainbow Values (, , , , , )</v>
      </c>
      <c r="N2294" s="4">
        <v>2291</v>
      </c>
      <c r="O2294" s="8">
        <f>$B$7*COUNTIF(Sheet2!$B$1:$B$132,N2294)</f>
        <v>0</v>
      </c>
      <c r="P2294" s="8">
        <f t="shared" ca="1" si="121"/>
        <v>26.28</v>
      </c>
      <c r="Q2294" s="8">
        <f ca="1">CEILING(R2293*(IF(N2294&lt;=IF($B$2=0,0,OFFSET(Sheet2!$B$1,Sheet1!$B$2-1,0)),$B$1/(365*100),$B$3/(365*100)))*100,1)/100</f>
        <v>-26.28</v>
      </c>
      <c r="R2294" s="9">
        <f t="shared" ca="1" si="122"/>
        <v>-64422.224267345708</v>
      </c>
    </row>
    <row r="2295" spans="7:18" x14ac:dyDescent="0.25">
      <c r="G2295" t="str">
        <f t="shared" si="123"/>
        <v>Insert into BlueCreditTypeRainbow Values (, , , , , )</v>
      </c>
      <c r="N2295" s="4">
        <v>2292</v>
      </c>
      <c r="O2295" s="8">
        <f>$B$7*COUNTIF(Sheet2!$B$1:$B$132,N2295)</f>
        <v>0</v>
      </c>
      <c r="P2295" s="8">
        <f t="shared" ca="1" si="121"/>
        <v>26.29</v>
      </c>
      <c r="Q2295" s="8">
        <f ca="1">CEILING(R2294*(IF(N2295&lt;=IF($B$2=0,0,OFFSET(Sheet2!$B$1,Sheet1!$B$2-1,0)),$B$1/(365*100),$B$3/(365*100)))*100,1)/100</f>
        <v>-26.29</v>
      </c>
      <c r="R2295" s="9">
        <f t="shared" ca="1" si="122"/>
        <v>-64448.514267345709</v>
      </c>
    </row>
    <row r="2296" spans="7:18" x14ac:dyDescent="0.25">
      <c r="G2296" t="str">
        <f t="shared" si="123"/>
        <v>Insert into BlueCreditTypeRainbow Values (, , , , , )</v>
      </c>
      <c r="N2296" s="4">
        <v>2293</v>
      </c>
      <c r="O2296" s="8">
        <f>$B$7*COUNTIF(Sheet2!$B$1:$B$132,N2296)</f>
        <v>0</v>
      </c>
      <c r="P2296" s="8">
        <f t="shared" ca="1" si="121"/>
        <v>26.3</v>
      </c>
      <c r="Q2296" s="8">
        <f ca="1">CEILING(R2295*(IF(N2296&lt;=IF($B$2=0,0,OFFSET(Sheet2!$B$1,Sheet1!$B$2-1,0)),$B$1/(365*100),$B$3/(365*100)))*100,1)/100</f>
        <v>-26.3</v>
      </c>
      <c r="R2296" s="9">
        <f t="shared" ca="1" si="122"/>
        <v>-64474.814267345711</v>
      </c>
    </row>
    <row r="2297" spans="7:18" x14ac:dyDescent="0.25">
      <c r="G2297" t="str">
        <f t="shared" si="123"/>
        <v>Insert into BlueCreditTypeRainbow Values (, , , , , )</v>
      </c>
      <c r="N2297" s="4">
        <v>2294</v>
      </c>
      <c r="O2297" s="8">
        <f>$B$7*COUNTIF(Sheet2!$B$1:$B$132,N2297)</f>
        <v>0</v>
      </c>
      <c r="P2297" s="8">
        <f t="shared" ca="1" si="121"/>
        <v>26.31</v>
      </c>
      <c r="Q2297" s="8">
        <f ca="1">CEILING(R2296*(IF(N2297&lt;=IF($B$2=0,0,OFFSET(Sheet2!$B$1,Sheet1!$B$2-1,0)),$B$1/(365*100),$B$3/(365*100)))*100,1)/100</f>
        <v>-26.31</v>
      </c>
      <c r="R2297" s="9">
        <f t="shared" ca="1" si="122"/>
        <v>-64501.124267345709</v>
      </c>
    </row>
    <row r="2298" spans="7:18" x14ac:dyDescent="0.25">
      <c r="G2298" t="str">
        <f t="shared" si="123"/>
        <v>Insert into BlueCreditTypeRainbow Values (, , , , , )</v>
      </c>
      <c r="N2298" s="4">
        <v>2295</v>
      </c>
      <c r="O2298" s="8">
        <f>$B$7*COUNTIF(Sheet2!$B$1:$B$132,N2298)</f>
        <v>0</v>
      </c>
      <c r="P2298" s="8">
        <f t="shared" ca="1" si="121"/>
        <v>26.33</v>
      </c>
      <c r="Q2298" s="8">
        <f ca="1">CEILING(R2297*(IF(N2298&lt;=IF($B$2=0,0,OFFSET(Sheet2!$B$1,Sheet1!$B$2-1,0)),$B$1/(365*100),$B$3/(365*100)))*100,1)/100</f>
        <v>-26.33</v>
      </c>
      <c r="R2298" s="9">
        <f t="shared" ca="1" si="122"/>
        <v>-64527.454267345711</v>
      </c>
    </row>
    <row r="2299" spans="7:18" x14ac:dyDescent="0.25">
      <c r="G2299" t="str">
        <f t="shared" si="123"/>
        <v>Insert into BlueCreditTypeRainbow Values (, , , , , )</v>
      </c>
      <c r="N2299" s="4">
        <v>2296</v>
      </c>
      <c r="O2299" s="8">
        <f>$B$7*COUNTIF(Sheet2!$B$1:$B$132,N2299)</f>
        <v>0</v>
      </c>
      <c r="P2299" s="8">
        <f t="shared" ca="1" si="121"/>
        <v>26.34</v>
      </c>
      <c r="Q2299" s="8">
        <f ca="1">CEILING(R2298*(IF(N2299&lt;=IF($B$2=0,0,OFFSET(Sheet2!$B$1,Sheet1!$B$2-1,0)),$B$1/(365*100),$B$3/(365*100)))*100,1)/100</f>
        <v>-26.34</v>
      </c>
      <c r="R2299" s="9">
        <f t="shared" ca="1" si="122"/>
        <v>-64553.794267345707</v>
      </c>
    </row>
    <row r="2300" spans="7:18" x14ac:dyDescent="0.25">
      <c r="G2300" t="str">
        <f t="shared" si="123"/>
        <v>Insert into BlueCreditTypeRainbow Values (, , , , , )</v>
      </c>
      <c r="N2300" s="4">
        <v>2297</v>
      </c>
      <c r="O2300" s="8">
        <f>$B$7*COUNTIF(Sheet2!$B$1:$B$132,N2300)</f>
        <v>0</v>
      </c>
      <c r="P2300" s="8">
        <f t="shared" ca="1" si="121"/>
        <v>26.35</v>
      </c>
      <c r="Q2300" s="8">
        <f ca="1">CEILING(R2299*(IF(N2300&lt;=IF($B$2=0,0,OFFSET(Sheet2!$B$1,Sheet1!$B$2-1,0)),$B$1/(365*100),$B$3/(365*100)))*100,1)/100</f>
        <v>-26.35</v>
      </c>
      <c r="R2300" s="9">
        <f t="shared" ca="1" si="122"/>
        <v>-64580.144267345706</v>
      </c>
    </row>
    <row r="2301" spans="7:18" x14ac:dyDescent="0.25">
      <c r="G2301" t="str">
        <f t="shared" si="123"/>
        <v>Insert into BlueCreditTypeRainbow Values (, , , , , )</v>
      </c>
      <c r="N2301" s="4">
        <v>2298</v>
      </c>
      <c r="O2301" s="8">
        <f>$B$7*COUNTIF(Sheet2!$B$1:$B$132,N2301)</f>
        <v>0</v>
      </c>
      <c r="P2301" s="8">
        <f t="shared" ca="1" si="121"/>
        <v>26.36</v>
      </c>
      <c r="Q2301" s="8">
        <f ca="1">CEILING(R2300*(IF(N2301&lt;=IF($B$2=0,0,OFFSET(Sheet2!$B$1,Sheet1!$B$2-1,0)),$B$1/(365*100),$B$3/(365*100)))*100,1)/100</f>
        <v>-26.36</v>
      </c>
      <c r="R2301" s="9">
        <f t="shared" ca="1" si="122"/>
        <v>-64606.504267345706</v>
      </c>
    </row>
    <row r="2302" spans="7:18" x14ac:dyDescent="0.25">
      <c r="G2302" t="str">
        <f t="shared" si="123"/>
        <v>Insert into BlueCreditTypeRainbow Values (, , , , , )</v>
      </c>
      <c r="N2302" s="4">
        <v>2299</v>
      </c>
      <c r="O2302" s="8">
        <f>$B$7*COUNTIF(Sheet2!$B$1:$B$132,N2302)</f>
        <v>0</v>
      </c>
      <c r="P2302" s="8">
        <f t="shared" ca="1" si="121"/>
        <v>26.37</v>
      </c>
      <c r="Q2302" s="8">
        <f ca="1">CEILING(R2301*(IF(N2302&lt;=IF($B$2=0,0,OFFSET(Sheet2!$B$1,Sheet1!$B$2-1,0)),$B$1/(365*100),$B$3/(365*100)))*100,1)/100</f>
        <v>-26.37</v>
      </c>
      <c r="R2302" s="9">
        <f t="shared" ca="1" si="122"/>
        <v>-64632.874267345709</v>
      </c>
    </row>
    <row r="2303" spans="7:18" x14ac:dyDescent="0.25">
      <c r="G2303" t="str">
        <f t="shared" si="123"/>
        <v>Insert into BlueCreditTypeRainbow Values (, , , , , )</v>
      </c>
      <c r="N2303" s="4">
        <v>2300</v>
      </c>
      <c r="O2303" s="8">
        <f>$B$7*COUNTIF(Sheet2!$B$1:$B$132,N2303)</f>
        <v>0</v>
      </c>
      <c r="P2303" s="8">
        <f t="shared" ref="P2303:P2366" ca="1" si="124">IF(O2303-Q2303&gt; 0, O2303-Q2303, 0)</f>
        <v>26.38</v>
      </c>
      <c r="Q2303" s="8">
        <f ca="1">CEILING(R2302*(IF(N2303&lt;=IF($B$2=0,0,OFFSET(Sheet2!$B$1,Sheet1!$B$2-1,0)),$B$1/(365*100),$B$3/(365*100)))*100,1)/100</f>
        <v>-26.38</v>
      </c>
      <c r="R2303" s="9">
        <f t="shared" ref="R2303:R2366" ca="1" si="125">R2302+Q2303-O2303</f>
        <v>-64659.254267345706</v>
      </c>
    </row>
    <row r="2304" spans="7:18" x14ac:dyDescent="0.25">
      <c r="G2304" t="str">
        <f t="shared" si="123"/>
        <v>Insert into BlueCreditTypeRainbow Values (, , , , , )</v>
      </c>
      <c r="N2304" s="4">
        <v>2301</v>
      </c>
      <c r="O2304" s="8">
        <f>$B$7*COUNTIF(Sheet2!$B$1:$B$132,N2304)</f>
        <v>0</v>
      </c>
      <c r="P2304" s="8">
        <f t="shared" ca="1" si="124"/>
        <v>26.39</v>
      </c>
      <c r="Q2304" s="8">
        <f ca="1">CEILING(R2303*(IF(N2304&lt;=IF($B$2=0,0,OFFSET(Sheet2!$B$1,Sheet1!$B$2-1,0)),$B$1/(365*100),$B$3/(365*100)))*100,1)/100</f>
        <v>-26.39</v>
      </c>
      <c r="R2304" s="9">
        <f t="shared" ca="1" si="125"/>
        <v>-64685.644267345706</v>
      </c>
    </row>
    <row r="2305" spans="7:18" x14ac:dyDescent="0.25">
      <c r="G2305" t="str">
        <f t="shared" si="123"/>
        <v>Insert into BlueCreditTypeRainbow Values (, , , , , )</v>
      </c>
      <c r="N2305" s="4">
        <v>2302</v>
      </c>
      <c r="O2305" s="8">
        <f>$B$7*COUNTIF(Sheet2!$B$1:$B$132,N2305)</f>
        <v>0</v>
      </c>
      <c r="P2305" s="8">
        <f t="shared" ca="1" si="124"/>
        <v>26.4</v>
      </c>
      <c r="Q2305" s="8">
        <f ca="1">CEILING(R2304*(IF(N2305&lt;=IF($B$2=0,0,OFFSET(Sheet2!$B$1,Sheet1!$B$2-1,0)),$B$1/(365*100),$B$3/(365*100)))*100,1)/100</f>
        <v>-26.4</v>
      </c>
      <c r="R2305" s="9">
        <f t="shared" ca="1" si="125"/>
        <v>-64712.044267345707</v>
      </c>
    </row>
    <row r="2306" spans="7:18" x14ac:dyDescent="0.25">
      <c r="G2306" t="str">
        <f t="shared" si="123"/>
        <v>Insert into BlueCreditTypeRainbow Values (, , , , , )</v>
      </c>
      <c r="N2306" s="4">
        <v>2303</v>
      </c>
      <c r="O2306" s="8">
        <f>$B$7*COUNTIF(Sheet2!$B$1:$B$132,N2306)</f>
        <v>0</v>
      </c>
      <c r="P2306" s="8">
        <f t="shared" ca="1" si="124"/>
        <v>26.41</v>
      </c>
      <c r="Q2306" s="8">
        <f ca="1">CEILING(R2305*(IF(N2306&lt;=IF($B$2=0,0,OFFSET(Sheet2!$B$1,Sheet1!$B$2-1,0)),$B$1/(365*100),$B$3/(365*100)))*100,1)/100</f>
        <v>-26.41</v>
      </c>
      <c r="R2306" s="9">
        <f t="shared" ca="1" si="125"/>
        <v>-64738.454267345711</v>
      </c>
    </row>
    <row r="2307" spans="7:18" x14ac:dyDescent="0.25">
      <c r="G2307" t="str">
        <f t="shared" si="123"/>
        <v>Insert into BlueCreditTypeRainbow Values (, , , , , )</v>
      </c>
      <c r="N2307" s="4">
        <v>2304</v>
      </c>
      <c r="O2307" s="8">
        <f>$B$7*COUNTIF(Sheet2!$B$1:$B$132,N2307)</f>
        <v>0</v>
      </c>
      <c r="P2307" s="8">
        <f t="shared" ca="1" si="124"/>
        <v>26.42</v>
      </c>
      <c r="Q2307" s="8">
        <f ca="1">CEILING(R2306*(IF(N2307&lt;=IF($B$2=0,0,OFFSET(Sheet2!$B$1,Sheet1!$B$2-1,0)),$B$1/(365*100),$B$3/(365*100)))*100,1)/100</f>
        <v>-26.42</v>
      </c>
      <c r="R2307" s="9">
        <f t="shared" ca="1" si="125"/>
        <v>-64764.874267345709</v>
      </c>
    </row>
    <row r="2308" spans="7:18" x14ac:dyDescent="0.25">
      <c r="G2308" t="str">
        <f t="shared" si="123"/>
        <v>Insert into BlueCreditTypeRainbow Values (, , , , , )</v>
      </c>
      <c r="N2308" s="4">
        <v>2305</v>
      </c>
      <c r="O2308" s="8">
        <f>$B$7*COUNTIF(Sheet2!$B$1:$B$132,N2308)</f>
        <v>0</v>
      </c>
      <c r="P2308" s="8">
        <f t="shared" ca="1" si="124"/>
        <v>26.43</v>
      </c>
      <c r="Q2308" s="8">
        <f ca="1">CEILING(R2307*(IF(N2308&lt;=IF($B$2=0,0,OFFSET(Sheet2!$B$1,Sheet1!$B$2-1,0)),$B$1/(365*100),$B$3/(365*100)))*100,1)/100</f>
        <v>-26.43</v>
      </c>
      <c r="R2308" s="9">
        <f t="shared" ca="1" si="125"/>
        <v>-64791.304267345709</v>
      </c>
    </row>
    <row r="2309" spans="7:18" x14ac:dyDescent="0.25">
      <c r="G2309" t="str">
        <f t="shared" si="123"/>
        <v>Insert into BlueCreditTypeRainbow Values (, , , , , )</v>
      </c>
      <c r="N2309" s="4">
        <v>2306</v>
      </c>
      <c r="O2309" s="8">
        <f>$B$7*COUNTIF(Sheet2!$B$1:$B$132,N2309)</f>
        <v>0</v>
      </c>
      <c r="P2309" s="8">
        <f t="shared" ca="1" si="124"/>
        <v>26.44</v>
      </c>
      <c r="Q2309" s="8">
        <f ca="1">CEILING(R2308*(IF(N2309&lt;=IF($B$2=0,0,OFFSET(Sheet2!$B$1,Sheet1!$B$2-1,0)),$B$1/(365*100),$B$3/(365*100)))*100,1)/100</f>
        <v>-26.44</v>
      </c>
      <c r="R2309" s="9">
        <f t="shared" ca="1" si="125"/>
        <v>-64817.744267345712</v>
      </c>
    </row>
    <row r="2310" spans="7:18" x14ac:dyDescent="0.25">
      <c r="G2310" t="str">
        <f t="shared" si="123"/>
        <v>Insert into BlueCreditTypeRainbow Values (, , , , , )</v>
      </c>
      <c r="N2310" s="4">
        <v>2307</v>
      </c>
      <c r="O2310" s="8">
        <f>$B$7*COUNTIF(Sheet2!$B$1:$B$132,N2310)</f>
        <v>0</v>
      </c>
      <c r="P2310" s="8">
        <f t="shared" ca="1" si="124"/>
        <v>26.45</v>
      </c>
      <c r="Q2310" s="8">
        <f ca="1">CEILING(R2309*(IF(N2310&lt;=IF($B$2=0,0,OFFSET(Sheet2!$B$1,Sheet1!$B$2-1,0)),$B$1/(365*100),$B$3/(365*100)))*100,1)/100</f>
        <v>-26.45</v>
      </c>
      <c r="R2310" s="9">
        <f t="shared" ca="1" si="125"/>
        <v>-64844.194267345709</v>
      </c>
    </row>
    <row r="2311" spans="7:18" x14ac:dyDescent="0.25">
      <c r="G2311" t="str">
        <f t="shared" si="123"/>
        <v>Insert into BlueCreditTypeRainbow Values (, , , , , )</v>
      </c>
      <c r="N2311" s="4">
        <v>2308</v>
      </c>
      <c r="O2311" s="8">
        <f>$B$7*COUNTIF(Sheet2!$B$1:$B$132,N2311)</f>
        <v>0</v>
      </c>
      <c r="P2311" s="8">
        <f t="shared" ca="1" si="124"/>
        <v>26.47</v>
      </c>
      <c r="Q2311" s="8">
        <f ca="1">CEILING(R2310*(IF(N2311&lt;=IF($B$2=0,0,OFFSET(Sheet2!$B$1,Sheet1!$B$2-1,0)),$B$1/(365*100),$B$3/(365*100)))*100,1)/100</f>
        <v>-26.47</v>
      </c>
      <c r="R2311" s="9">
        <f t="shared" ca="1" si="125"/>
        <v>-64870.66426734571</v>
      </c>
    </row>
    <row r="2312" spans="7:18" x14ac:dyDescent="0.25">
      <c r="G2312" t="str">
        <f t="shared" si="123"/>
        <v>Insert into BlueCreditTypeRainbow Values (, , , , , )</v>
      </c>
      <c r="N2312" s="4">
        <v>2309</v>
      </c>
      <c r="O2312" s="8">
        <f>$B$7*COUNTIF(Sheet2!$B$1:$B$132,N2312)</f>
        <v>0</v>
      </c>
      <c r="P2312" s="8">
        <f t="shared" ca="1" si="124"/>
        <v>26.48</v>
      </c>
      <c r="Q2312" s="8">
        <f ca="1">CEILING(R2311*(IF(N2312&lt;=IF($B$2=0,0,OFFSET(Sheet2!$B$1,Sheet1!$B$2-1,0)),$B$1/(365*100),$B$3/(365*100)))*100,1)/100</f>
        <v>-26.48</v>
      </c>
      <c r="R2312" s="9">
        <f t="shared" ca="1" si="125"/>
        <v>-64897.144267345713</v>
      </c>
    </row>
    <row r="2313" spans="7:18" x14ac:dyDescent="0.25">
      <c r="G2313" t="str">
        <f t="shared" si="123"/>
        <v>Insert into BlueCreditTypeRainbow Values (, , , , , )</v>
      </c>
      <c r="N2313" s="4">
        <v>2310</v>
      </c>
      <c r="O2313" s="8">
        <f>$B$7*COUNTIF(Sheet2!$B$1:$B$132,N2313)</f>
        <v>0</v>
      </c>
      <c r="P2313" s="8">
        <f t="shared" ca="1" si="124"/>
        <v>26.49</v>
      </c>
      <c r="Q2313" s="8">
        <f ca="1">CEILING(R2312*(IF(N2313&lt;=IF($B$2=0,0,OFFSET(Sheet2!$B$1,Sheet1!$B$2-1,0)),$B$1/(365*100),$B$3/(365*100)))*100,1)/100</f>
        <v>-26.49</v>
      </c>
      <c r="R2313" s="9">
        <f t="shared" ca="1" si="125"/>
        <v>-64923.634267345711</v>
      </c>
    </row>
    <row r="2314" spans="7:18" x14ac:dyDescent="0.25">
      <c r="G2314" t="str">
        <f t="shared" si="123"/>
        <v>Insert into BlueCreditTypeRainbow Values (, , , , , )</v>
      </c>
      <c r="N2314" s="4">
        <v>2311</v>
      </c>
      <c r="O2314" s="8">
        <f>$B$7*COUNTIF(Sheet2!$B$1:$B$132,N2314)</f>
        <v>0</v>
      </c>
      <c r="P2314" s="8">
        <f t="shared" ca="1" si="124"/>
        <v>26.5</v>
      </c>
      <c r="Q2314" s="8">
        <f ca="1">CEILING(R2313*(IF(N2314&lt;=IF($B$2=0,0,OFFSET(Sheet2!$B$1,Sheet1!$B$2-1,0)),$B$1/(365*100),$B$3/(365*100)))*100,1)/100</f>
        <v>-26.5</v>
      </c>
      <c r="R2314" s="9">
        <f t="shared" ca="1" si="125"/>
        <v>-64950.134267345711</v>
      </c>
    </row>
    <row r="2315" spans="7:18" x14ac:dyDescent="0.25">
      <c r="G2315" t="str">
        <f t="shared" si="123"/>
        <v>Insert into BlueCreditTypeRainbow Values (, , , , , )</v>
      </c>
      <c r="N2315" s="4">
        <v>2312</v>
      </c>
      <c r="O2315" s="8">
        <f>$B$7*COUNTIF(Sheet2!$B$1:$B$132,N2315)</f>
        <v>0</v>
      </c>
      <c r="P2315" s="8">
        <f t="shared" ca="1" si="124"/>
        <v>26.51</v>
      </c>
      <c r="Q2315" s="8">
        <f ca="1">CEILING(R2314*(IF(N2315&lt;=IF($B$2=0,0,OFFSET(Sheet2!$B$1,Sheet1!$B$2-1,0)),$B$1/(365*100),$B$3/(365*100)))*100,1)/100</f>
        <v>-26.51</v>
      </c>
      <c r="R2315" s="9">
        <f t="shared" ca="1" si="125"/>
        <v>-64976.644267345713</v>
      </c>
    </row>
    <row r="2316" spans="7:18" x14ac:dyDescent="0.25">
      <c r="G2316" t="str">
        <f t="shared" si="123"/>
        <v>Insert into BlueCreditTypeRainbow Values (, , , , , )</v>
      </c>
      <c r="N2316" s="4">
        <v>2313</v>
      </c>
      <c r="O2316" s="8">
        <f>$B$7*COUNTIF(Sheet2!$B$1:$B$132,N2316)</f>
        <v>0</v>
      </c>
      <c r="P2316" s="8">
        <f t="shared" ca="1" si="124"/>
        <v>26.52</v>
      </c>
      <c r="Q2316" s="8">
        <f ca="1">CEILING(R2315*(IF(N2316&lt;=IF($B$2=0,0,OFFSET(Sheet2!$B$1,Sheet1!$B$2-1,0)),$B$1/(365*100),$B$3/(365*100)))*100,1)/100</f>
        <v>-26.52</v>
      </c>
      <c r="R2316" s="9">
        <f t="shared" ca="1" si="125"/>
        <v>-65003.16426734571</v>
      </c>
    </row>
    <row r="2317" spans="7:18" x14ac:dyDescent="0.25">
      <c r="G2317" t="str">
        <f t="shared" si="123"/>
        <v>Insert into BlueCreditTypeRainbow Values (, , , , , )</v>
      </c>
      <c r="N2317" s="4">
        <v>2314</v>
      </c>
      <c r="O2317" s="8">
        <f>$B$7*COUNTIF(Sheet2!$B$1:$B$132,N2317)</f>
        <v>0</v>
      </c>
      <c r="P2317" s="8">
        <f t="shared" ca="1" si="124"/>
        <v>26.53</v>
      </c>
      <c r="Q2317" s="8">
        <f ca="1">CEILING(R2316*(IF(N2317&lt;=IF($B$2=0,0,OFFSET(Sheet2!$B$1,Sheet1!$B$2-1,0)),$B$1/(365*100),$B$3/(365*100)))*100,1)/100</f>
        <v>-26.53</v>
      </c>
      <c r="R2317" s="9">
        <f t="shared" ca="1" si="125"/>
        <v>-65029.694267345709</v>
      </c>
    </row>
    <row r="2318" spans="7:18" x14ac:dyDescent="0.25">
      <c r="G2318" t="str">
        <f t="shared" si="123"/>
        <v>Insert into BlueCreditTypeRainbow Values (, , , , , )</v>
      </c>
      <c r="N2318" s="4">
        <v>2315</v>
      </c>
      <c r="O2318" s="8">
        <f>$B$7*COUNTIF(Sheet2!$B$1:$B$132,N2318)</f>
        <v>0</v>
      </c>
      <c r="P2318" s="8">
        <f t="shared" ca="1" si="124"/>
        <v>26.54</v>
      </c>
      <c r="Q2318" s="8">
        <f ca="1">CEILING(R2317*(IF(N2318&lt;=IF($B$2=0,0,OFFSET(Sheet2!$B$1,Sheet1!$B$2-1,0)),$B$1/(365*100),$B$3/(365*100)))*100,1)/100</f>
        <v>-26.54</v>
      </c>
      <c r="R2318" s="9">
        <f t="shared" ca="1" si="125"/>
        <v>-65056.23426734571</v>
      </c>
    </row>
    <row r="2319" spans="7:18" x14ac:dyDescent="0.25">
      <c r="G2319" t="str">
        <f t="shared" ref="G2319:G2382" si="126">CONCATENATE("Insert into BlueCreditTypeRainbow Values (",A2319,", ",B2319,", ",C2319,", ",D2319,", ",E2319,", ",F2319,")")</f>
        <v>Insert into BlueCreditTypeRainbow Values (, , , , , )</v>
      </c>
      <c r="N2319" s="4">
        <v>2316</v>
      </c>
      <c r="O2319" s="8">
        <f>$B$7*COUNTIF(Sheet2!$B$1:$B$132,N2319)</f>
        <v>21157.10552356458</v>
      </c>
      <c r="P2319" s="8">
        <f t="shared" ca="1" si="124"/>
        <v>21183.655523564579</v>
      </c>
      <c r="Q2319" s="8">
        <f ca="1">CEILING(R2318*(IF(N2319&lt;=IF($B$2=0,0,OFFSET(Sheet2!$B$1,Sheet1!$B$2-1,0)),$B$1/(365*100),$B$3/(365*100)))*100,1)/100</f>
        <v>-26.55</v>
      </c>
      <c r="R2319" s="9">
        <f t="shared" ca="1" si="125"/>
        <v>-86239.889790910296</v>
      </c>
    </row>
    <row r="2320" spans="7:18" x14ac:dyDescent="0.25">
      <c r="G2320" t="str">
        <f t="shared" si="126"/>
        <v>Insert into BlueCreditTypeRainbow Values (, , , , , )</v>
      </c>
      <c r="N2320" s="4">
        <v>2317</v>
      </c>
      <c r="O2320" s="8">
        <f>$B$7*COUNTIF(Sheet2!$B$1:$B$132,N2320)</f>
        <v>0</v>
      </c>
      <c r="P2320" s="8">
        <f t="shared" ca="1" si="124"/>
        <v>35.200000000000003</v>
      </c>
      <c r="Q2320" s="8">
        <f ca="1">CEILING(R2319*(IF(N2320&lt;=IF($B$2=0,0,OFFSET(Sheet2!$B$1,Sheet1!$B$2-1,0)),$B$1/(365*100),$B$3/(365*100)))*100,1)/100</f>
        <v>-35.200000000000003</v>
      </c>
      <c r="R2320" s="9">
        <f t="shared" ca="1" si="125"/>
        <v>-86275.089790910293</v>
      </c>
    </row>
    <row r="2321" spans="7:18" x14ac:dyDescent="0.25">
      <c r="G2321" t="str">
        <f t="shared" si="126"/>
        <v>Insert into BlueCreditTypeRainbow Values (, , , , , )</v>
      </c>
      <c r="N2321" s="4">
        <v>2318</v>
      </c>
      <c r="O2321" s="8">
        <f>$B$7*COUNTIF(Sheet2!$B$1:$B$132,N2321)</f>
        <v>0</v>
      </c>
      <c r="P2321" s="8">
        <f t="shared" ca="1" si="124"/>
        <v>35.21</v>
      </c>
      <c r="Q2321" s="8">
        <f ca="1">CEILING(R2320*(IF(N2321&lt;=IF($B$2=0,0,OFFSET(Sheet2!$B$1,Sheet1!$B$2-1,0)),$B$1/(365*100),$B$3/(365*100)))*100,1)/100</f>
        <v>-35.21</v>
      </c>
      <c r="R2321" s="9">
        <f t="shared" ca="1" si="125"/>
        <v>-86310.2997909103</v>
      </c>
    </row>
    <row r="2322" spans="7:18" x14ac:dyDescent="0.25">
      <c r="G2322" t="str">
        <f t="shared" si="126"/>
        <v>Insert into BlueCreditTypeRainbow Values (, , , , , )</v>
      </c>
      <c r="N2322" s="4">
        <v>2319</v>
      </c>
      <c r="O2322" s="8">
        <f>$B$7*COUNTIF(Sheet2!$B$1:$B$132,N2322)</f>
        <v>0</v>
      </c>
      <c r="P2322" s="8">
        <f t="shared" ca="1" si="124"/>
        <v>35.229999999999997</v>
      </c>
      <c r="Q2322" s="8">
        <f ca="1">CEILING(R2321*(IF(N2322&lt;=IF($B$2=0,0,OFFSET(Sheet2!$B$1,Sheet1!$B$2-1,0)),$B$1/(365*100),$B$3/(365*100)))*100,1)/100</f>
        <v>-35.229999999999997</v>
      </c>
      <c r="R2322" s="9">
        <f t="shared" ca="1" si="125"/>
        <v>-86345.529790910296</v>
      </c>
    </row>
    <row r="2323" spans="7:18" x14ac:dyDescent="0.25">
      <c r="G2323" t="str">
        <f t="shared" si="126"/>
        <v>Insert into BlueCreditTypeRainbow Values (, , , , , )</v>
      </c>
      <c r="N2323" s="4">
        <v>2320</v>
      </c>
      <c r="O2323" s="8">
        <f>$B$7*COUNTIF(Sheet2!$B$1:$B$132,N2323)</f>
        <v>0</v>
      </c>
      <c r="P2323" s="8">
        <f t="shared" ca="1" si="124"/>
        <v>35.24</v>
      </c>
      <c r="Q2323" s="8">
        <f ca="1">CEILING(R2322*(IF(N2323&lt;=IF($B$2=0,0,OFFSET(Sheet2!$B$1,Sheet1!$B$2-1,0)),$B$1/(365*100),$B$3/(365*100)))*100,1)/100</f>
        <v>-35.24</v>
      </c>
      <c r="R2323" s="9">
        <f t="shared" ca="1" si="125"/>
        <v>-86380.769790910301</v>
      </c>
    </row>
    <row r="2324" spans="7:18" x14ac:dyDescent="0.25">
      <c r="G2324" t="str">
        <f t="shared" si="126"/>
        <v>Insert into BlueCreditTypeRainbow Values (, , , , , )</v>
      </c>
      <c r="N2324" s="4">
        <v>2321</v>
      </c>
      <c r="O2324" s="8">
        <f>$B$7*COUNTIF(Sheet2!$B$1:$B$132,N2324)</f>
        <v>0</v>
      </c>
      <c r="P2324" s="8">
        <f t="shared" ca="1" si="124"/>
        <v>35.26</v>
      </c>
      <c r="Q2324" s="8">
        <f ca="1">CEILING(R2323*(IF(N2324&lt;=IF($B$2=0,0,OFFSET(Sheet2!$B$1,Sheet1!$B$2-1,0)),$B$1/(365*100),$B$3/(365*100)))*100,1)/100</f>
        <v>-35.26</v>
      </c>
      <c r="R2324" s="9">
        <f t="shared" ca="1" si="125"/>
        <v>-86416.029790910296</v>
      </c>
    </row>
    <row r="2325" spans="7:18" x14ac:dyDescent="0.25">
      <c r="G2325" t="str">
        <f t="shared" si="126"/>
        <v>Insert into BlueCreditTypeRainbow Values (, , , , , )</v>
      </c>
      <c r="N2325" s="4">
        <v>2322</v>
      </c>
      <c r="O2325" s="8">
        <f>$B$7*COUNTIF(Sheet2!$B$1:$B$132,N2325)</f>
        <v>0</v>
      </c>
      <c r="P2325" s="8">
        <f t="shared" ca="1" si="124"/>
        <v>35.270000000000003</v>
      </c>
      <c r="Q2325" s="8">
        <f ca="1">CEILING(R2324*(IF(N2325&lt;=IF($B$2=0,0,OFFSET(Sheet2!$B$1,Sheet1!$B$2-1,0)),$B$1/(365*100),$B$3/(365*100)))*100,1)/100</f>
        <v>-35.270000000000003</v>
      </c>
      <c r="R2325" s="9">
        <f t="shared" ca="1" si="125"/>
        <v>-86451.2997909103</v>
      </c>
    </row>
    <row r="2326" spans="7:18" x14ac:dyDescent="0.25">
      <c r="G2326" t="str">
        <f t="shared" si="126"/>
        <v>Insert into BlueCreditTypeRainbow Values (, , , , , )</v>
      </c>
      <c r="N2326" s="4">
        <v>2323</v>
      </c>
      <c r="O2326" s="8">
        <f>$B$7*COUNTIF(Sheet2!$B$1:$B$132,N2326)</f>
        <v>0</v>
      </c>
      <c r="P2326" s="8">
        <f t="shared" ca="1" si="124"/>
        <v>35.29</v>
      </c>
      <c r="Q2326" s="8">
        <f ca="1">CEILING(R2325*(IF(N2326&lt;=IF($B$2=0,0,OFFSET(Sheet2!$B$1,Sheet1!$B$2-1,0)),$B$1/(365*100),$B$3/(365*100)))*100,1)/100</f>
        <v>-35.29</v>
      </c>
      <c r="R2326" s="9">
        <f t="shared" ca="1" si="125"/>
        <v>-86486.589790910293</v>
      </c>
    </row>
    <row r="2327" spans="7:18" x14ac:dyDescent="0.25">
      <c r="G2327" t="str">
        <f t="shared" si="126"/>
        <v>Insert into BlueCreditTypeRainbow Values (, , , , , )</v>
      </c>
      <c r="N2327" s="4">
        <v>2324</v>
      </c>
      <c r="O2327" s="8">
        <f>$B$7*COUNTIF(Sheet2!$B$1:$B$132,N2327)</f>
        <v>0</v>
      </c>
      <c r="P2327" s="8">
        <f t="shared" ca="1" si="124"/>
        <v>35.299999999999997</v>
      </c>
      <c r="Q2327" s="8">
        <f ca="1">CEILING(R2326*(IF(N2327&lt;=IF($B$2=0,0,OFFSET(Sheet2!$B$1,Sheet1!$B$2-1,0)),$B$1/(365*100),$B$3/(365*100)))*100,1)/100</f>
        <v>-35.299999999999997</v>
      </c>
      <c r="R2327" s="9">
        <f t="shared" ca="1" si="125"/>
        <v>-86521.889790910296</v>
      </c>
    </row>
    <row r="2328" spans="7:18" x14ac:dyDescent="0.25">
      <c r="G2328" t="str">
        <f t="shared" si="126"/>
        <v>Insert into BlueCreditTypeRainbow Values (, , , , , )</v>
      </c>
      <c r="N2328" s="4">
        <v>2325</v>
      </c>
      <c r="O2328" s="8">
        <f>$B$7*COUNTIF(Sheet2!$B$1:$B$132,N2328)</f>
        <v>0</v>
      </c>
      <c r="P2328" s="8">
        <f t="shared" ca="1" si="124"/>
        <v>35.31</v>
      </c>
      <c r="Q2328" s="8">
        <f ca="1">CEILING(R2327*(IF(N2328&lt;=IF($B$2=0,0,OFFSET(Sheet2!$B$1,Sheet1!$B$2-1,0)),$B$1/(365*100),$B$3/(365*100)))*100,1)/100</f>
        <v>-35.31</v>
      </c>
      <c r="R2328" s="9">
        <f t="shared" ca="1" si="125"/>
        <v>-86557.199790910294</v>
      </c>
    </row>
    <row r="2329" spans="7:18" x14ac:dyDescent="0.25">
      <c r="G2329" t="str">
        <f t="shared" si="126"/>
        <v>Insert into BlueCreditTypeRainbow Values (, , , , , )</v>
      </c>
      <c r="N2329" s="4">
        <v>2326</v>
      </c>
      <c r="O2329" s="8">
        <f>$B$7*COUNTIF(Sheet2!$B$1:$B$132,N2329)</f>
        <v>0</v>
      </c>
      <c r="P2329" s="8">
        <f t="shared" ca="1" si="124"/>
        <v>35.33</v>
      </c>
      <c r="Q2329" s="8">
        <f ca="1">CEILING(R2328*(IF(N2329&lt;=IF($B$2=0,0,OFFSET(Sheet2!$B$1,Sheet1!$B$2-1,0)),$B$1/(365*100),$B$3/(365*100)))*100,1)/100</f>
        <v>-35.33</v>
      </c>
      <c r="R2329" s="9">
        <f t="shared" ca="1" si="125"/>
        <v>-86592.529790910296</v>
      </c>
    </row>
    <row r="2330" spans="7:18" x14ac:dyDescent="0.25">
      <c r="G2330" t="str">
        <f t="shared" si="126"/>
        <v>Insert into BlueCreditTypeRainbow Values (, , , , , )</v>
      </c>
      <c r="N2330" s="4">
        <v>2327</v>
      </c>
      <c r="O2330" s="8">
        <f>$B$7*COUNTIF(Sheet2!$B$1:$B$132,N2330)</f>
        <v>0</v>
      </c>
      <c r="P2330" s="8">
        <f t="shared" ca="1" si="124"/>
        <v>35.340000000000003</v>
      </c>
      <c r="Q2330" s="8">
        <f ca="1">CEILING(R2329*(IF(N2330&lt;=IF($B$2=0,0,OFFSET(Sheet2!$B$1,Sheet1!$B$2-1,0)),$B$1/(365*100),$B$3/(365*100)))*100,1)/100</f>
        <v>-35.340000000000003</v>
      </c>
      <c r="R2330" s="9">
        <f t="shared" ca="1" si="125"/>
        <v>-86627.869790910292</v>
      </c>
    </row>
    <row r="2331" spans="7:18" x14ac:dyDescent="0.25">
      <c r="G2331" t="str">
        <f t="shared" si="126"/>
        <v>Insert into BlueCreditTypeRainbow Values (, , , , , )</v>
      </c>
      <c r="N2331" s="4">
        <v>2328</v>
      </c>
      <c r="O2331" s="8">
        <f>$B$7*COUNTIF(Sheet2!$B$1:$B$132,N2331)</f>
        <v>0</v>
      </c>
      <c r="P2331" s="8">
        <f t="shared" ca="1" si="124"/>
        <v>35.36</v>
      </c>
      <c r="Q2331" s="8">
        <f ca="1">CEILING(R2330*(IF(N2331&lt;=IF($B$2=0,0,OFFSET(Sheet2!$B$1,Sheet1!$B$2-1,0)),$B$1/(365*100),$B$3/(365*100)))*100,1)/100</f>
        <v>-35.36</v>
      </c>
      <c r="R2331" s="9">
        <f t="shared" ca="1" si="125"/>
        <v>-86663.229790910293</v>
      </c>
    </row>
    <row r="2332" spans="7:18" x14ac:dyDescent="0.25">
      <c r="G2332" t="str">
        <f t="shared" si="126"/>
        <v>Insert into BlueCreditTypeRainbow Values (, , , , , )</v>
      </c>
      <c r="N2332" s="4">
        <v>2329</v>
      </c>
      <c r="O2332" s="8">
        <f>$B$7*COUNTIF(Sheet2!$B$1:$B$132,N2332)</f>
        <v>0</v>
      </c>
      <c r="P2332" s="8">
        <f t="shared" ca="1" si="124"/>
        <v>35.369999999999997</v>
      </c>
      <c r="Q2332" s="8">
        <f ca="1">CEILING(R2331*(IF(N2332&lt;=IF($B$2=0,0,OFFSET(Sheet2!$B$1,Sheet1!$B$2-1,0)),$B$1/(365*100),$B$3/(365*100)))*100,1)/100</f>
        <v>-35.369999999999997</v>
      </c>
      <c r="R2332" s="9">
        <f t="shared" ca="1" si="125"/>
        <v>-86698.599790910288</v>
      </c>
    </row>
    <row r="2333" spans="7:18" x14ac:dyDescent="0.25">
      <c r="G2333" t="str">
        <f t="shared" si="126"/>
        <v>Insert into BlueCreditTypeRainbow Values (, , , , , )</v>
      </c>
      <c r="N2333" s="4">
        <v>2330</v>
      </c>
      <c r="O2333" s="8">
        <f>$B$7*COUNTIF(Sheet2!$B$1:$B$132,N2333)</f>
        <v>0</v>
      </c>
      <c r="P2333" s="8">
        <f t="shared" ca="1" si="124"/>
        <v>35.39</v>
      </c>
      <c r="Q2333" s="8">
        <f ca="1">CEILING(R2332*(IF(N2333&lt;=IF($B$2=0,0,OFFSET(Sheet2!$B$1,Sheet1!$B$2-1,0)),$B$1/(365*100),$B$3/(365*100)))*100,1)/100</f>
        <v>-35.39</v>
      </c>
      <c r="R2333" s="9">
        <f t="shared" ca="1" si="125"/>
        <v>-86733.989790910287</v>
      </c>
    </row>
    <row r="2334" spans="7:18" x14ac:dyDescent="0.25">
      <c r="G2334" t="str">
        <f t="shared" si="126"/>
        <v>Insert into BlueCreditTypeRainbow Values (, , , , , )</v>
      </c>
      <c r="N2334" s="4">
        <v>2331</v>
      </c>
      <c r="O2334" s="8">
        <f>$B$7*COUNTIF(Sheet2!$B$1:$B$132,N2334)</f>
        <v>0</v>
      </c>
      <c r="P2334" s="8">
        <f t="shared" ca="1" si="124"/>
        <v>35.4</v>
      </c>
      <c r="Q2334" s="8">
        <f ca="1">CEILING(R2333*(IF(N2334&lt;=IF($B$2=0,0,OFFSET(Sheet2!$B$1,Sheet1!$B$2-1,0)),$B$1/(365*100),$B$3/(365*100)))*100,1)/100</f>
        <v>-35.4</v>
      </c>
      <c r="R2334" s="9">
        <f t="shared" ca="1" si="125"/>
        <v>-86769.389790910282</v>
      </c>
    </row>
    <row r="2335" spans="7:18" x14ac:dyDescent="0.25">
      <c r="G2335" t="str">
        <f t="shared" si="126"/>
        <v>Insert into BlueCreditTypeRainbow Values (, , , , , )</v>
      </c>
      <c r="N2335" s="4">
        <v>2332</v>
      </c>
      <c r="O2335" s="8">
        <f>$B$7*COUNTIF(Sheet2!$B$1:$B$132,N2335)</f>
        <v>0</v>
      </c>
      <c r="P2335" s="8">
        <f t="shared" ca="1" si="124"/>
        <v>35.42</v>
      </c>
      <c r="Q2335" s="8">
        <f ca="1">CEILING(R2334*(IF(N2335&lt;=IF($B$2=0,0,OFFSET(Sheet2!$B$1,Sheet1!$B$2-1,0)),$B$1/(365*100),$B$3/(365*100)))*100,1)/100</f>
        <v>-35.42</v>
      </c>
      <c r="R2335" s="9">
        <f t="shared" ca="1" si="125"/>
        <v>-86804.80979091028</v>
      </c>
    </row>
    <row r="2336" spans="7:18" x14ac:dyDescent="0.25">
      <c r="G2336" t="str">
        <f t="shared" si="126"/>
        <v>Insert into BlueCreditTypeRainbow Values (, , , , , )</v>
      </c>
      <c r="N2336" s="4">
        <v>2333</v>
      </c>
      <c r="O2336" s="8">
        <f>$B$7*COUNTIF(Sheet2!$B$1:$B$132,N2336)</f>
        <v>0</v>
      </c>
      <c r="P2336" s="8">
        <f t="shared" ca="1" si="124"/>
        <v>35.43</v>
      </c>
      <c r="Q2336" s="8">
        <f ca="1">CEILING(R2335*(IF(N2336&lt;=IF($B$2=0,0,OFFSET(Sheet2!$B$1,Sheet1!$B$2-1,0)),$B$1/(365*100),$B$3/(365*100)))*100,1)/100</f>
        <v>-35.43</v>
      </c>
      <c r="R2336" s="9">
        <f t="shared" ca="1" si="125"/>
        <v>-86840.239790910273</v>
      </c>
    </row>
    <row r="2337" spans="7:18" x14ac:dyDescent="0.25">
      <c r="G2337" t="str">
        <f t="shared" si="126"/>
        <v>Insert into BlueCreditTypeRainbow Values (, , , , , )</v>
      </c>
      <c r="N2337" s="4">
        <v>2334</v>
      </c>
      <c r="O2337" s="8">
        <f>$B$7*COUNTIF(Sheet2!$B$1:$B$132,N2337)</f>
        <v>0</v>
      </c>
      <c r="P2337" s="8">
        <f t="shared" ca="1" si="124"/>
        <v>35.44</v>
      </c>
      <c r="Q2337" s="8">
        <f ca="1">CEILING(R2336*(IF(N2337&lt;=IF($B$2=0,0,OFFSET(Sheet2!$B$1,Sheet1!$B$2-1,0)),$B$1/(365*100),$B$3/(365*100)))*100,1)/100</f>
        <v>-35.44</v>
      </c>
      <c r="R2337" s="9">
        <f t="shared" ca="1" si="125"/>
        <v>-86875.679790910275</v>
      </c>
    </row>
    <row r="2338" spans="7:18" x14ac:dyDescent="0.25">
      <c r="G2338" t="str">
        <f t="shared" si="126"/>
        <v>Insert into BlueCreditTypeRainbow Values (, , , , , )</v>
      </c>
      <c r="N2338" s="4">
        <v>2335</v>
      </c>
      <c r="O2338" s="8">
        <f>$B$7*COUNTIF(Sheet2!$B$1:$B$132,N2338)</f>
        <v>0</v>
      </c>
      <c r="P2338" s="8">
        <f t="shared" ca="1" si="124"/>
        <v>35.46</v>
      </c>
      <c r="Q2338" s="8">
        <f ca="1">CEILING(R2337*(IF(N2338&lt;=IF($B$2=0,0,OFFSET(Sheet2!$B$1,Sheet1!$B$2-1,0)),$B$1/(365*100),$B$3/(365*100)))*100,1)/100</f>
        <v>-35.46</v>
      </c>
      <c r="R2338" s="9">
        <f t="shared" ca="1" si="125"/>
        <v>-86911.139790910282</v>
      </c>
    </row>
    <row r="2339" spans="7:18" x14ac:dyDescent="0.25">
      <c r="G2339" t="str">
        <f t="shared" si="126"/>
        <v>Insert into BlueCreditTypeRainbow Values (, , , , , )</v>
      </c>
      <c r="N2339" s="4">
        <v>2336</v>
      </c>
      <c r="O2339" s="8">
        <f>$B$7*COUNTIF(Sheet2!$B$1:$B$132,N2339)</f>
        <v>0</v>
      </c>
      <c r="P2339" s="8">
        <f t="shared" ca="1" si="124"/>
        <v>35.47</v>
      </c>
      <c r="Q2339" s="8">
        <f ca="1">CEILING(R2338*(IF(N2339&lt;=IF($B$2=0,0,OFFSET(Sheet2!$B$1,Sheet1!$B$2-1,0)),$B$1/(365*100),$B$3/(365*100)))*100,1)/100</f>
        <v>-35.47</v>
      </c>
      <c r="R2339" s="9">
        <f t="shared" ca="1" si="125"/>
        <v>-86946.609790910283</v>
      </c>
    </row>
    <row r="2340" spans="7:18" x14ac:dyDescent="0.25">
      <c r="G2340" t="str">
        <f t="shared" si="126"/>
        <v>Insert into BlueCreditTypeRainbow Values (, , , , , )</v>
      </c>
      <c r="N2340" s="4">
        <v>2337</v>
      </c>
      <c r="O2340" s="8">
        <f>$B$7*COUNTIF(Sheet2!$B$1:$B$132,N2340)</f>
        <v>0</v>
      </c>
      <c r="P2340" s="8">
        <f t="shared" ca="1" si="124"/>
        <v>35.49</v>
      </c>
      <c r="Q2340" s="8">
        <f ca="1">CEILING(R2339*(IF(N2340&lt;=IF($B$2=0,0,OFFSET(Sheet2!$B$1,Sheet1!$B$2-1,0)),$B$1/(365*100),$B$3/(365*100)))*100,1)/100</f>
        <v>-35.49</v>
      </c>
      <c r="R2340" s="9">
        <f t="shared" ca="1" si="125"/>
        <v>-86982.099790910288</v>
      </c>
    </row>
    <row r="2341" spans="7:18" x14ac:dyDescent="0.25">
      <c r="G2341" t="str">
        <f t="shared" si="126"/>
        <v>Insert into BlueCreditTypeRainbow Values (, , , , , )</v>
      </c>
      <c r="N2341" s="4">
        <v>2338</v>
      </c>
      <c r="O2341" s="8">
        <f>$B$7*COUNTIF(Sheet2!$B$1:$B$132,N2341)</f>
        <v>0</v>
      </c>
      <c r="P2341" s="8">
        <f t="shared" ca="1" si="124"/>
        <v>35.5</v>
      </c>
      <c r="Q2341" s="8">
        <f ca="1">CEILING(R2340*(IF(N2341&lt;=IF($B$2=0,0,OFFSET(Sheet2!$B$1,Sheet1!$B$2-1,0)),$B$1/(365*100),$B$3/(365*100)))*100,1)/100</f>
        <v>-35.5</v>
      </c>
      <c r="R2341" s="9">
        <f t="shared" ca="1" si="125"/>
        <v>-87017.599790910288</v>
      </c>
    </row>
    <row r="2342" spans="7:18" x14ac:dyDescent="0.25">
      <c r="G2342" t="str">
        <f t="shared" si="126"/>
        <v>Insert into BlueCreditTypeRainbow Values (, , , , , )</v>
      </c>
      <c r="N2342" s="4">
        <v>2339</v>
      </c>
      <c r="O2342" s="8">
        <f>$B$7*COUNTIF(Sheet2!$B$1:$B$132,N2342)</f>
        <v>0</v>
      </c>
      <c r="P2342" s="8">
        <f t="shared" ca="1" si="124"/>
        <v>35.520000000000003</v>
      </c>
      <c r="Q2342" s="8">
        <f ca="1">CEILING(R2341*(IF(N2342&lt;=IF($B$2=0,0,OFFSET(Sheet2!$B$1,Sheet1!$B$2-1,0)),$B$1/(365*100),$B$3/(365*100)))*100,1)/100</f>
        <v>-35.520000000000003</v>
      </c>
      <c r="R2342" s="9">
        <f t="shared" ca="1" si="125"/>
        <v>-87053.119790910292</v>
      </c>
    </row>
    <row r="2343" spans="7:18" x14ac:dyDescent="0.25">
      <c r="G2343" t="str">
        <f t="shared" si="126"/>
        <v>Insert into BlueCreditTypeRainbow Values (, , , , , )</v>
      </c>
      <c r="N2343" s="4">
        <v>2340</v>
      </c>
      <c r="O2343" s="8">
        <f>$B$7*COUNTIF(Sheet2!$B$1:$B$132,N2343)</f>
        <v>0</v>
      </c>
      <c r="P2343" s="8">
        <f t="shared" ca="1" si="124"/>
        <v>35.53</v>
      </c>
      <c r="Q2343" s="8">
        <f ca="1">CEILING(R2342*(IF(N2343&lt;=IF($B$2=0,0,OFFSET(Sheet2!$B$1,Sheet1!$B$2-1,0)),$B$1/(365*100),$B$3/(365*100)))*100,1)/100</f>
        <v>-35.53</v>
      </c>
      <c r="R2343" s="9">
        <f t="shared" ca="1" si="125"/>
        <v>-87088.649790910291</v>
      </c>
    </row>
    <row r="2344" spans="7:18" x14ac:dyDescent="0.25">
      <c r="G2344" t="str">
        <f t="shared" si="126"/>
        <v>Insert into BlueCreditTypeRainbow Values (, , , , , )</v>
      </c>
      <c r="N2344" s="4">
        <v>2341</v>
      </c>
      <c r="O2344" s="8">
        <f>$B$7*COUNTIF(Sheet2!$B$1:$B$132,N2344)</f>
        <v>0</v>
      </c>
      <c r="P2344" s="8">
        <f t="shared" ca="1" si="124"/>
        <v>35.549999999999997</v>
      </c>
      <c r="Q2344" s="8">
        <f ca="1">CEILING(R2343*(IF(N2344&lt;=IF($B$2=0,0,OFFSET(Sheet2!$B$1,Sheet1!$B$2-1,0)),$B$1/(365*100),$B$3/(365*100)))*100,1)/100</f>
        <v>-35.549999999999997</v>
      </c>
      <c r="R2344" s="9">
        <f t="shared" ca="1" si="125"/>
        <v>-87124.199790910294</v>
      </c>
    </row>
    <row r="2345" spans="7:18" x14ac:dyDescent="0.25">
      <c r="G2345" t="str">
        <f t="shared" si="126"/>
        <v>Insert into BlueCreditTypeRainbow Values (, , , , , )</v>
      </c>
      <c r="N2345" s="4">
        <v>2342</v>
      </c>
      <c r="O2345" s="8">
        <f>$B$7*COUNTIF(Sheet2!$B$1:$B$132,N2345)</f>
        <v>0</v>
      </c>
      <c r="P2345" s="8">
        <f t="shared" ca="1" si="124"/>
        <v>35.56</v>
      </c>
      <c r="Q2345" s="8">
        <f ca="1">CEILING(R2344*(IF(N2345&lt;=IF($B$2=0,0,OFFSET(Sheet2!$B$1,Sheet1!$B$2-1,0)),$B$1/(365*100),$B$3/(365*100)))*100,1)/100</f>
        <v>-35.56</v>
      </c>
      <c r="R2345" s="9">
        <f t="shared" ca="1" si="125"/>
        <v>-87159.759790910291</v>
      </c>
    </row>
    <row r="2346" spans="7:18" x14ac:dyDescent="0.25">
      <c r="G2346" t="str">
        <f t="shared" si="126"/>
        <v>Insert into BlueCreditTypeRainbow Values (, , , , , )</v>
      </c>
      <c r="N2346" s="4">
        <v>2343</v>
      </c>
      <c r="O2346" s="8">
        <f>$B$7*COUNTIF(Sheet2!$B$1:$B$132,N2346)</f>
        <v>0</v>
      </c>
      <c r="P2346" s="8">
        <f t="shared" ca="1" si="124"/>
        <v>35.58</v>
      </c>
      <c r="Q2346" s="8">
        <f ca="1">CEILING(R2345*(IF(N2346&lt;=IF($B$2=0,0,OFFSET(Sheet2!$B$1,Sheet1!$B$2-1,0)),$B$1/(365*100),$B$3/(365*100)))*100,1)/100</f>
        <v>-35.58</v>
      </c>
      <c r="R2346" s="9">
        <f t="shared" ca="1" si="125"/>
        <v>-87195.339790910293</v>
      </c>
    </row>
    <row r="2347" spans="7:18" x14ac:dyDescent="0.25">
      <c r="G2347" t="str">
        <f t="shared" si="126"/>
        <v>Insert into BlueCreditTypeRainbow Values (, , , , , )</v>
      </c>
      <c r="N2347" s="4">
        <v>2344</v>
      </c>
      <c r="O2347" s="8">
        <f>$B$7*COUNTIF(Sheet2!$B$1:$B$132,N2347)</f>
        <v>0</v>
      </c>
      <c r="P2347" s="8">
        <f t="shared" ca="1" si="124"/>
        <v>35.590000000000003</v>
      </c>
      <c r="Q2347" s="8">
        <f ca="1">CEILING(R2346*(IF(N2347&lt;=IF($B$2=0,0,OFFSET(Sheet2!$B$1,Sheet1!$B$2-1,0)),$B$1/(365*100),$B$3/(365*100)))*100,1)/100</f>
        <v>-35.590000000000003</v>
      </c>
      <c r="R2347" s="9">
        <f t="shared" ca="1" si="125"/>
        <v>-87230.92979091029</v>
      </c>
    </row>
    <row r="2348" spans="7:18" x14ac:dyDescent="0.25">
      <c r="G2348" t="str">
        <f t="shared" si="126"/>
        <v>Insert into BlueCreditTypeRainbow Values (, , , , , )</v>
      </c>
      <c r="N2348" s="4">
        <v>2345</v>
      </c>
      <c r="O2348" s="8">
        <f>$B$7*COUNTIF(Sheet2!$B$1:$B$132,N2348)</f>
        <v>0</v>
      </c>
      <c r="P2348" s="8">
        <f t="shared" ca="1" si="124"/>
        <v>35.6</v>
      </c>
      <c r="Q2348" s="8">
        <f ca="1">CEILING(R2347*(IF(N2348&lt;=IF($B$2=0,0,OFFSET(Sheet2!$B$1,Sheet1!$B$2-1,0)),$B$1/(365*100),$B$3/(365*100)))*100,1)/100</f>
        <v>-35.6</v>
      </c>
      <c r="R2348" s="9">
        <f t="shared" ca="1" si="125"/>
        <v>-87266.529790910296</v>
      </c>
    </row>
    <row r="2349" spans="7:18" x14ac:dyDescent="0.25">
      <c r="G2349" t="str">
        <f t="shared" si="126"/>
        <v>Insert into BlueCreditTypeRainbow Values (, , , , , )</v>
      </c>
      <c r="N2349" s="4">
        <v>2346</v>
      </c>
      <c r="O2349" s="8">
        <f>$B$7*COUNTIF(Sheet2!$B$1:$B$132,N2349)</f>
        <v>21157.10552356458</v>
      </c>
      <c r="P2349" s="8">
        <f t="shared" ca="1" si="124"/>
        <v>21192.725523564579</v>
      </c>
      <c r="Q2349" s="8">
        <f ca="1">CEILING(R2348*(IF(N2349&lt;=IF($B$2=0,0,OFFSET(Sheet2!$B$1,Sheet1!$B$2-1,0)),$B$1/(365*100),$B$3/(365*100)))*100,1)/100</f>
        <v>-35.619999999999997</v>
      </c>
      <c r="R2349" s="9">
        <f t="shared" ca="1" si="125"/>
        <v>-108459.25531447487</v>
      </c>
    </row>
    <row r="2350" spans="7:18" x14ac:dyDescent="0.25">
      <c r="G2350" t="str">
        <f t="shared" si="126"/>
        <v>Insert into BlueCreditTypeRainbow Values (, , , , , )</v>
      </c>
      <c r="N2350" s="4">
        <v>2347</v>
      </c>
      <c r="O2350" s="8">
        <f>$B$7*COUNTIF(Sheet2!$B$1:$B$132,N2350)</f>
        <v>0</v>
      </c>
      <c r="P2350" s="8">
        <f t="shared" ca="1" si="124"/>
        <v>44.27</v>
      </c>
      <c r="Q2350" s="8">
        <f ca="1">CEILING(R2349*(IF(N2350&lt;=IF($B$2=0,0,OFFSET(Sheet2!$B$1,Sheet1!$B$2-1,0)),$B$1/(365*100),$B$3/(365*100)))*100,1)/100</f>
        <v>-44.27</v>
      </c>
      <c r="R2350" s="9">
        <f t="shared" ca="1" si="125"/>
        <v>-108503.52531447487</v>
      </c>
    </row>
    <row r="2351" spans="7:18" x14ac:dyDescent="0.25">
      <c r="G2351" t="str">
        <f t="shared" si="126"/>
        <v>Insert into BlueCreditTypeRainbow Values (, , , , , )</v>
      </c>
      <c r="N2351" s="4">
        <v>2348</v>
      </c>
      <c r="O2351" s="8">
        <f>$B$7*COUNTIF(Sheet2!$B$1:$B$132,N2351)</f>
        <v>0</v>
      </c>
      <c r="P2351" s="8">
        <f t="shared" ca="1" si="124"/>
        <v>44.29</v>
      </c>
      <c r="Q2351" s="8">
        <f ca="1">CEILING(R2350*(IF(N2351&lt;=IF($B$2=0,0,OFFSET(Sheet2!$B$1,Sheet1!$B$2-1,0)),$B$1/(365*100),$B$3/(365*100)))*100,1)/100</f>
        <v>-44.29</v>
      </c>
      <c r="R2351" s="9">
        <f t="shared" ca="1" si="125"/>
        <v>-108547.81531447486</v>
      </c>
    </row>
    <row r="2352" spans="7:18" x14ac:dyDescent="0.25">
      <c r="G2352" t="str">
        <f t="shared" si="126"/>
        <v>Insert into BlueCreditTypeRainbow Values (, , , , , )</v>
      </c>
      <c r="N2352" s="4">
        <v>2349</v>
      </c>
      <c r="O2352" s="8">
        <f>$B$7*COUNTIF(Sheet2!$B$1:$B$132,N2352)</f>
        <v>0</v>
      </c>
      <c r="P2352" s="8">
        <f t="shared" ca="1" si="124"/>
        <v>44.31</v>
      </c>
      <c r="Q2352" s="8">
        <f ca="1">CEILING(R2351*(IF(N2352&lt;=IF($B$2=0,0,OFFSET(Sheet2!$B$1,Sheet1!$B$2-1,0)),$B$1/(365*100),$B$3/(365*100)))*100,1)/100</f>
        <v>-44.31</v>
      </c>
      <c r="R2352" s="9">
        <f t="shared" ca="1" si="125"/>
        <v>-108592.12531447486</v>
      </c>
    </row>
    <row r="2353" spans="7:18" x14ac:dyDescent="0.25">
      <c r="G2353" t="str">
        <f t="shared" si="126"/>
        <v>Insert into BlueCreditTypeRainbow Values (, , , , , )</v>
      </c>
      <c r="N2353" s="4">
        <v>2350</v>
      </c>
      <c r="O2353" s="8">
        <f>$B$7*COUNTIF(Sheet2!$B$1:$B$132,N2353)</f>
        <v>0</v>
      </c>
      <c r="P2353" s="8">
        <f t="shared" ca="1" si="124"/>
        <v>44.32</v>
      </c>
      <c r="Q2353" s="8">
        <f ca="1">CEILING(R2352*(IF(N2353&lt;=IF($B$2=0,0,OFFSET(Sheet2!$B$1,Sheet1!$B$2-1,0)),$B$1/(365*100),$B$3/(365*100)))*100,1)/100</f>
        <v>-44.32</v>
      </c>
      <c r="R2353" s="9">
        <f t="shared" ca="1" si="125"/>
        <v>-108636.44531447487</v>
      </c>
    </row>
    <row r="2354" spans="7:18" x14ac:dyDescent="0.25">
      <c r="G2354" t="str">
        <f t="shared" si="126"/>
        <v>Insert into BlueCreditTypeRainbow Values (, , , , , )</v>
      </c>
      <c r="N2354" s="4">
        <v>2351</v>
      </c>
      <c r="O2354" s="8">
        <f>$B$7*COUNTIF(Sheet2!$B$1:$B$132,N2354)</f>
        <v>0</v>
      </c>
      <c r="P2354" s="8">
        <f t="shared" ca="1" si="124"/>
        <v>44.34</v>
      </c>
      <c r="Q2354" s="8">
        <f ca="1">CEILING(R2353*(IF(N2354&lt;=IF($B$2=0,0,OFFSET(Sheet2!$B$1,Sheet1!$B$2-1,0)),$B$1/(365*100),$B$3/(365*100)))*100,1)/100</f>
        <v>-44.34</v>
      </c>
      <c r="R2354" s="9">
        <f t="shared" ca="1" si="125"/>
        <v>-108680.78531447487</v>
      </c>
    </row>
    <row r="2355" spans="7:18" x14ac:dyDescent="0.25">
      <c r="G2355" t="str">
        <f t="shared" si="126"/>
        <v>Insert into BlueCreditTypeRainbow Values (, , , , , )</v>
      </c>
      <c r="N2355" s="4">
        <v>2352</v>
      </c>
      <c r="O2355" s="8">
        <f>$B$7*COUNTIF(Sheet2!$B$1:$B$132,N2355)</f>
        <v>0</v>
      </c>
      <c r="P2355" s="8">
        <f t="shared" ca="1" si="124"/>
        <v>44.36</v>
      </c>
      <c r="Q2355" s="8">
        <f ca="1">CEILING(R2354*(IF(N2355&lt;=IF($B$2=0,0,OFFSET(Sheet2!$B$1,Sheet1!$B$2-1,0)),$B$1/(365*100),$B$3/(365*100)))*100,1)/100</f>
        <v>-44.36</v>
      </c>
      <c r="R2355" s="9">
        <f t="shared" ca="1" si="125"/>
        <v>-108725.14531447487</v>
      </c>
    </row>
    <row r="2356" spans="7:18" x14ac:dyDescent="0.25">
      <c r="G2356" t="str">
        <f t="shared" si="126"/>
        <v>Insert into BlueCreditTypeRainbow Values (, , , , , )</v>
      </c>
      <c r="N2356" s="4">
        <v>2353</v>
      </c>
      <c r="O2356" s="8">
        <f>$B$7*COUNTIF(Sheet2!$B$1:$B$132,N2356)</f>
        <v>0</v>
      </c>
      <c r="P2356" s="8">
        <f t="shared" ca="1" si="124"/>
        <v>44.38</v>
      </c>
      <c r="Q2356" s="8">
        <f ca="1">CEILING(R2355*(IF(N2356&lt;=IF($B$2=0,0,OFFSET(Sheet2!$B$1,Sheet1!$B$2-1,0)),$B$1/(365*100),$B$3/(365*100)))*100,1)/100</f>
        <v>-44.38</v>
      </c>
      <c r="R2356" s="9">
        <f t="shared" ca="1" si="125"/>
        <v>-108769.52531447487</v>
      </c>
    </row>
    <row r="2357" spans="7:18" x14ac:dyDescent="0.25">
      <c r="G2357" t="str">
        <f t="shared" si="126"/>
        <v>Insert into BlueCreditTypeRainbow Values (, , , , , )</v>
      </c>
      <c r="N2357" s="4">
        <v>2354</v>
      </c>
      <c r="O2357" s="8">
        <f>$B$7*COUNTIF(Sheet2!$B$1:$B$132,N2357)</f>
        <v>0</v>
      </c>
      <c r="P2357" s="8">
        <f t="shared" ca="1" si="124"/>
        <v>44.4</v>
      </c>
      <c r="Q2357" s="8">
        <f ca="1">CEILING(R2356*(IF(N2357&lt;=IF($B$2=0,0,OFFSET(Sheet2!$B$1,Sheet1!$B$2-1,0)),$B$1/(365*100),$B$3/(365*100)))*100,1)/100</f>
        <v>-44.4</v>
      </c>
      <c r="R2357" s="9">
        <f t="shared" ca="1" si="125"/>
        <v>-108813.92531447487</v>
      </c>
    </row>
    <row r="2358" spans="7:18" x14ac:dyDescent="0.25">
      <c r="G2358" t="str">
        <f t="shared" si="126"/>
        <v>Insert into BlueCreditTypeRainbow Values (, , , , , )</v>
      </c>
      <c r="N2358" s="4">
        <v>2355</v>
      </c>
      <c r="O2358" s="8">
        <f>$B$7*COUNTIF(Sheet2!$B$1:$B$132,N2358)</f>
        <v>0</v>
      </c>
      <c r="P2358" s="8">
        <f t="shared" ca="1" si="124"/>
        <v>44.41</v>
      </c>
      <c r="Q2358" s="8">
        <f ca="1">CEILING(R2357*(IF(N2358&lt;=IF($B$2=0,0,OFFSET(Sheet2!$B$1,Sheet1!$B$2-1,0)),$B$1/(365*100),$B$3/(365*100)))*100,1)/100</f>
        <v>-44.41</v>
      </c>
      <c r="R2358" s="9">
        <f t="shared" ca="1" si="125"/>
        <v>-108858.33531447487</v>
      </c>
    </row>
    <row r="2359" spans="7:18" x14ac:dyDescent="0.25">
      <c r="G2359" t="str">
        <f t="shared" si="126"/>
        <v>Insert into BlueCreditTypeRainbow Values (, , , , , )</v>
      </c>
      <c r="N2359" s="4">
        <v>2356</v>
      </c>
      <c r="O2359" s="8">
        <f>$B$7*COUNTIF(Sheet2!$B$1:$B$132,N2359)</f>
        <v>0</v>
      </c>
      <c r="P2359" s="8">
        <f t="shared" ca="1" si="124"/>
        <v>44.43</v>
      </c>
      <c r="Q2359" s="8">
        <f ca="1">CEILING(R2358*(IF(N2359&lt;=IF($B$2=0,0,OFFSET(Sheet2!$B$1,Sheet1!$B$2-1,0)),$B$1/(365*100),$B$3/(365*100)))*100,1)/100</f>
        <v>-44.43</v>
      </c>
      <c r="R2359" s="9">
        <f t="shared" ca="1" si="125"/>
        <v>-108902.76531447486</v>
      </c>
    </row>
    <row r="2360" spans="7:18" x14ac:dyDescent="0.25">
      <c r="G2360" t="str">
        <f t="shared" si="126"/>
        <v>Insert into BlueCreditTypeRainbow Values (, , , , , )</v>
      </c>
      <c r="N2360" s="4">
        <v>2357</v>
      </c>
      <c r="O2360" s="8">
        <f>$B$7*COUNTIF(Sheet2!$B$1:$B$132,N2360)</f>
        <v>0</v>
      </c>
      <c r="P2360" s="8">
        <f t="shared" ca="1" si="124"/>
        <v>44.45</v>
      </c>
      <c r="Q2360" s="8">
        <f ca="1">CEILING(R2359*(IF(N2360&lt;=IF($B$2=0,0,OFFSET(Sheet2!$B$1,Sheet1!$B$2-1,0)),$B$1/(365*100),$B$3/(365*100)))*100,1)/100</f>
        <v>-44.45</v>
      </c>
      <c r="R2360" s="9">
        <f t="shared" ca="1" si="125"/>
        <v>-108947.21531447486</v>
      </c>
    </row>
    <row r="2361" spans="7:18" x14ac:dyDescent="0.25">
      <c r="G2361" t="str">
        <f t="shared" si="126"/>
        <v>Insert into BlueCreditTypeRainbow Values (, , , , , )</v>
      </c>
      <c r="N2361" s="4">
        <v>2358</v>
      </c>
      <c r="O2361" s="8">
        <f>$B$7*COUNTIF(Sheet2!$B$1:$B$132,N2361)</f>
        <v>0</v>
      </c>
      <c r="P2361" s="8">
        <f t="shared" ca="1" si="124"/>
        <v>44.47</v>
      </c>
      <c r="Q2361" s="8">
        <f ca="1">CEILING(R2360*(IF(N2361&lt;=IF($B$2=0,0,OFFSET(Sheet2!$B$1,Sheet1!$B$2-1,0)),$B$1/(365*100),$B$3/(365*100)))*100,1)/100</f>
        <v>-44.47</v>
      </c>
      <c r="R2361" s="9">
        <f t="shared" ca="1" si="125"/>
        <v>-108991.68531447486</v>
      </c>
    </row>
    <row r="2362" spans="7:18" x14ac:dyDescent="0.25">
      <c r="G2362" t="str">
        <f t="shared" si="126"/>
        <v>Insert into BlueCreditTypeRainbow Values (, , , , , )</v>
      </c>
      <c r="N2362" s="4">
        <v>2359</v>
      </c>
      <c r="O2362" s="8">
        <f>$B$7*COUNTIF(Sheet2!$B$1:$B$132,N2362)</f>
        <v>0</v>
      </c>
      <c r="P2362" s="8">
        <f t="shared" ca="1" si="124"/>
        <v>44.49</v>
      </c>
      <c r="Q2362" s="8">
        <f ca="1">CEILING(R2361*(IF(N2362&lt;=IF($B$2=0,0,OFFSET(Sheet2!$B$1,Sheet1!$B$2-1,0)),$B$1/(365*100),$B$3/(365*100)))*100,1)/100</f>
        <v>-44.49</v>
      </c>
      <c r="R2362" s="9">
        <f t="shared" ca="1" si="125"/>
        <v>-109036.17531447487</v>
      </c>
    </row>
    <row r="2363" spans="7:18" x14ac:dyDescent="0.25">
      <c r="G2363" t="str">
        <f t="shared" si="126"/>
        <v>Insert into BlueCreditTypeRainbow Values (, , , , , )</v>
      </c>
      <c r="N2363" s="4">
        <v>2360</v>
      </c>
      <c r="O2363" s="8">
        <f>$B$7*COUNTIF(Sheet2!$B$1:$B$132,N2363)</f>
        <v>0</v>
      </c>
      <c r="P2363" s="8">
        <f t="shared" ca="1" si="124"/>
        <v>44.51</v>
      </c>
      <c r="Q2363" s="8">
        <f ca="1">CEILING(R2362*(IF(N2363&lt;=IF($B$2=0,0,OFFSET(Sheet2!$B$1,Sheet1!$B$2-1,0)),$B$1/(365*100),$B$3/(365*100)))*100,1)/100</f>
        <v>-44.51</v>
      </c>
      <c r="R2363" s="9">
        <f t="shared" ca="1" si="125"/>
        <v>-109080.68531447486</v>
      </c>
    </row>
    <row r="2364" spans="7:18" x14ac:dyDescent="0.25">
      <c r="G2364" t="str">
        <f t="shared" si="126"/>
        <v>Insert into BlueCreditTypeRainbow Values (, , , , , )</v>
      </c>
      <c r="N2364" s="4">
        <v>2361</v>
      </c>
      <c r="O2364" s="8">
        <f>$B$7*COUNTIF(Sheet2!$B$1:$B$132,N2364)</f>
        <v>0</v>
      </c>
      <c r="P2364" s="8">
        <f t="shared" ca="1" si="124"/>
        <v>44.52</v>
      </c>
      <c r="Q2364" s="8">
        <f ca="1">CEILING(R2363*(IF(N2364&lt;=IF($B$2=0,0,OFFSET(Sheet2!$B$1,Sheet1!$B$2-1,0)),$B$1/(365*100),$B$3/(365*100)))*100,1)/100</f>
        <v>-44.52</v>
      </c>
      <c r="R2364" s="9">
        <f t="shared" ca="1" si="125"/>
        <v>-109125.20531447486</v>
      </c>
    </row>
    <row r="2365" spans="7:18" x14ac:dyDescent="0.25">
      <c r="G2365" t="str">
        <f t="shared" si="126"/>
        <v>Insert into BlueCreditTypeRainbow Values (, , , , , )</v>
      </c>
      <c r="N2365" s="4">
        <v>2362</v>
      </c>
      <c r="O2365" s="8">
        <f>$B$7*COUNTIF(Sheet2!$B$1:$B$132,N2365)</f>
        <v>0</v>
      </c>
      <c r="P2365" s="8">
        <f t="shared" ca="1" si="124"/>
        <v>44.54</v>
      </c>
      <c r="Q2365" s="8">
        <f ca="1">CEILING(R2364*(IF(N2365&lt;=IF($B$2=0,0,OFFSET(Sheet2!$B$1,Sheet1!$B$2-1,0)),$B$1/(365*100),$B$3/(365*100)))*100,1)/100</f>
        <v>-44.54</v>
      </c>
      <c r="R2365" s="9">
        <f t="shared" ca="1" si="125"/>
        <v>-109169.74531447486</v>
      </c>
    </row>
    <row r="2366" spans="7:18" x14ac:dyDescent="0.25">
      <c r="G2366" t="str">
        <f t="shared" si="126"/>
        <v>Insert into BlueCreditTypeRainbow Values (, , , , , )</v>
      </c>
      <c r="N2366" s="4">
        <v>2363</v>
      </c>
      <c r="O2366" s="8">
        <f>$B$7*COUNTIF(Sheet2!$B$1:$B$132,N2366)</f>
        <v>0</v>
      </c>
      <c r="P2366" s="8">
        <f t="shared" ca="1" si="124"/>
        <v>44.56</v>
      </c>
      <c r="Q2366" s="8">
        <f ca="1">CEILING(R2365*(IF(N2366&lt;=IF($B$2=0,0,OFFSET(Sheet2!$B$1,Sheet1!$B$2-1,0)),$B$1/(365*100),$B$3/(365*100)))*100,1)/100</f>
        <v>-44.56</v>
      </c>
      <c r="R2366" s="9">
        <f t="shared" ca="1" si="125"/>
        <v>-109214.30531447486</v>
      </c>
    </row>
    <row r="2367" spans="7:18" x14ac:dyDescent="0.25">
      <c r="G2367" t="str">
        <f t="shared" si="126"/>
        <v>Insert into BlueCreditTypeRainbow Values (, , , , , )</v>
      </c>
      <c r="N2367" s="4">
        <v>2364</v>
      </c>
      <c r="O2367" s="8">
        <f>$B$7*COUNTIF(Sheet2!$B$1:$B$132,N2367)</f>
        <v>0</v>
      </c>
      <c r="P2367" s="8">
        <f t="shared" ref="P2367:P2430" ca="1" si="127">IF(O2367-Q2367&gt; 0, O2367-Q2367, 0)</f>
        <v>44.58</v>
      </c>
      <c r="Q2367" s="8">
        <f ca="1">CEILING(R2366*(IF(N2367&lt;=IF($B$2=0,0,OFFSET(Sheet2!$B$1,Sheet1!$B$2-1,0)),$B$1/(365*100),$B$3/(365*100)))*100,1)/100</f>
        <v>-44.58</v>
      </c>
      <c r="R2367" s="9">
        <f t="shared" ref="R2367:R2430" ca="1" si="128">R2366+Q2367-O2367</f>
        <v>-109258.88531447486</v>
      </c>
    </row>
    <row r="2368" spans="7:18" x14ac:dyDescent="0.25">
      <c r="G2368" t="str">
        <f t="shared" si="126"/>
        <v>Insert into BlueCreditTypeRainbow Values (, , , , , )</v>
      </c>
      <c r="N2368" s="4">
        <v>2365</v>
      </c>
      <c r="O2368" s="8">
        <f>$B$7*COUNTIF(Sheet2!$B$1:$B$132,N2368)</f>
        <v>0</v>
      </c>
      <c r="P2368" s="8">
        <f t="shared" ca="1" si="127"/>
        <v>44.6</v>
      </c>
      <c r="Q2368" s="8">
        <f ca="1">CEILING(R2367*(IF(N2368&lt;=IF($B$2=0,0,OFFSET(Sheet2!$B$1,Sheet1!$B$2-1,0)),$B$1/(365*100),$B$3/(365*100)))*100,1)/100</f>
        <v>-44.6</v>
      </c>
      <c r="R2368" s="9">
        <f t="shared" ca="1" si="128"/>
        <v>-109303.48531447486</v>
      </c>
    </row>
    <row r="2369" spans="7:18" x14ac:dyDescent="0.25">
      <c r="G2369" t="str">
        <f t="shared" si="126"/>
        <v>Insert into BlueCreditTypeRainbow Values (, , , , , )</v>
      </c>
      <c r="N2369" s="4">
        <v>2366</v>
      </c>
      <c r="O2369" s="8">
        <f>$B$7*COUNTIF(Sheet2!$B$1:$B$132,N2369)</f>
        <v>0</v>
      </c>
      <c r="P2369" s="8">
        <f t="shared" ca="1" si="127"/>
        <v>44.61</v>
      </c>
      <c r="Q2369" s="8">
        <f ca="1">CEILING(R2368*(IF(N2369&lt;=IF($B$2=0,0,OFFSET(Sheet2!$B$1,Sheet1!$B$2-1,0)),$B$1/(365*100),$B$3/(365*100)))*100,1)/100</f>
        <v>-44.61</v>
      </c>
      <c r="R2369" s="9">
        <f t="shared" ca="1" si="128"/>
        <v>-109348.09531447486</v>
      </c>
    </row>
    <row r="2370" spans="7:18" x14ac:dyDescent="0.25">
      <c r="G2370" t="str">
        <f t="shared" si="126"/>
        <v>Insert into BlueCreditTypeRainbow Values (, , , , , )</v>
      </c>
      <c r="N2370" s="4">
        <v>2367</v>
      </c>
      <c r="O2370" s="8">
        <f>$B$7*COUNTIF(Sheet2!$B$1:$B$132,N2370)</f>
        <v>0</v>
      </c>
      <c r="P2370" s="8">
        <f t="shared" ca="1" si="127"/>
        <v>44.63</v>
      </c>
      <c r="Q2370" s="8">
        <f ca="1">CEILING(R2369*(IF(N2370&lt;=IF($B$2=0,0,OFFSET(Sheet2!$B$1,Sheet1!$B$2-1,0)),$B$1/(365*100),$B$3/(365*100)))*100,1)/100</f>
        <v>-44.63</v>
      </c>
      <c r="R2370" s="9">
        <f t="shared" ca="1" si="128"/>
        <v>-109392.72531447487</v>
      </c>
    </row>
    <row r="2371" spans="7:18" x14ac:dyDescent="0.25">
      <c r="G2371" t="str">
        <f t="shared" si="126"/>
        <v>Insert into BlueCreditTypeRainbow Values (, , , , , )</v>
      </c>
      <c r="N2371" s="4">
        <v>2368</v>
      </c>
      <c r="O2371" s="8">
        <f>$B$7*COUNTIF(Sheet2!$B$1:$B$132,N2371)</f>
        <v>0</v>
      </c>
      <c r="P2371" s="8">
        <f t="shared" ca="1" si="127"/>
        <v>44.65</v>
      </c>
      <c r="Q2371" s="8">
        <f ca="1">CEILING(R2370*(IF(N2371&lt;=IF($B$2=0,0,OFFSET(Sheet2!$B$1,Sheet1!$B$2-1,0)),$B$1/(365*100),$B$3/(365*100)))*100,1)/100</f>
        <v>-44.65</v>
      </c>
      <c r="R2371" s="9">
        <f t="shared" ca="1" si="128"/>
        <v>-109437.37531447486</v>
      </c>
    </row>
    <row r="2372" spans="7:18" x14ac:dyDescent="0.25">
      <c r="G2372" t="str">
        <f t="shared" si="126"/>
        <v>Insert into BlueCreditTypeRainbow Values (, , , , , )</v>
      </c>
      <c r="N2372" s="4">
        <v>2369</v>
      </c>
      <c r="O2372" s="8">
        <f>$B$7*COUNTIF(Sheet2!$B$1:$B$132,N2372)</f>
        <v>0</v>
      </c>
      <c r="P2372" s="8">
        <f t="shared" ca="1" si="127"/>
        <v>44.67</v>
      </c>
      <c r="Q2372" s="8">
        <f ca="1">CEILING(R2371*(IF(N2372&lt;=IF($B$2=0,0,OFFSET(Sheet2!$B$1,Sheet1!$B$2-1,0)),$B$1/(365*100),$B$3/(365*100)))*100,1)/100</f>
        <v>-44.67</v>
      </c>
      <c r="R2372" s="9">
        <f t="shared" ca="1" si="128"/>
        <v>-109482.04531447486</v>
      </c>
    </row>
    <row r="2373" spans="7:18" x14ac:dyDescent="0.25">
      <c r="G2373" t="str">
        <f t="shared" si="126"/>
        <v>Insert into BlueCreditTypeRainbow Values (, , , , , )</v>
      </c>
      <c r="N2373" s="4">
        <v>2370</v>
      </c>
      <c r="O2373" s="8">
        <f>$B$7*COUNTIF(Sheet2!$B$1:$B$132,N2373)</f>
        <v>0</v>
      </c>
      <c r="P2373" s="8">
        <f t="shared" ca="1" si="127"/>
        <v>44.69</v>
      </c>
      <c r="Q2373" s="8">
        <f ca="1">CEILING(R2372*(IF(N2373&lt;=IF($B$2=0,0,OFFSET(Sheet2!$B$1,Sheet1!$B$2-1,0)),$B$1/(365*100),$B$3/(365*100)))*100,1)/100</f>
        <v>-44.69</v>
      </c>
      <c r="R2373" s="9">
        <f t="shared" ca="1" si="128"/>
        <v>-109526.73531447486</v>
      </c>
    </row>
    <row r="2374" spans="7:18" x14ac:dyDescent="0.25">
      <c r="G2374" t="str">
        <f t="shared" si="126"/>
        <v>Insert into BlueCreditTypeRainbow Values (, , , , , )</v>
      </c>
      <c r="N2374" s="4">
        <v>2371</v>
      </c>
      <c r="O2374" s="8">
        <f>$B$7*COUNTIF(Sheet2!$B$1:$B$132,N2374)</f>
        <v>0</v>
      </c>
      <c r="P2374" s="8">
        <f t="shared" ca="1" si="127"/>
        <v>44.71</v>
      </c>
      <c r="Q2374" s="8">
        <f ca="1">CEILING(R2373*(IF(N2374&lt;=IF($B$2=0,0,OFFSET(Sheet2!$B$1,Sheet1!$B$2-1,0)),$B$1/(365*100),$B$3/(365*100)))*100,1)/100</f>
        <v>-44.71</v>
      </c>
      <c r="R2374" s="9">
        <f t="shared" ca="1" si="128"/>
        <v>-109571.44531447487</v>
      </c>
    </row>
    <row r="2375" spans="7:18" x14ac:dyDescent="0.25">
      <c r="G2375" t="str">
        <f t="shared" si="126"/>
        <v>Insert into BlueCreditTypeRainbow Values (, , , , , )</v>
      </c>
      <c r="N2375" s="4">
        <v>2372</v>
      </c>
      <c r="O2375" s="8">
        <f>$B$7*COUNTIF(Sheet2!$B$1:$B$132,N2375)</f>
        <v>0</v>
      </c>
      <c r="P2375" s="8">
        <f t="shared" ca="1" si="127"/>
        <v>44.72</v>
      </c>
      <c r="Q2375" s="8">
        <f ca="1">CEILING(R2374*(IF(N2375&lt;=IF($B$2=0,0,OFFSET(Sheet2!$B$1,Sheet1!$B$2-1,0)),$B$1/(365*100),$B$3/(365*100)))*100,1)/100</f>
        <v>-44.72</v>
      </c>
      <c r="R2375" s="9">
        <f t="shared" ca="1" si="128"/>
        <v>-109616.16531447487</v>
      </c>
    </row>
    <row r="2376" spans="7:18" x14ac:dyDescent="0.25">
      <c r="G2376" t="str">
        <f t="shared" si="126"/>
        <v>Insert into BlueCreditTypeRainbow Values (, , , , , )</v>
      </c>
      <c r="N2376" s="4">
        <v>2373</v>
      </c>
      <c r="O2376" s="8">
        <f>$B$7*COUNTIF(Sheet2!$B$1:$B$132,N2376)</f>
        <v>0</v>
      </c>
      <c r="P2376" s="8">
        <f t="shared" ca="1" si="127"/>
        <v>44.74</v>
      </c>
      <c r="Q2376" s="8">
        <f ca="1">CEILING(R2375*(IF(N2376&lt;=IF($B$2=0,0,OFFSET(Sheet2!$B$1,Sheet1!$B$2-1,0)),$B$1/(365*100),$B$3/(365*100)))*100,1)/100</f>
        <v>-44.74</v>
      </c>
      <c r="R2376" s="9">
        <f t="shared" ca="1" si="128"/>
        <v>-109660.90531447488</v>
      </c>
    </row>
    <row r="2377" spans="7:18" x14ac:dyDescent="0.25">
      <c r="G2377" t="str">
        <f t="shared" si="126"/>
        <v>Insert into BlueCreditTypeRainbow Values (, , , , , )</v>
      </c>
      <c r="N2377" s="4">
        <v>2374</v>
      </c>
      <c r="O2377" s="8">
        <f>$B$7*COUNTIF(Sheet2!$B$1:$B$132,N2377)</f>
        <v>0</v>
      </c>
      <c r="P2377" s="8">
        <f t="shared" ca="1" si="127"/>
        <v>44.76</v>
      </c>
      <c r="Q2377" s="8">
        <f ca="1">CEILING(R2376*(IF(N2377&lt;=IF($B$2=0,0,OFFSET(Sheet2!$B$1,Sheet1!$B$2-1,0)),$B$1/(365*100),$B$3/(365*100)))*100,1)/100</f>
        <v>-44.76</v>
      </c>
      <c r="R2377" s="9">
        <f t="shared" ca="1" si="128"/>
        <v>-109705.66531447487</v>
      </c>
    </row>
    <row r="2378" spans="7:18" x14ac:dyDescent="0.25">
      <c r="G2378" t="str">
        <f t="shared" si="126"/>
        <v>Insert into BlueCreditTypeRainbow Values (, , , , , )</v>
      </c>
      <c r="N2378" s="4">
        <v>2375</v>
      </c>
      <c r="O2378" s="8">
        <f>$B$7*COUNTIF(Sheet2!$B$1:$B$132,N2378)</f>
        <v>0</v>
      </c>
      <c r="P2378" s="8">
        <f t="shared" ca="1" si="127"/>
        <v>44.78</v>
      </c>
      <c r="Q2378" s="8">
        <f ca="1">CEILING(R2377*(IF(N2378&lt;=IF($B$2=0,0,OFFSET(Sheet2!$B$1,Sheet1!$B$2-1,0)),$B$1/(365*100),$B$3/(365*100)))*100,1)/100</f>
        <v>-44.78</v>
      </c>
      <c r="R2378" s="9">
        <f t="shared" ca="1" si="128"/>
        <v>-109750.44531447487</v>
      </c>
    </row>
    <row r="2379" spans="7:18" x14ac:dyDescent="0.25">
      <c r="G2379" t="str">
        <f t="shared" si="126"/>
        <v>Insert into BlueCreditTypeRainbow Values (, , , , , )</v>
      </c>
      <c r="N2379" s="4">
        <v>2376</v>
      </c>
      <c r="O2379" s="8">
        <f>$B$7*COUNTIF(Sheet2!$B$1:$B$132,N2379)</f>
        <v>21157.10552356458</v>
      </c>
      <c r="P2379" s="8">
        <f t="shared" ca="1" si="127"/>
        <v>21201.905523564579</v>
      </c>
      <c r="Q2379" s="8">
        <f ca="1">CEILING(R2378*(IF(N2379&lt;=IF($B$2=0,0,OFFSET(Sheet2!$B$1,Sheet1!$B$2-1,0)),$B$1/(365*100),$B$3/(365*100)))*100,1)/100</f>
        <v>-44.8</v>
      </c>
      <c r="R2379" s="9">
        <f t="shared" ca="1" si="128"/>
        <v>-130952.35083803945</v>
      </c>
    </row>
    <row r="2380" spans="7:18" x14ac:dyDescent="0.25">
      <c r="G2380" t="str">
        <f t="shared" si="126"/>
        <v>Insert into BlueCreditTypeRainbow Values (, , , , , )</v>
      </c>
      <c r="N2380" s="4">
        <v>2377</v>
      </c>
      <c r="O2380" s="8">
        <f>$B$7*COUNTIF(Sheet2!$B$1:$B$132,N2380)</f>
        <v>0</v>
      </c>
      <c r="P2380" s="8">
        <f t="shared" ca="1" si="127"/>
        <v>53.45</v>
      </c>
      <c r="Q2380" s="8">
        <f ca="1">CEILING(R2379*(IF(N2380&lt;=IF($B$2=0,0,OFFSET(Sheet2!$B$1,Sheet1!$B$2-1,0)),$B$1/(365*100),$B$3/(365*100)))*100,1)/100</f>
        <v>-53.45</v>
      </c>
      <c r="R2380" s="9">
        <f t="shared" ca="1" si="128"/>
        <v>-131005.80083803945</v>
      </c>
    </row>
    <row r="2381" spans="7:18" x14ac:dyDescent="0.25">
      <c r="G2381" t="str">
        <f t="shared" si="126"/>
        <v>Insert into BlueCreditTypeRainbow Values (, , , , , )</v>
      </c>
      <c r="N2381" s="4">
        <v>2378</v>
      </c>
      <c r="O2381" s="8">
        <f>$B$7*COUNTIF(Sheet2!$B$1:$B$132,N2381)</f>
        <v>0</v>
      </c>
      <c r="P2381" s="8">
        <f t="shared" ca="1" si="127"/>
        <v>53.47</v>
      </c>
      <c r="Q2381" s="8">
        <f ca="1">CEILING(R2380*(IF(N2381&lt;=IF($B$2=0,0,OFFSET(Sheet2!$B$1,Sheet1!$B$2-1,0)),$B$1/(365*100),$B$3/(365*100)))*100,1)/100</f>
        <v>-53.47</v>
      </c>
      <c r="R2381" s="9">
        <f t="shared" ca="1" si="128"/>
        <v>-131059.27083803945</v>
      </c>
    </row>
    <row r="2382" spans="7:18" x14ac:dyDescent="0.25">
      <c r="G2382" t="str">
        <f t="shared" si="126"/>
        <v>Insert into BlueCreditTypeRainbow Values (, , , , , )</v>
      </c>
      <c r="N2382" s="4">
        <v>2379</v>
      </c>
      <c r="O2382" s="8">
        <f>$B$7*COUNTIF(Sheet2!$B$1:$B$132,N2382)</f>
        <v>0</v>
      </c>
      <c r="P2382" s="8">
        <f t="shared" ca="1" si="127"/>
        <v>53.5</v>
      </c>
      <c r="Q2382" s="8">
        <f ca="1">CEILING(R2381*(IF(N2382&lt;=IF($B$2=0,0,OFFSET(Sheet2!$B$1,Sheet1!$B$2-1,0)),$B$1/(365*100),$B$3/(365*100)))*100,1)/100</f>
        <v>-53.5</v>
      </c>
      <c r="R2382" s="9">
        <f t="shared" ca="1" si="128"/>
        <v>-131112.77083803946</v>
      </c>
    </row>
    <row r="2383" spans="7:18" x14ac:dyDescent="0.25">
      <c r="G2383" t="str">
        <f t="shared" ref="G2383:G2446" si="129">CONCATENATE("Insert into BlueCreditTypeRainbow Values (",A2383,", ",B2383,", ",C2383,", ",D2383,", ",E2383,", ",F2383,")")</f>
        <v>Insert into BlueCreditTypeRainbow Values (, , , , , )</v>
      </c>
      <c r="N2383" s="4">
        <v>2380</v>
      </c>
      <c r="O2383" s="8">
        <f>$B$7*COUNTIF(Sheet2!$B$1:$B$132,N2383)</f>
        <v>0</v>
      </c>
      <c r="P2383" s="8">
        <f t="shared" ca="1" si="127"/>
        <v>53.52</v>
      </c>
      <c r="Q2383" s="8">
        <f ca="1">CEILING(R2382*(IF(N2383&lt;=IF($B$2=0,0,OFFSET(Sheet2!$B$1,Sheet1!$B$2-1,0)),$B$1/(365*100),$B$3/(365*100)))*100,1)/100</f>
        <v>-53.52</v>
      </c>
      <c r="R2383" s="9">
        <f t="shared" ca="1" si="128"/>
        <v>-131166.29083803945</v>
      </c>
    </row>
    <row r="2384" spans="7:18" x14ac:dyDescent="0.25">
      <c r="G2384" t="str">
        <f t="shared" si="129"/>
        <v>Insert into BlueCreditTypeRainbow Values (, , , , , )</v>
      </c>
      <c r="N2384" s="4">
        <v>2381</v>
      </c>
      <c r="O2384" s="8">
        <f>$B$7*COUNTIF(Sheet2!$B$1:$B$132,N2384)</f>
        <v>0</v>
      </c>
      <c r="P2384" s="8">
        <f t="shared" ca="1" si="127"/>
        <v>53.54</v>
      </c>
      <c r="Q2384" s="8">
        <f ca="1">CEILING(R2383*(IF(N2384&lt;=IF($B$2=0,0,OFFSET(Sheet2!$B$1,Sheet1!$B$2-1,0)),$B$1/(365*100),$B$3/(365*100)))*100,1)/100</f>
        <v>-53.54</v>
      </c>
      <c r="R2384" s="9">
        <f t="shared" ca="1" si="128"/>
        <v>-131219.83083803946</v>
      </c>
    </row>
    <row r="2385" spans="7:18" x14ac:dyDescent="0.25">
      <c r="G2385" t="str">
        <f t="shared" si="129"/>
        <v>Insert into BlueCreditTypeRainbow Values (, , , , , )</v>
      </c>
      <c r="N2385" s="4">
        <v>2382</v>
      </c>
      <c r="O2385" s="8">
        <f>$B$7*COUNTIF(Sheet2!$B$1:$B$132,N2385)</f>
        <v>0</v>
      </c>
      <c r="P2385" s="8">
        <f t="shared" ca="1" si="127"/>
        <v>53.56</v>
      </c>
      <c r="Q2385" s="8">
        <f ca="1">CEILING(R2384*(IF(N2385&lt;=IF($B$2=0,0,OFFSET(Sheet2!$B$1,Sheet1!$B$2-1,0)),$B$1/(365*100),$B$3/(365*100)))*100,1)/100</f>
        <v>-53.56</v>
      </c>
      <c r="R2385" s="9">
        <f t="shared" ca="1" si="128"/>
        <v>-131273.39083803946</v>
      </c>
    </row>
    <row r="2386" spans="7:18" x14ac:dyDescent="0.25">
      <c r="G2386" t="str">
        <f t="shared" si="129"/>
        <v>Insert into BlueCreditTypeRainbow Values (, , , , , )</v>
      </c>
      <c r="N2386" s="4">
        <v>2383</v>
      </c>
      <c r="O2386" s="8">
        <f>$B$7*COUNTIF(Sheet2!$B$1:$B$132,N2386)</f>
        <v>0</v>
      </c>
      <c r="P2386" s="8">
        <f t="shared" ca="1" si="127"/>
        <v>53.58</v>
      </c>
      <c r="Q2386" s="8">
        <f ca="1">CEILING(R2385*(IF(N2386&lt;=IF($B$2=0,0,OFFSET(Sheet2!$B$1,Sheet1!$B$2-1,0)),$B$1/(365*100),$B$3/(365*100)))*100,1)/100</f>
        <v>-53.58</v>
      </c>
      <c r="R2386" s="9">
        <f t="shared" ca="1" si="128"/>
        <v>-131326.97083803944</v>
      </c>
    </row>
    <row r="2387" spans="7:18" x14ac:dyDescent="0.25">
      <c r="G2387" t="str">
        <f t="shared" si="129"/>
        <v>Insert into BlueCreditTypeRainbow Values (, , , , , )</v>
      </c>
      <c r="N2387" s="4">
        <v>2384</v>
      </c>
      <c r="O2387" s="8">
        <f>$B$7*COUNTIF(Sheet2!$B$1:$B$132,N2387)</f>
        <v>0</v>
      </c>
      <c r="P2387" s="8">
        <f t="shared" ca="1" si="127"/>
        <v>53.61</v>
      </c>
      <c r="Q2387" s="8">
        <f ca="1">CEILING(R2386*(IF(N2387&lt;=IF($B$2=0,0,OFFSET(Sheet2!$B$1,Sheet1!$B$2-1,0)),$B$1/(365*100),$B$3/(365*100)))*100,1)/100</f>
        <v>-53.61</v>
      </c>
      <c r="R2387" s="9">
        <f t="shared" ca="1" si="128"/>
        <v>-131380.58083803943</v>
      </c>
    </row>
    <row r="2388" spans="7:18" x14ac:dyDescent="0.25">
      <c r="G2388" t="str">
        <f t="shared" si="129"/>
        <v>Insert into BlueCreditTypeRainbow Values (, , , , , )</v>
      </c>
      <c r="N2388" s="4">
        <v>2385</v>
      </c>
      <c r="O2388" s="8">
        <f>$B$7*COUNTIF(Sheet2!$B$1:$B$132,N2388)</f>
        <v>0</v>
      </c>
      <c r="P2388" s="8">
        <f t="shared" ca="1" si="127"/>
        <v>53.63</v>
      </c>
      <c r="Q2388" s="8">
        <f ca="1">CEILING(R2387*(IF(N2388&lt;=IF($B$2=0,0,OFFSET(Sheet2!$B$1,Sheet1!$B$2-1,0)),$B$1/(365*100),$B$3/(365*100)))*100,1)/100</f>
        <v>-53.63</v>
      </c>
      <c r="R2388" s="9">
        <f t="shared" ca="1" si="128"/>
        <v>-131434.21083803943</v>
      </c>
    </row>
    <row r="2389" spans="7:18" x14ac:dyDescent="0.25">
      <c r="G2389" t="str">
        <f t="shared" si="129"/>
        <v>Insert into BlueCreditTypeRainbow Values (, , , , , )</v>
      </c>
      <c r="N2389" s="4">
        <v>2386</v>
      </c>
      <c r="O2389" s="8">
        <f>$B$7*COUNTIF(Sheet2!$B$1:$B$132,N2389)</f>
        <v>0</v>
      </c>
      <c r="P2389" s="8">
        <f t="shared" ca="1" si="127"/>
        <v>53.65</v>
      </c>
      <c r="Q2389" s="8">
        <f ca="1">CEILING(R2388*(IF(N2389&lt;=IF($B$2=0,0,OFFSET(Sheet2!$B$1,Sheet1!$B$2-1,0)),$B$1/(365*100),$B$3/(365*100)))*100,1)/100</f>
        <v>-53.65</v>
      </c>
      <c r="R2389" s="9">
        <f t="shared" ca="1" si="128"/>
        <v>-131487.86083803943</v>
      </c>
    </row>
    <row r="2390" spans="7:18" x14ac:dyDescent="0.25">
      <c r="G2390" t="str">
        <f t="shared" si="129"/>
        <v>Insert into BlueCreditTypeRainbow Values (, , , , , )</v>
      </c>
      <c r="N2390" s="4">
        <v>2387</v>
      </c>
      <c r="O2390" s="8">
        <f>$B$7*COUNTIF(Sheet2!$B$1:$B$132,N2390)</f>
        <v>0</v>
      </c>
      <c r="P2390" s="8">
        <f t="shared" ca="1" si="127"/>
        <v>53.67</v>
      </c>
      <c r="Q2390" s="8">
        <f ca="1">CEILING(R2389*(IF(N2390&lt;=IF($B$2=0,0,OFFSET(Sheet2!$B$1,Sheet1!$B$2-1,0)),$B$1/(365*100),$B$3/(365*100)))*100,1)/100</f>
        <v>-53.67</v>
      </c>
      <c r="R2390" s="9">
        <f t="shared" ca="1" si="128"/>
        <v>-131541.53083803944</v>
      </c>
    </row>
    <row r="2391" spans="7:18" x14ac:dyDescent="0.25">
      <c r="G2391" t="str">
        <f t="shared" si="129"/>
        <v>Insert into BlueCreditTypeRainbow Values (, , , , , )</v>
      </c>
      <c r="N2391" s="4">
        <v>2388</v>
      </c>
      <c r="O2391" s="8">
        <f>$B$7*COUNTIF(Sheet2!$B$1:$B$132,N2391)</f>
        <v>0</v>
      </c>
      <c r="P2391" s="8">
        <f t="shared" ca="1" si="127"/>
        <v>53.69</v>
      </c>
      <c r="Q2391" s="8">
        <f ca="1">CEILING(R2390*(IF(N2391&lt;=IF($B$2=0,0,OFFSET(Sheet2!$B$1,Sheet1!$B$2-1,0)),$B$1/(365*100),$B$3/(365*100)))*100,1)/100</f>
        <v>-53.69</v>
      </c>
      <c r="R2391" s="9">
        <f t="shared" ca="1" si="128"/>
        <v>-131595.22083803944</v>
      </c>
    </row>
    <row r="2392" spans="7:18" x14ac:dyDescent="0.25">
      <c r="G2392" t="str">
        <f t="shared" si="129"/>
        <v>Insert into BlueCreditTypeRainbow Values (, , , , , )</v>
      </c>
      <c r="N2392" s="4">
        <v>2389</v>
      </c>
      <c r="O2392" s="8">
        <f>$B$7*COUNTIF(Sheet2!$B$1:$B$132,N2392)</f>
        <v>0</v>
      </c>
      <c r="P2392" s="8">
        <f t="shared" ca="1" si="127"/>
        <v>53.71</v>
      </c>
      <c r="Q2392" s="8">
        <f ca="1">CEILING(R2391*(IF(N2392&lt;=IF($B$2=0,0,OFFSET(Sheet2!$B$1,Sheet1!$B$2-1,0)),$B$1/(365*100),$B$3/(365*100)))*100,1)/100</f>
        <v>-53.71</v>
      </c>
      <c r="R2392" s="9">
        <f t="shared" ca="1" si="128"/>
        <v>-131648.93083803944</v>
      </c>
    </row>
    <row r="2393" spans="7:18" x14ac:dyDescent="0.25">
      <c r="G2393" t="str">
        <f t="shared" si="129"/>
        <v>Insert into BlueCreditTypeRainbow Values (, , , , , )</v>
      </c>
      <c r="N2393" s="4">
        <v>2390</v>
      </c>
      <c r="O2393" s="8">
        <f>$B$7*COUNTIF(Sheet2!$B$1:$B$132,N2393)</f>
        <v>0</v>
      </c>
      <c r="P2393" s="8">
        <f t="shared" ca="1" si="127"/>
        <v>53.74</v>
      </c>
      <c r="Q2393" s="8">
        <f ca="1">CEILING(R2392*(IF(N2393&lt;=IF($B$2=0,0,OFFSET(Sheet2!$B$1,Sheet1!$B$2-1,0)),$B$1/(365*100),$B$3/(365*100)))*100,1)/100</f>
        <v>-53.74</v>
      </c>
      <c r="R2393" s="9">
        <f t="shared" ca="1" si="128"/>
        <v>-131702.67083803943</v>
      </c>
    </row>
    <row r="2394" spans="7:18" x14ac:dyDescent="0.25">
      <c r="G2394" t="str">
        <f t="shared" si="129"/>
        <v>Insert into BlueCreditTypeRainbow Values (, , , , , )</v>
      </c>
      <c r="N2394" s="4">
        <v>2391</v>
      </c>
      <c r="O2394" s="8">
        <f>$B$7*COUNTIF(Sheet2!$B$1:$B$132,N2394)</f>
        <v>0</v>
      </c>
      <c r="P2394" s="8">
        <f t="shared" ca="1" si="127"/>
        <v>53.76</v>
      </c>
      <c r="Q2394" s="8">
        <f ca="1">CEILING(R2393*(IF(N2394&lt;=IF($B$2=0,0,OFFSET(Sheet2!$B$1,Sheet1!$B$2-1,0)),$B$1/(365*100),$B$3/(365*100)))*100,1)/100</f>
        <v>-53.76</v>
      </c>
      <c r="R2394" s="9">
        <f t="shared" ca="1" si="128"/>
        <v>-131756.43083803944</v>
      </c>
    </row>
    <row r="2395" spans="7:18" x14ac:dyDescent="0.25">
      <c r="G2395" t="str">
        <f t="shared" si="129"/>
        <v>Insert into BlueCreditTypeRainbow Values (, , , , , )</v>
      </c>
      <c r="N2395" s="4">
        <v>2392</v>
      </c>
      <c r="O2395" s="8">
        <f>$B$7*COUNTIF(Sheet2!$B$1:$B$132,N2395)</f>
        <v>0</v>
      </c>
      <c r="P2395" s="8">
        <f t="shared" ca="1" si="127"/>
        <v>53.78</v>
      </c>
      <c r="Q2395" s="8">
        <f ca="1">CEILING(R2394*(IF(N2395&lt;=IF($B$2=0,0,OFFSET(Sheet2!$B$1,Sheet1!$B$2-1,0)),$B$1/(365*100),$B$3/(365*100)))*100,1)/100</f>
        <v>-53.78</v>
      </c>
      <c r="R2395" s="9">
        <f t="shared" ca="1" si="128"/>
        <v>-131810.21083803943</v>
      </c>
    </row>
    <row r="2396" spans="7:18" x14ac:dyDescent="0.25">
      <c r="G2396" t="str">
        <f t="shared" si="129"/>
        <v>Insert into BlueCreditTypeRainbow Values (, , , , , )</v>
      </c>
      <c r="N2396" s="4">
        <v>2393</v>
      </c>
      <c r="O2396" s="8">
        <f>$B$7*COUNTIF(Sheet2!$B$1:$B$132,N2396)</f>
        <v>0</v>
      </c>
      <c r="P2396" s="8">
        <f t="shared" ca="1" si="127"/>
        <v>53.8</v>
      </c>
      <c r="Q2396" s="8">
        <f ca="1">CEILING(R2395*(IF(N2396&lt;=IF($B$2=0,0,OFFSET(Sheet2!$B$1,Sheet1!$B$2-1,0)),$B$1/(365*100),$B$3/(365*100)))*100,1)/100</f>
        <v>-53.8</v>
      </c>
      <c r="R2396" s="9">
        <f t="shared" ca="1" si="128"/>
        <v>-131864.01083803942</v>
      </c>
    </row>
    <row r="2397" spans="7:18" x14ac:dyDescent="0.25">
      <c r="G2397" t="str">
        <f t="shared" si="129"/>
        <v>Insert into BlueCreditTypeRainbow Values (, , , , , )</v>
      </c>
      <c r="N2397" s="4">
        <v>2394</v>
      </c>
      <c r="O2397" s="8">
        <f>$B$7*COUNTIF(Sheet2!$B$1:$B$132,N2397)</f>
        <v>0</v>
      </c>
      <c r="P2397" s="8">
        <f t="shared" ca="1" si="127"/>
        <v>53.82</v>
      </c>
      <c r="Q2397" s="8">
        <f ca="1">CEILING(R2396*(IF(N2397&lt;=IF($B$2=0,0,OFFSET(Sheet2!$B$1,Sheet1!$B$2-1,0)),$B$1/(365*100),$B$3/(365*100)))*100,1)/100</f>
        <v>-53.82</v>
      </c>
      <c r="R2397" s="9">
        <f t="shared" ca="1" si="128"/>
        <v>-131917.83083803943</v>
      </c>
    </row>
    <row r="2398" spans="7:18" x14ac:dyDescent="0.25">
      <c r="G2398" t="str">
        <f t="shared" si="129"/>
        <v>Insert into BlueCreditTypeRainbow Values (, , , , , )</v>
      </c>
      <c r="N2398" s="4">
        <v>2395</v>
      </c>
      <c r="O2398" s="8">
        <f>$B$7*COUNTIF(Sheet2!$B$1:$B$132,N2398)</f>
        <v>0</v>
      </c>
      <c r="P2398" s="8">
        <f t="shared" ca="1" si="127"/>
        <v>53.85</v>
      </c>
      <c r="Q2398" s="8">
        <f ca="1">CEILING(R2397*(IF(N2398&lt;=IF($B$2=0,0,OFFSET(Sheet2!$B$1,Sheet1!$B$2-1,0)),$B$1/(365*100),$B$3/(365*100)))*100,1)/100</f>
        <v>-53.85</v>
      </c>
      <c r="R2398" s="9">
        <f t="shared" ca="1" si="128"/>
        <v>-131971.68083803944</v>
      </c>
    </row>
    <row r="2399" spans="7:18" x14ac:dyDescent="0.25">
      <c r="G2399" t="str">
        <f t="shared" si="129"/>
        <v>Insert into BlueCreditTypeRainbow Values (, , , , , )</v>
      </c>
      <c r="N2399" s="4">
        <v>2396</v>
      </c>
      <c r="O2399" s="8">
        <f>$B$7*COUNTIF(Sheet2!$B$1:$B$132,N2399)</f>
        <v>0</v>
      </c>
      <c r="P2399" s="8">
        <f t="shared" ca="1" si="127"/>
        <v>53.87</v>
      </c>
      <c r="Q2399" s="8">
        <f ca="1">CEILING(R2398*(IF(N2399&lt;=IF($B$2=0,0,OFFSET(Sheet2!$B$1,Sheet1!$B$2-1,0)),$B$1/(365*100),$B$3/(365*100)))*100,1)/100</f>
        <v>-53.87</v>
      </c>
      <c r="R2399" s="9">
        <f t="shared" ca="1" si="128"/>
        <v>-132025.55083803943</v>
      </c>
    </row>
    <row r="2400" spans="7:18" x14ac:dyDescent="0.25">
      <c r="G2400" t="str">
        <f t="shared" si="129"/>
        <v>Insert into BlueCreditTypeRainbow Values (, , , , , )</v>
      </c>
      <c r="N2400" s="4">
        <v>2397</v>
      </c>
      <c r="O2400" s="8">
        <f>$B$7*COUNTIF(Sheet2!$B$1:$B$132,N2400)</f>
        <v>0</v>
      </c>
      <c r="P2400" s="8">
        <f t="shared" ca="1" si="127"/>
        <v>53.89</v>
      </c>
      <c r="Q2400" s="8">
        <f ca="1">CEILING(R2399*(IF(N2400&lt;=IF($B$2=0,0,OFFSET(Sheet2!$B$1,Sheet1!$B$2-1,0)),$B$1/(365*100),$B$3/(365*100)))*100,1)/100</f>
        <v>-53.89</v>
      </c>
      <c r="R2400" s="9">
        <f t="shared" ca="1" si="128"/>
        <v>-132079.44083803945</v>
      </c>
    </row>
    <row r="2401" spans="7:18" x14ac:dyDescent="0.25">
      <c r="G2401" t="str">
        <f t="shared" si="129"/>
        <v>Insert into BlueCreditTypeRainbow Values (, , , , , )</v>
      </c>
      <c r="N2401" s="4">
        <v>2398</v>
      </c>
      <c r="O2401" s="8">
        <f>$B$7*COUNTIF(Sheet2!$B$1:$B$132,N2401)</f>
        <v>0</v>
      </c>
      <c r="P2401" s="8">
        <f t="shared" ca="1" si="127"/>
        <v>53.91</v>
      </c>
      <c r="Q2401" s="8">
        <f ca="1">CEILING(R2400*(IF(N2401&lt;=IF($B$2=0,0,OFFSET(Sheet2!$B$1,Sheet1!$B$2-1,0)),$B$1/(365*100),$B$3/(365*100)))*100,1)/100</f>
        <v>-53.91</v>
      </c>
      <c r="R2401" s="9">
        <f t="shared" ca="1" si="128"/>
        <v>-132133.35083803945</v>
      </c>
    </row>
    <row r="2402" spans="7:18" x14ac:dyDescent="0.25">
      <c r="G2402" t="str">
        <f t="shared" si="129"/>
        <v>Insert into BlueCreditTypeRainbow Values (, , , , , )</v>
      </c>
      <c r="N2402" s="4">
        <v>2399</v>
      </c>
      <c r="O2402" s="8">
        <f>$B$7*COUNTIF(Sheet2!$B$1:$B$132,N2402)</f>
        <v>0</v>
      </c>
      <c r="P2402" s="8">
        <f t="shared" ca="1" si="127"/>
        <v>53.93</v>
      </c>
      <c r="Q2402" s="8">
        <f ca="1">CEILING(R2401*(IF(N2402&lt;=IF($B$2=0,0,OFFSET(Sheet2!$B$1,Sheet1!$B$2-1,0)),$B$1/(365*100),$B$3/(365*100)))*100,1)/100</f>
        <v>-53.93</v>
      </c>
      <c r="R2402" s="9">
        <f t="shared" ca="1" si="128"/>
        <v>-132187.28083803944</v>
      </c>
    </row>
    <row r="2403" spans="7:18" x14ac:dyDescent="0.25">
      <c r="G2403" t="str">
        <f t="shared" si="129"/>
        <v>Insert into BlueCreditTypeRainbow Values (, , , , , )</v>
      </c>
      <c r="N2403" s="4">
        <v>2400</v>
      </c>
      <c r="O2403" s="8">
        <f>$B$7*COUNTIF(Sheet2!$B$1:$B$132,N2403)</f>
        <v>0</v>
      </c>
      <c r="P2403" s="8">
        <f t="shared" ca="1" si="127"/>
        <v>53.96</v>
      </c>
      <c r="Q2403" s="8">
        <f ca="1">CEILING(R2402*(IF(N2403&lt;=IF($B$2=0,0,OFFSET(Sheet2!$B$1,Sheet1!$B$2-1,0)),$B$1/(365*100),$B$3/(365*100)))*100,1)/100</f>
        <v>-53.96</v>
      </c>
      <c r="R2403" s="9">
        <f t="shared" ca="1" si="128"/>
        <v>-132241.24083803943</v>
      </c>
    </row>
    <row r="2404" spans="7:18" x14ac:dyDescent="0.25">
      <c r="G2404" t="str">
        <f t="shared" si="129"/>
        <v>Insert into BlueCreditTypeRainbow Values (, , , , , )</v>
      </c>
      <c r="N2404" s="4">
        <v>2401</v>
      </c>
      <c r="O2404" s="8">
        <f>$B$7*COUNTIF(Sheet2!$B$1:$B$132,N2404)</f>
        <v>0</v>
      </c>
      <c r="P2404" s="8">
        <f t="shared" ca="1" si="127"/>
        <v>53.98</v>
      </c>
      <c r="Q2404" s="8">
        <f ca="1">CEILING(R2403*(IF(N2404&lt;=IF($B$2=0,0,OFFSET(Sheet2!$B$1,Sheet1!$B$2-1,0)),$B$1/(365*100),$B$3/(365*100)))*100,1)/100</f>
        <v>-53.98</v>
      </c>
      <c r="R2404" s="9">
        <f t="shared" ca="1" si="128"/>
        <v>-132295.22083803944</v>
      </c>
    </row>
    <row r="2405" spans="7:18" x14ac:dyDescent="0.25">
      <c r="G2405" t="str">
        <f t="shared" si="129"/>
        <v>Insert into BlueCreditTypeRainbow Values (, , , , , )</v>
      </c>
      <c r="N2405" s="4">
        <v>2402</v>
      </c>
      <c r="O2405" s="8">
        <f>$B$7*COUNTIF(Sheet2!$B$1:$B$132,N2405)</f>
        <v>0</v>
      </c>
      <c r="P2405" s="8">
        <f t="shared" ca="1" si="127"/>
        <v>54</v>
      </c>
      <c r="Q2405" s="8">
        <f ca="1">CEILING(R2404*(IF(N2405&lt;=IF($B$2=0,0,OFFSET(Sheet2!$B$1,Sheet1!$B$2-1,0)),$B$1/(365*100),$B$3/(365*100)))*100,1)/100</f>
        <v>-54</v>
      </c>
      <c r="R2405" s="9">
        <f t="shared" ca="1" si="128"/>
        <v>-132349.22083803944</v>
      </c>
    </row>
    <row r="2406" spans="7:18" x14ac:dyDescent="0.25">
      <c r="G2406" t="str">
        <f t="shared" si="129"/>
        <v>Insert into BlueCreditTypeRainbow Values (, , , , , )</v>
      </c>
      <c r="N2406" s="4">
        <v>2403</v>
      </c>
      <c r="O2406" s="8">
        <f>$B$7*COUNTIF(Sheet2!$B$1:$B$132,N2406)</f>
        <v>0</v>
      </c>
      <c r="P2406" s="8">
        <f t="shared" ca="1" si="127"/>
        <v>54.02</v>
      </c>
      <c r="Q2406" s="8">
        <f ca="1">CEILING(R2405*(IF(N2406&lt;=IF($B$2=0,0,OFFSET(Sheet2!$B$1,Sheet1!$B$2-1,0)),$B$1/(365*100),$B$3/(365*100)))*100,1)/100</f>
        <v>-54.02</v>
      </c>
      <c r="R2406" s="9">
        <f t="shared" ca="1" si="128"/>
        <v>-132403.24083803943</v>
      </c>
    </row>
    <row r="2407" spans="7:18" x14ac:dyDescent="0.25">
      <c r="G2407" t="str">
        <f t="shared" si="129"/>
        <v>Insert into BlueCreditTypeRainbow Values (, , , , , )</v>
      </c>
      <c r="N2407" s="4">
        <v>2404</v>
      </c>
      <c r="O2407" s="8">
        <f>$B$7*COUNTIF(Sheet2!$B$1:$B$132,N2407)</f>
        <v>0</v>
      </c>
      <c r="P2407" s="8">
        <f t="shared" ca="1" si="127"/>
        <v>54.04</v>
      </c>
      <c r="Q2407" s="8">
        <f ca="1">CEILING(R2406*(IF(N2407&lt;=IF($B$2=0,0,OFFSET(Sheet2!$B$1,Sheet1!$B$2-1,0)),$B$1/(365*100),$B$3/(365*100)))*100,1)/100</f>
        <v>-54.04</v>
      </c>
      <c r="R2407" s="9">
        <f t="shared" ca="1" si="128"/>
        <v>-132457.28083803944</v>
      </c>
    </row>
    <row r="2408" spans="7:18" x14ac:dyDescent="0.25">
      <c r="G2408" t="str">
        <f t="shared" si="129"/>
        <v>Insert into BlueCreditTypeRainbow Values (, , , , , )</v>
      </c>
      <c r="N2408" s="4">
        <v>2405</v>
      </c>
      <c r="O2408" s="8">
        <f>$B$7*COUNTIF(Sheet2!$B$1:$B$132,N2408)</f>
        <v>0</v>
      </c>
      <c r="P2408" s="8">
        <f t="shared" ca="1" si="127"/>
        <v>54.07</v>
      </c>
      <c r="Q2408" s="8">
        <f ca="1">CEILING(R2407*(IF(N2408&lt;=IF($B$2=0,0,OFFSET(Sheet2!$B$1,Sheet1!$B$2-1,0)),$B$1/(365*100),$B$3/(365*100)))*100,1)/100</f>
        <v>-54.07</v>
      </c>
      <c r="R2408" s="9">
        <f t="shared" ca="1" si="128"/>
        <v>-132511.35083803945</v>
      </c>
    </row>
    <row r="2409" spans="7:18" x14ac:dyDescent="0.25">
      <c r="G2409" t="str">
        <f t="shared" si="129"/>
        <v>Insert into BlueCreditTypeRainbow Values (, , , , , )</v>
      </c>
      <c r="N2409" s="4">
        <v>2406</v>
      </c>
      <c r="O2409" s="8">
        <f>$B$7*COUNTIF(Sheet2!$B$1:$B$132,N2409)</f>
        <v>0</v>
      </c>
      <c r="P2409" s="8">
        <f t="shared" ca="1" si="127"/>
        <v>54.09</v>
      </c>
      <c r="Q2409" s="8">
        <f ca="1">CEILING(R2408*(IF(N2409&lt;=IF($B$2=0,0,OFFSET(Sheet2!$B$1,Sheet1!$B$2-1,0)),$B$1/(365*100),$B$3/(365*100)))*100,1)/100</f>
        <v>-54.09</v>
      </c>
      <c r="R2409" s="9">
        <f t="shared" ca="1" si="128"/>
        <v>-132565.44083803945</v>
      </c>
    </row>
    <row r="2410" spans="7:18" x14ac:dyDescent="0.25">
      <c r="G2410" t="str">
        <f t="shared" si="129"/>
        <v>Insert into BlueCreditTypeRainbow Values (, , , , , )</v>
      </c>
      <c r="N2410" s="4">
        <v>2407</v>
      </c>
      <c r="O2410" s="8">
        <f>$B$7*COUNTIF(Sheet2!$B$1:$B$132,N2410)</f>
        <v>21157.10552356458</v>
      </c>
      <c r="P2410" s="8">
        <f t="shared" ca="1" si="127"/>
        <v>21211.215523564581</v>
      </c>
      <c r="Q2410" s="8">
        <f ca="1">CEILING(R2409*(IF(N2410&lt;=IF($B$2=0,0,OFFSET(Sheet2!$B$1,Sheet1!$B$2-1,0)),$B$1/(365*100),$B$3/(365*100)))*100,1)/100</f>
        <v>-54.11</v>
      </c>
      <c r="R2410" s="9">
        <f t="shared" ca="1" si="128"/>
        <v>-153776.65636160402</v>
      </c>
    </row>
    <row r="2411" spans="7:18" x14ac:dyDescent="0.25">
      <c r="G2411" t="str">
        <f t="shared" si="129"/>
        <v>Insert into BlueCreditTypeRainbow Values (, , , , , )</v>
      </c>
      <c r="N2411" s="4">
        <v>2408</v>
      </c>
      <c r="O2411" s="8">
        <f>$B$7*COUNTIF(Sheet2!$B$1:$B$132,N2411)</f>
        <v>0</v>
      </c>
      <c r="P2411" s="8">
        <f t="shared" ca="1" si="127"/>
        <v>62.77</v>
      </c>
      <c r="Q2411" s="8">
        <f ca="1">CEILING(R2410*(IF(N2411&lt;=IF($B$2=0,0,OFFSET(Sheet2!$B$1,Sheet1!$B$2-1,0)),$B$1/(365*100),$B$3/(365*100)))*100,1)/100</f>
        <v>-62.77</v>
      </c>
      <c r="R2411" s="9">
        <f t="shared" ca="1" si="128"/>
        <v>-153839.42636160401</v>
      </c>
    </row>
    <row r="2412" spans="7:18" x14ac:dyDescent="0.25">
      <c r="G2412" t="str">
        <f t="shared" si="129"/>
        <v>Insert into BlueCreditTypeRainbow Values (, , , , , )</v>
      </c>
      <c r="N2412" s="4">
        <v>2409</v>
      </c>
      <c r="O2412" s="8">
        <f>$B$7*COUNTIF(Sheet2!$B$1:$B$132,N2412)</f>
        <v>0</v>
      </c>
      <c r="P2412" s="8">
        <f t="shared" ca="1" si="127"/>
        <v>62.8</v>
      </c>
      <c r="Q2412" s="8">
        <f ca="1">CEILING(R2411*(IF(N2412&lt;=IF($B$2=0,0,OFFSET(Sheet2!$B$1,Sheet1!$B$2-1,0)),$B$1/(365*100),$B$3/(365*100)))*100,1)/100</f>
        <v>-62.8</v>
      </c>
      <c r="R2412" s="9">
        <f t="shared" ca="1" si="128"/>
        <v>-153902.226361604</v>
      </c>
    </row>
    <row r="2413" spans="7:18" x14ac:dyDescent="0.25">
      <c r="G2413" t="str">
        <f t="shared" si="129"/>
        <v>Insert into BlueCreditTypeRainbow Values (, , , , , )</v>
      </c>
      <c r="N2413" s="4">
        <v>2410</v>
      </c>
      <c r="O2413" s="8">
        <f>$B$7*COUNTIF(Sheet2!$B$1:$B$132,N2413)</f>
        <v>0</v>
      </c>
      <c r="P2413" s="8">
        <f t="shared" ca="1" si="127"/>
        <v>62.82</v>
      </c>
      <c r="Q2413" s="8">
        <f ca="1">CEILING(R2412*(IF(N2413&lt;=IF($B$2=0,0,OFFSET(Sheet2!$B$1,Sheet1!$B$2-1,0)),$B$1/(365*100),$B$3/(365*100)))*100,1)/100</f>
        <v>-62.82</v>
      </c>
      <c r="R2413" s="9">
        <f t="shared" ca="1" si="128"/>
        <v>-153965.04636160401</v>
      </c>
    </row>
    <row r="2414" spans="7:18" x14ac:dyDescent="0.25">
      <c r="G2414" t="str">
        <f t="shared" si="129"/>
        <v>Insert into BlueCreditTypeRainbow Values (, , , , , )</v>
      </c>
      <c r="N2414" s="4">
        <v>2411</v>
      </c>
      <c r="O2414" s="8">
        <f>$B$7*COUNTIF(Sheet2!$B$1:$B$132,N2414)</f>
        <v>0</v>
      </c>
      <c r="P2414" s="8">
        <f t="shared" ca="1" si="127"/>
        <v>62.85</v>
      </c>
      <c r="Q2414" s="8">
        <f ca="1">CEILING(R2413*(IF(N2414&lt;=IF($B$2=0,0,OFFSET(Sheet2!$B$1,Sheet1!$B$2-1,0)),$B$1/(365*100),$B$3/(365*100)))*100,1)/100</f>
        <v>-62.85</v>
      </c>
      <c r="R2414" s="9">
        <f t="shared" ca="1" si="128"/>
        <v>-154027.89636160401</v>
      </c>
    </row>
    <row r="2415" spans="7:18" x14ac:dyDescent="0.25">
      <c r="G2415" t="str">
        <f t="shared" si="129"/>
        <v>Insert into BlueCreditTypeRainbow Values (, , , , , )</v>
      </c>
      <c r="N2415" s="4">
        <v>2412</v>
      </c>
      <c r="O2415" s="8">
        <f>$B$7*COUNTIF(Sheet2!$B$1:$B$132,N2415)</f>
        <v>0</v>
      </c>
      <c r="P2415" s="8">
        <f t="shared" ca="1" si="127"/>
        <v>62.87</v>
      </c>
      <c r="Q2415" s="8">
        <f ca="1">CEILING(R2414*(IF(N2415&lt;=IF($B$2=0,0,OFFSET(Sheet2!$B$1,Sheet1!$B$2-1,0)),$B$1/(365*100),$B$3/(365*100)))*100,1)/100</f>
        <v>-62.87</v>
      </c>
      <c r="R2415" s="9">
        <f t="shared" ca="1" si="128"/>
        <v>-154090.76636160401</v>
      </c>
    </row>
    <row r="2416" spans="7:18" x14ac:dyDescent="0.25">
      <c r="G2416" t="str">
        <f t="shared" si="129"/>
        <v>Insert into BlueCreditTypeRainbow Values (, , , , , )</v>
      </c>
      <c r="N2416" s="4">
        <v>2413</v>
      </c>
      <c r="O2416" s="8">
        <f>$B$7*COUNTIF(Sheet2!$B$1:$B$132,N2416)</f>
        <v>0</v>
      </c>
      <c r="P2416" s="8">
        <f t="shared" ca="1" si="127"/>
        <v>62.9</v>
      </c>
      <c r="Q2416" s="8">
        <f ca="1">CEILING(R2415*(IF(N2416&lt;=IF($B$2=0,0,OFFSET(Sheet2!$B$1,Sheet1!$B$2-1,0)),$B$1/(365*100),$B$3/(365*100)))*100,1)/100</f>
        <v>-62.9</v>
      </c>
      <c r="R2416" s="9">
        <f t="shared" ca="1" si="128"/>
        <v>-154153.666361604</v>
      </c>
    </row>
    <row r="2417" spans="7:18" x14ac:dyDescent="0.25">
      <c r="G2417" t="str">
        <f t="shared" si="129"/>
        <v>Insert into BlueCreditTypeRainbow Values (, , , , , )</v>
      </c>
      <c r="N2417" s="4">
        <v>2414</v>
      </c>
      <c r="O2417" s="8">
        <f>$B$7*COUNTIF(Sheet2!$B$1:$B$132,N2417)</f>
        <v>0</v>
      </c>
      <c r="P2417" s="8">
        <f t="shared" ca="1" si="127"/>
        <v>62.92</v>
      </c>
      <c r="Q2417" s="8">
        <f ca="1">CEILING(R2416*(IF(N2417&lt;=IF($B$2=0,0,OFFSET(Sheet2!$B$1,Sheet1!$B$2-1,0)),$B$1/(365*100),$B$3/(365*100)))*100,1)/100</f>
        <v>-62.92</v>
      </c>
      <c r="R2417" s="9">
        <f t="shared" ca="1" si="128"/>
        <v>-154216.58636160402</v>
      </c>
    </row>
    <row r="2418" spans="7:18" x14ac:dyDescent="0.25">
      <c r="G2418" t="str">
        <f t="shared" si="129"/>
        <v>Insert into BlueCreditTypeRainbow Values (, , , , , )</v>
      </c>
      <c r="N2418" s="4">
        <v>2415</v>
      </c>
      <c r="O2418" s="8">
        <f>$B$7*COUNTIF(Sheet2!$B$1:$B$132,N2418)</f>
        <v>0</v>
      </c>
      <c r="P2418" s="8">
        <f t="shared" ca="1" si="127"/>
        <v>62.95</v>
      </c>
      <c r="Q2418" s="8">
        <f ca="1">CEILING(R2417*(IF(N2418&lt;=IF($B$2=0,0,OFFSET(Sheet2!$B$1,Sheet1!$B$2-1,0)),$B$1/(365*100),$B$3/(365*100)))*100,1)/100</f>
        <v>-62.95</v>
      </c>
      <c r="R2418" s="9">
        <f t="shared" ca="1" si="128"/>
        <v>-154279.53636160403</v>
      </c>
    </row>
    <row r="2419" spans="7:18" x14ac:dyDescent="0.25">
      <c r="G2419" t="str">
        <f t="shared" si="129"/>
        <v>Insert into BlueCreditTypeRainbow Values (, , , , , )</v>
      </c>
      <c r="N2419" s="4">
        <v>2416</v>
      </c>
      <c r="O2419" s="8">
        <f>$B$7*COUNTIF(Sheet2!$B$1:$B$132,N2419)</f>
        <v>0</v>
      </c>
      <c r="P2419" s="8">
        <f t="shared" ca="1" si="127"/>
        <v>62.97</v>
      </c>
      <c r="Q2419" s="8">
        <f ca="1">CEILING(R2418*(IF(N2419&lt;=IF($B$2=0,0,OFFSET(Sheet2!$B$1,Sheet1!$B$2-1,0)),$B$1/(365*100),$B$3/(365*100)))*100,1)/100</f>
        <v>-62.97</v>
      </c>
      <c r="R2419" s="9">
        <f t="shared" ca="1" si="128"/>
        <v>-154342.50636160403</v>
      </c>
    </row>
    <row r="2420" spans="7:18" x14ac:dyDescent="0.25">
      <c r="G2420" t="str">
        <f t="shared" si="129"/>
        <v>Insert into BlueCreditTypeRainbow Values (, , , , , )</v>
      </c>
      <c r="N2420" s="4">
        <v>2417</v>
      </c>
      <c r="O2420" s="8">
        <f>$B$7*COUNTIF(Sheet2!$B$1:$B$132,N2420)</f>
        <v>0</v>
      </c>
      <c r="P2420" s="8">
        <f t="shared" ca="1" si="127"/>
        <v>63</v>
      </c>
      <c r="Q2420" s="8">
        <f ca="1">CEILING(R2419*(IF(N2420&lt;=IF($B$2=0,0,OFFSET(Sheet2!$B$1,Sheet1!$B$2-1,0)),$B$1/(365*100),$B$3/(365*100)))*100,1)/100</f>
        <v>-63</v>
      </c>
      <c r="R2420" s="9">
        <f t="shared" ca="1" si="128"/>
        <v>-154405.50636160403</v>
      </c>
    </row>
    <row r="2421" spans="7:18" x14ac:dyDescent="0.25">
      <c r="G2421" t="str">
        <f t="shared" si="129"/>
        <v>Insert into BlueCreditTypeRainbow Values (, , , , , )</v>
      </c>
      <c r="N2421" s="4">
        <v>2418</v>
      </c>
      <c r="O2421" s="8">
        <f>$B$7*COUNTIF(Sheet2!$B$1:$B$132,N2421)</f>
        <v>0</v>
      </c>
      <c r="P2421" s="8">
        <f t="shared" ca="1" si="127"/>
        <v>63.03</v>
      </c>
      <c r="Q2421" s="8">
        <f ca="1">CEILING(R2420*(IF(N2421&lt;=IF($B$2=0,0,OFFSET(Sheet2!$B$1,Sheet1!$B$2-1,0)),$B$1/(365*100),$B$3/(365*100)))*100,1)/100</f>
        <v>-63.03</v>
      </c>
      <c r="R2421" s="9">
        <f t="shared" ca="1" si="128"/>
        <v>-154468.53636160403</v>
      </c>
    </row>
    <row r="2422" spans="7:18" x14ac:dyDescent="0.25">
      <c r="G2422" t="str">
        <f t="shared" si="129"/>
        <v>Insert into BlueCreditTypeRainbow Values (, , , , , )</v>
      </c>
      <c r="N2422" s="4">
        <v>2419</v>
      </c>
      <c r="O2422" s="8">
        <f>$B$7*COUNTIF(Sheet2!$B$1:$B$132,N2422)</f>
        <v>0</v>
      </c>
      <c r="P2422" s="8">
        <f t="shared" ca="1" si="127"/>
        <v>63.05</v>
      </c>
      <c r="Q2422" s="8">
        <f ca="1">CEILING(R2421*(IF(N2422&lt;=IF($B$2=0,0,OFFSET(Sheet2!$B$1,Sheet1!$B$2-1,0)),$B$1/(365*100),$B$3/(365*100)))*100,1)/100</f>
        <v>-63.05</v>
      </c>
      <c r="R2422" s="9">
        <f t="shared" ca="1" si="128"/>
        <v>-154531.58636160402</v>
      </c>
    </row>
    <row r="2423" spans="7:18" x14ac:dyDescent="0.25">
      <c r="G2423" t="str">
        <f t="shared" si="129"/>
        <v>Insert into BlueCreditTypeRainbow Values (, , , , , )</v>
      </c>
      <c r="N2423" s="4">
        <v>2420</v>
      </c>
      <c r="O2423" s="8">
        <f>$B$7*COUNTIF(Sheet2!$B$1:$B$132,N2423)</f>
        <v>0</v>
      </c>
      <c r="P2423" s="8">
        <f t="shared" ca="1" si="127"/>
        <v>63.08</v>
      </c>
      <c r="Q2423" s="8">
        <f ca="1">CEILING(R2422*(IF(N2423&lt;=IF($B$2=0,0,OFFSET(Sheet2!$B$1,Sheet1!$B$2-1,0)),$B$1/(365*100),$B$3/(365*100)))*100,1)/100</f>
        <v>-63.08</v>
      </c>
      <c r="R2423" s="9">
        <f t="shared" ca="1" si="128"/>
        <v>-154594.666361604</v>
      </c>
    </row>
    <row r="2424" spans="7:18" x14ac:dyDescent="0.25">
      <c r="G2424" t="str">
        <f t="shared" si="129"/>
        <v>Insert into BlueCreditTypeRainbow Values (, , , , , )</v>
      </c>
      <c r="N2424" s="4">
        <v>2421</v>
      </c>
      <c r="O2424" s="8">
        <f>$B$7*COUNTIF(Sheet2!$B$1:$B$132,N2424)</f>
        <v>0</v>
      </c>
      <c r="P2424" s="8">
        <f t="shared" ca="1" si="127"/>
        <v>63.1</v>
      </c>
      <c r="Q2424" s="8">
        <f ca="1">CEILING(R2423*(IF(N2424&lt;=IF($B$2=0,0,OFFSET(Sheet2!$B$1,Sheet1!$B$2-1,0)),$B$1/(365*100),$B$3/(365*100)))*100,1)/100</f>
        <v>-63.1</v>
      </c>
      <c r="R2424" s="9">
        <f t="shared" ca="1" si="128"/>
        <v>-154657.76636160401</v>
      </c>
    </row>
    <row r="2425" spans="7:18" x14ac:dyDescent="0.25">
      <c r="G2425" t="str">
        <f t="shared" si="129"/>
        <v>Insert into BlueCreditTypeRainbow Values (, , , , , )</v>
      </c>
      <c r="N2425" s="4">
        <v>2422</v>
      </c>
      <c r="O2425" s="8">
        <f>$B$7*COUNTIF(Sheet2!$B$1:$B$132,N2425)</f>
        <v>0</v>
      </c>
      <c r="P2425" s="8">
        <f t="shared" ca="1" si="127"/>
        <v>63.13</v>
      </c>
      <c r="Q2425" s="8">
        <f ca="1">CEILING(R2424*(IF(N2425&lt;=IF($B$2=0,0,OFFSET(Sheet2!$B$1,Sheet1!$B$2-1,0)),$B$1/(365*100),$B$3/(365*100)))*100,1)/100</f>
        <v>-63.13</v>
      </c>
      <c r="R2425" s="9">
        <f t="shared" ca="1" si="128"/>
        <v>-154720.89636160401</v>
      </c>
    </row>
    <row r="2426" spans="7:18" x14ac:dyDescent="0.25">
      <c r="G2426" t="str">
        <f t="shared" si="129"/>
        <v>Insert into BlueCreditTypeRainbow Values (, , , , , )</v>
      </c>
      <c r="N2426" s="4">
        <v>2423</v>
      </c>
      <c r="O2426" s="8">
        <f>$B$7*COUNTIF(Sheet2!$B$1:$B$132,N2426)</f>
        <v>0</v>
      </c>
      <c r="P2426" s="8">
        <f t="shared" ca="1" si="127"/>
        <v>63.16</v>
      </c>
      <c r="Q2426" s="8">
        <f ca="1">CEILING(R2425*(IF(N2426&lt;=IF($B$2=0,0,OFFSET(Sheet2!$B$1,Sheet1!$B$2-1,0)),$B$1/(365*100),$B$3/(365*100)))*100,1)/100</f>
        <v>-63.16</v>
      </c>
      <c r="R2426" s="9">
        <f t="shared" ca="1" si="128"/>
        <v>-154784.05636160402</v>
      </c>
    </row>
    <row r="2427" spans="7:18" x14ac:dyDescent="0.25">
      <c r="G2427" t="str">
        <f t="shared" si="129"/>
        <v>Insert into BlueCreditTypeRainbow Values (, , , , , )</v>
      </c>
      <c r="N2427" s="4">
        <v>2424</v>
      </c>
      <c r="O2427" s="8">
        <f>$B$7*COUNTIF(Sheet2!$B$1:$B$132,N2427)</f>
        <v>0</v>
      </c>
      <c r="P2427" s="8">
        <f t="shared" ca="1" si="127"/>
        <v>63.18</v>
      </c>
      <c r="Q2427" s="8">
        <f ca="1">CEILING(R2426*(IF(N2427&lt;=IF($B$2=0,0,OFFSET(Sheet2!$B$1,Sheet1!$B$2-1,0)),$B$1/(365*100),$B$3/(365*100)))*100,1)/100</f>
        <v>-63.18</v>
      </c>
      <c r="R2427" s="9">
        <f t="shared" ca="1" si="128"/>
        <v>-154847.23636160401</v>
      </c>
    </row>
    <row r="2428" spans="7:18" x14ac:dyDescent="0.25">
      <c r="G2428" t="str">
        <f t="shared" si="129"/>
        <v>Insert into BlueCreditTypeRainbow Values (, , , , , )</v>
      </c>
      <c r="N2428" s="4">
        <v>2425</v>
      </c>
      <c r="O2428" s="8">
        <f>$B$7*COUNTIF(Sheet2!$B$1:$B$132,N2428)</f>
        <v>0</v>
      </c>
      <c r="P2428" s="8">
        <f t="shared" ca="1" si="127"/>
        <v>63.21</v>
      </c>
      <c r="Q2428" s="8">
        <f ca="1">CEILING(R2427*(IF(N2428&lt;=IF($B$2=0,0,OFFSET(Sheet2!$B$1,Sheet1!$B$2-1,0)),$B$1/(365*100),$B$3/(365*100)))*100,1)/100</f>
        <v>-63.21</v>
      </c>
      <c r="R2428" s="9">
        <f t="shared" ca="1" si="128"/>
        <v>-154910.446361604</v>
      </c>
    </row>
    <row r="2429" spans="7:18" x14ac:dyDescent="0.25">
      <c r="G2429" t="str">
        <f t="shared" si="129"/>
        <v>Insert into BlueCreditTypeRainbow Values (, , , , , )</v>
      </c>
      <c r="N2429" s="4">
        <v>2426</v>
      </c>
      <c r="O2429" s="8">
        <f>$B$7*COUNTIF(Sheet2!$B$1:$B$132,N2429)</f>
        <v>0</v>
      </c>
      <c r="P2429" s="8">
        <f t="shared" ca="1" si="127"/>
        <v>63.23</v>
      </c>
      <c r="Q2429" s="8">
        <f ca="1">CEILING(R2428*(IF(N2429&lt;=IF($B$2=0,0,OFFSET(Sheet2!$B$1,Sheet1!$B$2-1,0)),$B$1/(365*100),$B$3/(365*100)))*100,1)/100</f>
        <v>-63.23</v>
      </c>
      <c r="R2429" s="9">
        <f t="shared" ca="1" si="128"/>
        <v>-154973.67636160401</v>
      </c>
    </row>
    <row r="2430" spans="7:18" x14ac:dyDescent="0.25">
      <c r="G2430" t="str">
        <f t="shared" si="129"/>
        <v>Insert into BlueCreditTypeRainbow Values (, , , , , )</v>
      </c>
      <c r="N2430" s="4">
        <v>2427</v>
      </c>
      <c r="O2430" s="8">
        <f>$B$7*COUNTIF(Sheet2!$B$1:$B$132,N2430)</f>
        <v>0</v>
      </c>
      <c r="P2430" s="8">
        <f t="shared" ca="1" si="127"/>
        <v>63.26</v>
      </c>
      <c r="Q2430" s="8">
        <f ca="1">CEILING(R2429*(IF(N2430&lt;=IF($B$2=0,0,OFFSET(Sheet2!$B$1,Sheet1!$B$2-1,0)),$B$1/(365*100),$B$3/(365*100)))*100,1)/100</f>
        <v>-63.26</v>
      </c>
      <c r="R2430" s="9">
        <f t="shared" ca="1" si="128"/>
        <v>-155036.93636160402</v>
      </c>
    </row>
    <row r="2431" spans="7:18" x14ac:dyDescent="0.25">
      <c r="G2431" t="str">
        <f t="shared" si="129"/>
        <v>Insert into BlueCreditTypeRainbow Values (, , , , , )</v>
      </c>
      <c r="N2431" s="4">
        <v>2428</v>
      </c>
      <c r="O2431" s="8">
        <f>$B$7*COUNTIF(Sheet2!$B$1:$B$132,N2431)</f>
        <v>0</v>
      </c>
      <c r="P2431" s="8">
        <f t="shared" ref="P2431:P2494" ca="1" si="130">IF(O2431-Q2431&gt; 0, O2431-Q2431, 0)</f>
        <v>63.28</v>
      </c>
      <c r="Q2431" s="8">
        <f ca="1">CEILING(R2430*(IF(N2431&lt;=IF($B$2=0,0,OFFSET(Sheet2!$B$1,Sheet1!$B$2-1,0)),$B$1/(365*100),$B$3/(365*100)))*100,1)/100</f>
        <v>-63.28</v>
      </c>
      <c r="R2431" s="9">
        <f t="shared" ref="R2431:R2494" ca="1" si="131">R2430+Q2431-O2431</f>
        <v>-155100.21636160402</v>
      </c>
    </row>
    <row r="2432" spans="7:18" x14ac:dyDescent="0.25">
      <c r="G2432" t="str">
        <f t="shared" si="129"/>
        <v>Insert into BlueCreditTypeRainbow Values (, , , , , )</v>
      </c>
      <c r="N2432" s="4">
        <v>2429</v>
      </c>
      <c r="O2432" s="8">
        <f>$B$7*COUNTIF(Sheet2!$B$1:$B$132,N2432)</f>
        <v>0</v>
      </c>
      <c r="P2432" s="8">
        <f t="shared" ca="1" si="130"/>
        <v>63.31</v>
      </c>
      <c r="Q2432" s="8">
        <f ca="1">CEILING(R2431*(IF(N2432&lt;=IF($B$2=0,0,OFFSET(Sheet2!$B$1,Sheet1!$B$2-1,0)),$B$1/(365*100),$B$3/(365*100)))*100,1)/100</f>
        <v>-63.31</v>
      </c>
      <c r="R2432" s="9">
        <f t="shared" ca="1" si="131"/>
        <v>-155163.52636160402</v>
      </c>
    </row>
    <row r="2433" spans="7:18" x14ac:dyDescent="0.25">
      <c r="G2433" t="str">
        <f t="shared" si="129"/>
        <v>Insert into BlueCreditTypeRainbow Values (, , , , , )</v>
      </c>
      <c r="N2433" s="4">
        <v>2430</v>
      </c>
      <c r="O2433" s="8">
        <f>$B$7*COUNTIF(Sheet2!$B$1:$B$132,N2433)</f>
        <v>0</v>
      </c>
      <c r="P2433" s="8">
        <f t="shared" ca="1" si="130"/>
        <v>63.34</v>
      </c>
      <c r="Q2433" s="8">
        <f ca="1">CEILING(R2432*(IF(N2433&lt;=IF($B$2=0,0,OFFSET(Sheet2!$B$1,Sheet1!$B$2-1,0)),$B$1/(365*100),$B$3/(365*100)))*100,1)/100</f>
        <v>-63.34</v>
      </c>
      <c r="R2433" s="9">
        <f t="shared" ca="1" si="131"/>
        <v>-155226.86636160401</v>
      </c>
    </row>
    <row r="2434" spans="7:18" x14ac:dyDescent="0.25">
      <c r="G2434" t="str">
        <f t="shared" si="129"/>
        <v>Insert into BlueCreditTypeRainbow Values (, , , , , )</v>
      </c>
      <c r="N2434" s="4">
        <v>2431</v>
      </c>
      <c r="O2434" s="8">
        <f>$B$7*COUNTIF(Sheet2!$B$1:$B$132,N2434)</f>
        <v>0</v>
      </c>
      <c r="P2434" s="8">
        <f t="shared" ca="1" si="130"/>
        <v>63.36</v>
      </c>
      <c r="Q2434" s="8">
        <f ca="1">CEILING(R2433*(IF(N2434&lt;=IF($B$2=0,0,OFFSET(Sheet2!$B$1,Sheet1!$B$2-1,0)),$B$1/(365*100),$B$3/(365*100)))*100,1)/100</f>
        <v>-63.36</v>
      </c>
      <c r="R2434" s="9">
        <f t="shared" ca="1" si="131"/>
        <v>-155290.226361604</v>
      </c>
    </row>
    <row r="2435" spans="7:18" x14ac:dyDescent="0.25">
      <c r="G2435" t="str">
        <f t="shared" si="129"/>
        <v>Insert into BlueCreditTypeRainbow Values (, , , , , )</v>
      </c>
      <c r="N2435" s="4">
        <v>2432</v>
      </c>
      <c r="O2435" s="8">
        <f>$B$7*COUNTIF(Sheet2!$B$1:$B$132,N2435)</f>
        <v>0</v>
      </c>
      <c r="P2435" s="8">
        <f t="shared" ca="1" si="130"/>
        <v>63.39</v>
      </c>
      <c r="Q2435" s="8">
        <f ca="1">CEILING(R2434*(IF(N2435&lt;=IF($B$2=0,0,OFFSET(Sheet2!$B$1,Sheet1!$B$2-1,0)),$B$1/(365*100),$B$3/(365*100)))*100,1)/100</f>
        <v>-63.39</v>
      </c>
      <c r="R2435" s="9">
        <f t="shared" ca="1" si="131"/>
        <v>-155353.61636160401</v>
      </c>
    </row>
    <row r="2436" spans="7:18" x14ac:dyDescent="0.25">
      <c r="G2436" t="str">
        <f t="shared" si="129"/>
        <v>Insert into BlueCreditTypeRainbow Values (, , , , , )</v>
      </c>
      <c r="N2436" s="4">
        <v>2433</v>
      </c>
      <c r="O2436" s="8">
        <f>$B$7*COUNTIF(Sheet2!$B$1:$B$132,N2436)</f>
        <v>0</v>
      </c>
      <c r="P2436" s="8">
        <f t="shared" ca="1" si="130"/>
        <v>63.41</v>
      </c>
      <c r="Q2436" s="8">
        <f ca="1">CEILING(R2435*(IF(N2436&lt;=IF($B$2=0,0,OFFSET(Sheet2!$B$1,Sheet1!$B$2-1,0)),$B$1/(365*100),$B$3/(365*100)))*100,1)/100</f>
        <v>-63.41</v>
      </c>
      <c r="R2436" s="9">
        <f t="shared" ca="1" si="131"/>
        <v>-155417.02636160402</v>
      </c>
    </row>
    <row r="2437" spans="7:18" x14ac:dyDescent="0.25">
      <c r="G2437" t="str">
        <f t="shared" si="129"/>
        <v>Insert into BlueCreditTypeRainbow Values (, , , , , )</v>
      </c>
      <c r="N2437" s="4">
        <v>2434</v>
      </c>
      <c r="O2437" s="8">
        <f>$B$7*COUNTIF(Sheet2!$B$1:$B$132,N2437)</f>
        <v>0</v>
      </c>
      <c r="P2437" s="8">
        <f t="shared" ca="1" si="130"/>
        <v>63.44</v>
      </c>
      <c r="Q2437" s="8">
        <f ca="1">CEILING(R2436*(IF(N2437&lt;=IF($B$2=0,0,OFFSET(Sheet2!$B$1,Sheet1!$B$2-1,0)),$B$1/(365*100),$B$3/(365*100)))*100,1)/100</f>
        <v>-63.44</v>
      </c>
      <c r="R2437" s="9">
        <f t="shared" ca="1" si="131"/>
        <v>-155480.46636160402</v>
      </c>
    </row>
    <row r="2438" spans="7:18" x14ac:dyDescent="0.25">
      <c r="G2438" t="str">
        <f t="shared" si="129"/>
        <v>Insert into BlueCreditTypeRainbow Values (, , , , , )</v>
      </c>
      <c r="N2438" s="4">
        <v>2435</v>
      </c>
      <c r="O2438" s="8">
        <f>$B$7*COUNTIF(Sheet2!$B$1:$B$132,N2438)</f>
        <v>0</v>
      </c>
      <c r="P2438" s="8">
        <f t="shared" ca="1" si="130"/>
        <v>63.47</v>
      </c>
      <c r="Q2438" s="8">
        <f ca="1">CEILING(R2437*(IF(N2438&lt;=IF($B$2=0,0,OFFSET(Sheet2!$B$1,Sheet1!$B$2-1,0)),$B$1/(365*100),$B$3/(365*100)))*100,1)/100</f>
        <v>-63.47</v>
      </c>
      <c r="R2438" s="9">
        <f t="shared" ca="1" si="131"/>
        <v>-155543.93636160402</v>
      </c>
    </row>
    <row r="2439" spans="7:18" x14ac:dyDescent="0.25">
      <c r="G2439" t="str">
        <f t="shared" si="129"/>
        <v>Insert into BlueCreditTypeRainbow Values (, , , , , )</v>
      </c>
      <c r="N2439" s="4">
        <v>2436</v>
      </c>
      <c r="O2439" s="8">
        <f>$B$7*COUNTIF(Sheet2!$B$1:$B$132,N2439)</f>
        <v>0</v>
      </c>
      <c r="P2439" s="8">
        <f t="shared" ca="1" si="130"/>
        <v>63.49</v>
      </c>
      <c r="Q2439" s="8">
        <f ca="1">CEILING(R2438*(IF(N2439&lt;=IF($B$2=0,0,OFFSET(Sheet2!$B$1,Sheet1!$B$2-1,0)),$B$1/(365*100),$B$3/(365*100)))*100,1)/100</f>
        <v>-63.49</v>
      </c>
      <c r="R2439" s="9">
        <f t="shared" ca="1" si="131"/>
        <v>-155607.42636160401</v>
      </c>
    </row>
    <row r="2440" spans="7:18" x14ac:dyDescent="0.25">
      <c r="G2440" t="str">
        <f t="shared" si="129"/>
        <v>Insert into BlueCreditTypeRainbow Values (, , , , , )</v>
      </c>
      <c r="N2440" s="4">
        <v>2437</v>
      </c>
      <c r="O2440" s="8">
        <f>$B$7*COUNTIF(Sheet2!$B$1:$B$132,N2440)</f>
        <v>21157.10552356458</v>
      </c>
      <c r="P2440" s="8">
        <f t="shared" ca="1" si="130"/>
        <v>21220.62552356458</v>
      </c>
      <c r="Q2440" s="8">
        <f ca="1">CEILING(R2439*(IF(N2440&lt;=IF($B$2=0,0,OFFSET(Sheet2!$B$1,Sheet1!$B$2-1,0)),$B$1/(365*100),$B$3/(365*100)))*100,1)/100</f>
        <v>-63.52</v>
      </c>
      <c r="R2440" s="9">
        <f t="shared" ca="1" si="131"/>
        <v>-176828.05188516859</v>
      </c>
    </row>
    <row r="2441" spans="7:18" x14ac:dyDescent="0.25">
      <c r="G2441" t="str">
        <f t="shared" si="129"/>
        <v>Insert into BlueCreditTypeRainbow Values (, , , , , )</v>
      </c>
      <c r="N2441" s="4">
        <v>2438</v>
      </c>
      <c r="O2441" s="8">
        <f>$B$7*COUNTIF(Sheet2!$B$1:$B$132,N2441)</f>
        <v>0</v>
      </c>
      <c r="P2441" s="8">
        <f t="shared" ca="1" si="130"/>
        <v>72.180000000000007</v>
      </c>
      <c r="Q2441" s="8">
        <f ca="1">CEILING(R2440*(IF(N2441&lt;=IF($B$2=0,0,OFFSET(Sheet2!$B$1,Sheet1!$B$2-1,0)),$B$1/(365*100),$B$3/(365*100)))*100,1)/100</f>
        <v>-72.180000000000007</v>
      </c>
      <c r="R2441" s="9">
        <f t="shared" ca="1" si="131"/>
        <v>-176900.23188516858</v>
      </c>
    </row>
    <row r="2442" spans="7:18" x14ac:dyDescent="0.25">
      <c r="G2442" t="str">
        <f t="shared" si="129"/>
        <v>Insert into BlueCreditTypeRainbow Values (, , , , , )</v>
      </c>
      <c r="N2442" s="4">
        <v>2439</v>
      </c>
      <c r="O2442" s="8">
        <f>$B$7*COUNTIF(Sheet2!$B$1:$B$132,N2442)</f>
        <v>0</v>
      </c>
      <c r="P2442" s="8">
        <f t="shared" ca="1" si="130"/>
        <v>72.209999999999994</v>
      </c>
      <c r="Q2442" s="8">
        <f ca="1">CEILING(R2441*(IF(N2442&lt;=IF($B$2=0,0,OFFSET(Sheet2!$B$1,Sheet1!$B$2-1,0)),$B$1/(365*100),$B$3/(365*100)))*100,1)/100</f>
        <v>-72.209999999999994</v>
      </c>
      <c r="R2442" s="9">
        <f t="shared" ca="1" si="131"/>
        <v>-176972.44188516858</v>
      </c>
    </row>
    <row r="2443" spans="7:18" x14ac:dyDescent="0.25">
      <c r="G2443" t="str">
        <f t="shared" si="129"/>
        <v>Insert into BlueCreditTypeRainbow Values (, , , , , )</v>
      </c>
      <c r="N2443" s="4">
        <v>2440</v>
      </c>
      <c r="O2443" s="8">
        <f>$B$7*COUNTIF(Sheet2!$B$1:$B$132,N2443)</f>
        <v>0</v>
      </c>
      <c r="P2443" s="8">
        <f t="shared" ca="1" si="130"/>
        <v>72.239999999999995</v>
      </c>
      <c r="Q2443" s="8">
        <f ca="1">CEILING(R2442*(IF(N2443&lt;=IF($B$2=0,0,OFFSET(Sheet2!$B$1,Sheet1!$B$2-1,0)),$B$1/(365*100),$B$3/(365*100)))*100,1)/100</f>
        <v>-72.239999999999995</v>
      </c>
      <c r="R2443" s="9">
        <f t="shared" ca="1" si="131"/>
        <v>-177044.68188516857</v>
      </c>
    </row>
    <row r="2444" spans="7:18" x14ac:dyDescent="0.25">
      <c r="G2444" t="str">
        <f t="shared" si="129"/>
        <v>Insert into BlueCreditTypeRainbow Values (, , , , , )</v>
      </c>
      <c r="N2444" s="4">
        <v>2441</v>
      </c>
      <c r="O2444" s="8">
        <f>$B$7*COUNTIF(Sheet2!$B$1:$B$132,N2444)</f>
        <v>0</v>
      </c>
      <c r="P2444" s="8">
        <f t="shared" ca="1" si="130"/>
        <v>72.27</v>
      </c>
      <c r="Q2444" s="8">
        <f ca="1">CEILING(R2443*(IF(N2444&lt;=IF($B$2=0,0,OFFSET(Sheet2!$B$1,Sheet1!$B$2-1,0)),$B$1/(365*100),$B$3/(365*100)))*100,1)/100</f>
        <v>-72.27</v>
      </c>
      <c r="R2444" s="9">
        <f t="shared" ca="1" si="131"/>
        <v>-177116.95188516856</v>
      </c>
    </row>
    <row r="2445" spans="7:18" x14ac:dyDescent="0.25">
      <c r="G2445" t="str">
        <f t="shared" si="129"/>
        <v>Insert into BlueCreditTypeRainbow Values (, , , , , )</v>
      </c>
      <c r="N2445" s="4">
        <v>2442</v>
      </c>
      <c r="O2445" s="8">
        <f>$B$7*COUNTIF(Sheet2!$B$1:$B$132,N2445)</f>
        <v>0</v>
      </c>
      <c r="P2445" s="8">
        <f t="shared" ca="1" si="130"/>
        <v>72.3</v>
      </c>
      <c r="Q2445" s="8">
        <f ca="1">CEILING(R2444*(IF(N2445&lt;=IF($B$2=0,0,OFFSET(Sheet2!$B$1,Sheet1!$B$2-1,0)),$B$1/(365*100),$B$3/(365*100)))*100,1)/100</f>
        <v>-72.3</v>
      </c>
      <c r="R2445" s="9">
        <f t="shared" ca="1" si="131"/>
        <v>-177189.25188516855</v>
      </c>
    </row>
    <row r="2446" spans="7:18" x14ac:dyDescent="0.25">
      <c r="G2446" t="str">
        <f t="shared" si="129"/>
        <v>Insert into BlueCreditTypeRainbow Values (, , , , , )</v>
      </c>
      <c r="N2446" s="4">
        <v>2443</v>
      </c>
      <c r="O2446" s="8">
        <f>$B$7*COUNTIF(Sheet2!$B$1:$B$132,N2446)</f>
        <v>0</v>
      </c>
      <c r="P2446" s="8">
        <f t="shared" ca="1" si="130"/>
        <v>72.33</v>
      </c>
      <c r="Q2446" s="8">
        <f ca="1">CEILING(R2445*(IF(N2446&lt;=IF($B$2=0,0,OFFSET(Sheet2!$B$1,Sheet1!$B$2-1,0)),$B$1/(365*100),$B$3/(365*100)))*100,1)/100</f>
        <v>-72.33</v>
      </c>
      <c r="R2446" s="9">
        <f t="shared" ca="1" si="131"/>
        <v>-177261.58188516853</v>
      </c>
    </row>
    <row r="2447" spans="7:18" x14ac:dyDescent="0.25">
      <c r="G2447" t="str">
        <f t="shared" ref="G2447:G2510" si="132">CONCATENATE("Insert into BlueCreditTypeRainbow Values (",A2447,", ",B2447,", ",C2447,", ",D2447,", ",E2447,", ",F2447,")")</f>
        <v>Insert into BlueCreditTypeRainbow Values (, , , , , )</v>
      </c>
      <c r="N2447" s="4">
        <v>2444</v>
      </c>
      <c r="O2447" s="8">
        <f>$B$7*COUNTIF(Sheet2!$B$1:$B$132,N2447)</f>
        <v>0</v>
      </c>
      <c r="P2447" s="8">
        <f t="shared" ca="1" si="130"/>
        <v>72.36</v>
      </c>
      <c r="Q2447" s="8">
        <f ca="1">CEILING(R2446*(IF(N2447&lt;=IF($B$2=0,0,OFFSET(Sheet2!$B$1,Sheet1!$B$2-1,0)),$B$1/(365*100),$B$3/(365*100)))*100,1)/100</f>
        <v>-72.36</v>
      </c>
      <c r="R2447" s="9">
        <f t="shared" ca="1" si="131"/>
        <v>-177333.94188516852</v>
      </c>
    </row>
    <row r="2448" spans="7:18" x14ac:dyDescent="0.25">
      <c r="G2448" t="str">
        <f t="shared" si="132"/>
        <v>Insert into BlueCreditTypeRainbow Values (, , , , , )</v>
      </c>
      <c r="N2448" s="4">
        <v>2445</v>
      </c>
      <c r="O2448" s="8">
        <f>$B$7*COUNTIF(Sheet2!$B$1:$B$132,N2448)</f>
        <v>0</v>
      </c>
      <c r="P2448" s="8">
        <f t="shared" ca="1" si="130"/>
        <v>72.39</v>
      </c>
      <c r="Q2448" s="8">
        <f ca="1">CEILING(R2447*(IF(N2448&lt;=IF($B$2=0,0,OFFSET(Sheet2!$B$1,Sheet1!$B$2-1,0)),$B$1/(365*100),$B$3/(365*100)))*100,1)/100</f>
        <v>-72.39</v>
      </c>
      <c r="R2448" s="9">
        <f t="shared" ca="1" si="131"/>
        <v>-177406.33188516853</v>
      </c>
    </row>
    <row r="2449" spans="7:18" x14ac:dyDescent="0.25">
      <c r="G2449" t="str">
        <f t="shared" si="132"/>
        <v>Insert into BlueCreditTypeRainbow Values (, , , , , )</v>
      </c>
      <c r="N2449" s="4">
        <v>2446</v>
      </c>
      <c r="O2449" s="8">
        <f>$B$7*COUNTIF(Sheet2!$B$1:$B$132,N2449)</f>
        <v>0</v>
      </c>
      <c r="P2449" s="8">
        <f t="shared" ca="1" si="130"/>
        <v>72.42</v>
      </c>
      <c r="Q2449" s="8">
        <f ca="1">CEILING(R2448*(IF(N2449&lt;=IF($B$2=0,0,OFFSET(Sheet2!$B$1,Sheet1!$B$2-1,0)),$B$1/(365*100),$B$3/(365*100)))*100,1)/100</f>
        <v>-72.42</v>
      </c>
      <c r="R2449" s="9">
        <f t="shared" ca="1" si="131"/>
        <v>-177478.75188516855</v>
      </c>
    </row>
    <row r="2450" spans="7:18" x14ac:dyDescent="0.25">
      <c r="G2450" t="str">
        <f t="shared" si="132"/>
        <v>Insert into BlueCreditTypeRainbow Values (, , , , , )</v>
      </c>
      <c r="N2450" s="4">
        <v>2447</v>
      </c>
      <c r="O2450" s="8">
        <f>$B$7*COUNTIF(Sheet2!$B$1:$B$132,N2450)</f>
        <v>0</v>
      </c>
      <c r="P2450" s="8">
        <f t="shared" ca="1" si="130"/>
        <v>72.45</v>
      </c>
      <c r="Q2450" s="8">
        <f ca="1">CEILING(R2449*(IF(N2450&lt;=IF($B$2=0,0,OFFSET(Sheet2!$B$1,Sheet1!$B$2-1,0)),$B$1/(365*100),$B$3/(365*100)))*100,1)/100</f>
        <v>-72.45</v>
      </c>
      <c r="R2450" s="9">
        <f t="shared" ca="1" si="131"/>
        <v>-177551.20188516856</v>
      </c>
    </row>
    <row r="2451" spans="7:18" x14ac:dyDescent="0.25">
      <c r="G2451" t="str">
        <f t="shared" si="132"/>
        <v>Insert into BlueCreditTypeRainbow Values (, , , , , )</v>
      </c>
      <c r="N2451" s="4">
        <v>2448</v>
      </c>
      <c r="O2451" s="8">
        <f>$B$7*COUNTIF(Sheet2!$B$1:$B$132,N2451)</f>
        <v>0</v>
      </c>
      <c r="P2451" s="8">
        <f t="shared" ca="1" si="130"/>
        <v>72.47</v>
      </c>
      <c r="Q2451" s="8">
        <f ca="1">CEILING(R2450*(IF(N2451&lt;=IF($B$2=0,0,OFFSET(Sheet2!$B$1,Sheet1!$B$2-1,0)),$B$1/(365*100),$B$3/(365*100)))*100,1)/100</f>
        <v>-72.47</v>
      </c>
      <c r="R2451" s="9">
        <f t="shared" ca="1" si="131"/>
        <v>-177623.67188516856</v>
      </c>
    </row>
    <row r="2452" spans="7:18" x14ac:dyDescent="0.25">
      <c r="G2452" t="str">
        <f t="shared" si="132"/>
        <v>Insert into BlueCreditTypeRainbow Values (, , , , , )</v>
      </c>
      <c r="N2452" s="4">
        <v>2449</v>
      </c>
      <c r="O2452" s="8">
        <f>$B$7*COUNTIF(Sheet2!$B$1:$B$132,N2452)</f>
        <v>0</v>
      </c>
      <c r="P2452" s="8">
        <f t="shared" ca="1" si="130"/>
        <v>72.5</v>
      </c>
      <c r="Q2452" s="8">
        <f ca="1">CEILING(R2451*(IF(N2452&lt;=IF($B$2=0,0,OFFSET(Sheet2!$B$1,Sheet1!$B$2-1,0)),$B$1/(365*100),$B$3/(365*100)))*100,1)/100</f>
        <v>-72.5</v>
      </c>
      <c r="R2452" s="9">
        <f t="shared" ca="1" si="131"/>
        <v>-177696.17188516856</v>
      </c>
    </row>
    <row r="2453" spans="7:18" x14ac:dyDescent="0.25">
      <c r="G2453" t="str">
        <f t="shared" si="132"/>
        <v>Insert into BlueCreditTypeRainbow Values (, , , , , )</v>
      </c>
      <c r="N2453" s="4">
        <v>2450</v>
      </c>
      <c r="O2453" s="8">
        <f>$B$7*COUNTIF(Sheet2!$B$1:$B$132,N2453)</f>
        <v>0</v>
      </c>
      <c r="P2453" s="8">
        <f t="shared" ca="1" si="130"/>
        <v>72.53</v>
      </c>
      <c r="Q2453" s="8">
        <f ca="1">CEILING(R2452*(IF(N2453&lt;=IF($B$2=0,0,OFFSET(Sheet2!$B$1,Sheet1!$B$2-1,0)),$B$1/(365*100),$B$3/(365*100)))*100,1)/100</f>
        <v>-72.53</v>
      </c>
      <c r="R2453" s="9">
        <f t="shared" ca="1" si="131"/>
        <v>-177768.70188516856</v>
      </c>
    </row>
    <row r="2454" spans="7:18" x14ac:dyDescent="0.25">
      <c r="G2454" t="str">
        <f t="shared" si="132"/>
        <v>Insert into BlueCreditTypeRainbow Values (, , , , , )</v>
      </c>
      <c r="N2454" s="4">
        <v>2451</v>
      </c>
      <c r="O2454" s="8">
        <f>$B$7*COUNTIF(Sheet2!$B$1:$B$132,N2454)</f>
        <v>0</v>
      </c>
      <c r="P2454" s="8">
        <f t="shared" ca="1" si="130"/>
        <v>72.56</v>
      </c>
      <c r="Q2454" s="8">
        <f ca="1">CEILING(R2453*(IF(N2454&lt;=IF($B$2=0,0,OFFSET(Sheet2!$B$1,Sheet1!$B$2-1,0)),$B$1/(365*100),$B$3/(365*100)))*100,1)/100</f>
        <v>-72.56</v>
      </c>
      <c r="R2454" s="9">
        <f t="shared" ca="1" si="131"/>
        <v>-177841.26188516855</v>
      </c>
    </row>
    <row r="2455" spans="7:18" x14ac:dyDescent="0.25">
      <c r="G2455" t="str">
        <f t="shared" si="132"/>
        <v>Insert into BlueCreditTypeRainbow Values (, , , , , )</v>
      </c>
      <c r="N2455" s="4">
        <v>2452</v>
      </c>
      <c r="O2455" s="8">
        <f>$B$7*COUNTIF(Sheet2!$B$1:$B$132,N2455)</f>
        <v>0</v>
      </c>
      <c r="P2455" s="8">
        <f t="shared" ca="1" si="130"/>
        <v>72.59</v>
      </c>
      <c r="Q2455" s="8">
        <f ca="1">CEILING(R2454*(IF(N2455&lt;=IF($B$2=0,0,OFFSET(Sheet2!$B$1,Sheet1!$B$2-1,0)),$B$1/(365*100),$B$3/(365*100)))*100,1)/100</f>
        <v>-72.59</v>
      </c>
      <c r="R2455" s="9">
        <f t="shared" ca="1" si="131"/>
        <v>-177913.85188516855</v>
      </c>
    </row>
    <row r="2456" spans="7:18" x14ac:dyDescent="0.25">
      <c r="G2456" t="str">
        <f t="shared" si="132"/>
        <v>Insert into BlueCreditTypeRainbow Values (, , , , , )</v>
      </c>
      <c r="N2456" s="4">
        <v>2453</v>
      </c>
      <c r="O2456" s="8">
        <f>$B$7*COUNTIF(Sheet2!$B$1:$B$132,N2456)</f>
        <v>0</v>
      </c>
      <c r="P2456" s="8">
        <f t="shared" ca="1" si="130"/>
        <v>72.62</v>
      </c>
      <c r="Q2456" s="8">
        <f ca="1">CEILING(R2455*(IF(N2456&lt;=IF($B$2=0,0,OFFSET(Sheet2!$B$1,Sheet1!$B$2-1,0)),$B$1/(365*100),$B$3/(365*100)))*100,1)/100</f>
        <v>-72.62</v>
      </c>
      <c r="R2456" s="9">
        <f t="shared" ca="1" si="131"/>
        <v>-177986.47188516855</v>
      </c>
    </row>
    <row r="2457" spans="7:18" x14ac:dyDescent="0.25">
      <c r="G2457" t="str">
        <f t="shared" si="132"/>
        <v>Insert into BlueCreditTypeRainbow Values (, , , , , )</v>
      </c>
      <c r="N2457" s="4">
        <v>2454</v>
      </c>
      <c r="O2457" s="8">
        <f>$B$7*COUNTIF(Sheet2!$B$1:$B$132,N2457)</f>
        <v>0</v>
      </c>
      <c r="P2457" s="8">
        <f t="shared" ca="1" si="130"/>
        <v>72.650000000000006</v>
      </c>
      <c r="Q2457" s="8">
        <f ca="1">CEILING(R2456*(IF(N2457&lt;=IF($B$2=0,0,OFFSET(Sheet2!$B$1,Sheet1!$B$2-1,0)),$B$1/(365*100),$B$3/(365*100)))*100,1)/100</f>
        <v>-72.650000000000006</v>
      </c>
      <c r="R2457" s="9">
        <f t="shared" ca="1" si="131"/>
        <v>-178059.12188516854</v>
      </c>
    </row>
    <row r="2458" spans="7:18" x14ac:dyDescent="0.25">
      <c r="G2458" t="str">
        <f t="shared" si="132"/>
        <v>Insert into BlueCreditTypeRainbow Values (, , , , , )</v>
      </c>
      <c r="N2458" s="4">
        <v>2455</v>
      </c>
      <c r="O2458" s="8">
        <f>$B$7*COUNTIF(Sheet2!$B$1:$B$132,N2458)</f>
        <v>0</v>
      </c>
      <c r="P2458" s="8">
        <f t="shared" ca="1" si="130"/>
        <v>72.680000000000007</v>
      </c>
      <c r="Q2458" s="8">
        <f ca="1">CEILING(R2457*(IF(N2458&lt;=IF($B$2=0,0,OFFSET(Sheet2!$B$1,Sheet1!$B$2-1,0)),$B$1/(365*100),$B$3/(365*100)))*100,1)/100</f>
        <v>-72.680000000000007</v>
      </c>
      <c r="R2458" s="9">
        <f t="shared" ca="1" si="131"/>
        <v>-178131.80188516853</v>
      </c>
    </row>
    <row r="2459" spans="7:18" x14ac:dyDescent="0.25">
      <c r="G2459" t="str">
        <f t="shared" si="132"/>
        <v>Insert into BlueCreditTypeRainbow Values (, , , , , )</v>
      </c>
      <c r="N2459" s="4">
        <v>2456</v>
      </c>
      <c r="O2459" s="8">
        <f>$B$7*COUNTIF(Sheet2!$B$1:$B$132,N2459)</f>
        <v>0</v>
      </c>
      <c r="P2459" s="8">
        <f t="shared" ca="1" si="130"/>
        <v>72.709999999999994</v>
      </c>
      <c r="Q2459" s="8">
        <f ca="1">CEILING(R2458*(IF(N2459&lt;=IF($B$2=0,0,OFFSET(Sheet2!$B$1,Sheet1!$B$2-1,0)),$B$1/(365*100),$B$3/(365*100)))*100,1)/100</f>
        <v>-72.709999999999994</v>
      </c>
      <c r="R2459" s="9">
        <f t="shared" ca="1" si="131"/>
        <v>-178204.51188516853</v>
      </c>
    </row>
    <row r="2460" spans="7:18" x14ac:dyDescent="0.25">
      <c r="G2460" t="str">
        <f t="shared" si="132"/>
        <v>Insert into BlueCreditTypeRainbow Values (, , , , , )</v>
      </c>
      <c r="N2460" s="4">
        <v>2457</v>
      </c>
      <c r="O2460" s="8">
        <f>$B$7*COUNTIF(Sheet2!$B$1:$B$132,N2460)</f>
        <v>0</v>
      </c>
      <c r="P2460" s="8">
        <f t="shared" ca="1" si="130"/>
        <v>72.739999999999995</v>
      </c>
      <c r="Q2460" s="8">
        <f ca="1">CEILING(R2459*(IF(N2460&lt;=IF($B$2=0,0,OFFSET(Sheet2!$B$1,Sheet1!$B$2-1,0)),$B$1/(365*100),$B$3/(365*100)))*100,1)/100</f>
        <v>-72.739999999999995</v>
      </c>
      <c r="R2460" s="9">
        <f t="shared" ca="1" si="131"/>
        <v>-178277.25188516852</v>
      </c>
    </row>
    <row r="2461" spans="7:18" x14ac:dyDescent="0.25">
      <c r="G2461" t="str">
        <f t="shared" si="132"/>
        <v>Insert into BlueCreditTypeRainbow Values (, , , , , )</v>
      </c>
      <c r="N2461" s="4">
        <v>2458</v>
      </c>
      <c r="O2461" s="8">
        <f>$B$7*COUNTIF(Sheet2!$B$1:$B$132,N2461)</f>
        <v>0</v>
      </c>
      <c r="P2461" s="8">
        <f t="shared" ca="1" si="130"/>
        <v>72.77</v>
      </c>
      <c r="Q2461" s="8">
        <f ca="1">CEILING(R2460*(IF(N2461&lt;=IF($B$2=0,0,OFFSET(Sheet2!$B$1,Sheet1!$B$2-1,0)),$B$1/(365*100),$B$3/(365*100)))*100,1)/100</f>
        <v>-72.77</v>
      </c>
      <c r="R2461" s="9">
        <f t="shared" ca="1" si="131"/>
        <v>-178350.02188516851</v>
      </c>
    </row>
    <row r="2462" spans="7:18" x14ac:dyDescent="0.25">
      <c r="G2462" t="str">
        <f t="shared" si="132"/>
        <v>Insert into BlueCreditTypeRainbow Values (, , , , , )</v>
      </c>
      <c r="N2462" s="4">
        <v>2459</v>
      </c>
      <c r="O2462" s="8">
        <f>$B$7*COUNTIF(Sheet2!$B$1:$B$132,N2462)</f>
        <v>0</v>
      </c>
      <c r="P2462" s="8">
        <f t="shared" ca="1" si="130"/>
        <v>72.8</v>
      </c>
      <c r="Q2462" s="8">
        <f ca="1">CEILING(R2461*(IF(N2462&lt;=IF($B$2=0,0,OFFSET(Sheet2!$B$1,Sheet1!$B$2-1,0)),$B$1/(365*100),$B$3/(365*100)))*100,1)/100</f>
        <v>-72.8</v>
      </c>
      <c r="R2462" s="9">
        <f t="shared" ca="1" si="131"/>
        <v>-178422.82188516849</v>
      </c>
    </row>
    <row r="2463" spans="7:18" x14ac:dyDescent="0.25">
      <c r="G2463" t="str">
        <f t="shared" si="132"/>
        <v>Insert into BlueCreditTypeRainbow Values (, , , , , )</v>
      </c>
      <c r="N2463" s="4">
        <v>2460</v>
      </c>
      <c r="O2463" s="8">
        <f>$B$7*COUNTIF(Sheet2!$B$1:$B$132,N2463)</f>
        <v>0</v>
      </c>
      <c r="P2463" s="8">
        <f t="shared" ca="1" si="130"/>
        <v>72.83</v>
      </c>
      <c r="Q2463" s="8">
        <f ca="1">CEILING(R2462*(IF(N2463&lt;=IF($B$2=0,0,OFFSET(Sheet2!$B$1,Sheet1!$B$2-1,0)),$B$1/(365*100),$B$3/(365*100)))*100,1)/100</f>
        <v>-72.83</v>
      </c>
      <c r="R2463" s="9">
        <f t="shared" ca="1" si="131"/>
        <v>-178495.65188516848</v>
      </c>
    </row>
    <row r="2464" spans="7:18" x14ac:dyDescent="0.25">
      <c r="G2464" t="str">
        <f t="shared" si="132"/>
        <v>Insert into BlueCreditTypeRainbow Values (, , , , , )</v>
      </c>
      <c r="N2464" s="4">
        <v>2461</v>
      </c>
      <c r="O2464" s="8">
        <f>$B$7*COUNTIF(Sheet2!$B$1:$B$132,N2464)</f>
        <v>0</v>
      </c>
      <c r="P2464" s="8">
        <f t="shared" ca="1" si="130"/>
        <v>72.86</v>
      </c>
      <c r="Q2464" s="8">
        <f ca="1">CEILING(R2463*(IF(N2464&lt;=IF($B$2=0,0,OFFSET(Sheet2!$B$1,Sheet1!$B$2-1,0)),$B$1/(365*100),$B$3/(365*100)))*100,1)/100</f>
        <v>-72.86</v>
      </c>
      <c r="R2464" s="9">
        <f t="shared" ca="1" si="131"/>
        <v>-178568.51188516847</v>
      </c>
    </row>
    <row r="2465" spans="7:18" x14ac:dyDescent="0.25">
      <c r="G2465" t="str">
        <f t="shared" si="132"/>
        <v>Insert into BlueCreditTypeRainbow Values (, , , , , )</v>
      </c>
      <c r="N2465" s="4">
        <v>2462</v>
      </c>
      <c r="O2465" s="8">
        <f>$B$7*COUNTIF(Sheet2!$B$1:$B$132,N2465)</f>
        <v>0</v>
      </c>
      <c r="P2465" s="8">
        <f t="shared" ca="1" si="130"/>
        <v>72.89</v>
      </c>
      <c r="Q2465" s="8">
        <f ca="1">CEILING(R2464*(IF(N2465&lt;=IF($B$2=0,0,OFFSET(Sheet2!$B$1,Sheet1!$B$2-1,0)),$B$1/(365*100),$B$3/(365*100)))*100,1)/100</f>
        <v>-72.89</v>
      </c>
      <c r="R2465" s="9">
        <f t="shared" ca="1" si="131"/>
        <v>-178641.40188516848</v>
      </c>
    </row>
    <row r="2466" spans="7:18" x14ac:dyDescent="0.25">
      <c r="G2466" t="str">
        <f t="shared" si="132"/>
        <v>Insert into BlueCreditTypeRainbow Values (, , , , , )</v>
      </c>
      <c r="N2466" s="4">
        <v>2463</v>
      </c>
      <c r="O2466" s="8">
        <f>$B$7*COUNTIF(Sheet2!$B$1:$B$132,N2466)</f>
        <v>0</v>
      </c>
      <c r="P2466" s="8">
        <f t="shared" ca="1" si="130"/>
        <v>72.92</v>
      </c>
      <c r="Q2466" s="8">
        <f ca="1">CEILING(R2465*(IF(N2466&lt;=IF($B$2=0,0,OFFSET(Sheet2!$B$1,Sheet1!$B$2-1,0)),$B$1/(365*100),$B$3/(365*100)))*100,1)/100</f>
        <v>-72.92</v>
      </c>
      <c r="R2466" s="9">
        <f t="shared" ca="1" si="131"/>
        <v>-178714.32188516849</v>
      </c>
    </row>
    <row r="2467" spans="7:18" x14ac:dyDescent="0.25">
      <c r="G2467" t="str">
        <f t="shared" si="132"/>
        <v>Insert into BlueCreditTypeRainbow Values (, , , , , )</v>
      </c>
      <c r="N2467" s="4">
        <v>2464</v>
      </c>
      <c r="O2467" s="8">
        <f>$B$7*COUNTIF(Sheet2!$B$1:$B$132,N2467)</f>
        <v>0</v>
      </c>
      <c r="P2467" s="8">
        <f t="shared" ca="1" si="130"/>
        <v>72.95</v>
      </c>
      <c r="Q2467" s="8">
        <f ca="1">CEILING(R2466*(IF(N2467&lt;=IF($B$2=0,0,OFFSET(Sheet2!$B$1,Sheet1!$B$2-1,0)),$B$1/(365*100),$B$3/(365*100)))*100,1)/100</f>
        <v>-72.95</v>
      </c>
      <c r="R2467" s="9">
        <f t="shared" ca="1" si="131"/>
        <v>-178787.27188516851</v>
      </c>
    </row>
    <row r="2468" spans="7:18" x14ac:dyDescent="0.25">
      <c r="G2468" t="str">
        <f t="shared" si="132"/>
        <v>Insert into BlueCreditTypeRainbow Values (, , , , , )</v>
      </c>
      <c r="N2468" s="4">
        <v>2465</v>
      </c>
      <c r="O2468" s="8">
        <f>$B$7*COUNTIF(Sheet2!$B$1:$B$132,N2468)</f>
        <v>0</v>
      </c>
      <c r="P2468" s="8">
        <f t="shared" ca="1" si="130"/>
        <v>72.98</v>
      </c>
      <c r="Q2468" s="8">
        <f ca="1">CEILING(R2467*(IF(N2468&lt;=IF($B$2=0,0,OFFSET(Sheet2!$B$1,Sheet1!$B$2-1,0)),$B$1/(365*100),$B$3/(365*100)))*100,1)/100</f>
        <v>-72.98</v>
      </c>
      <c r="R2468" s="9">
        <f t="shared" ca="1" si="131"/>
        <v>-178860.25188516852</v>
      </c>
    </row>
    <row r="2469" spans="7:18" x14ac:dyDescent="0.25">
      <c r="G2469" t="str">
        <f t="shared" si="132"/>
        <v>Insert into BlueCreditTypeRainbow Values (, , , , , )</v>
      </c>
      <c r="N2469" s="4">
        <v>2466</v>
      </c>
      <c r="O2469" s="8">
        <f>$B$7*COUNTIF(Sheet2!$B$1:$B$132,N2469)</f>
        <v>0</v>
      </c>
      <c r="P2469" s="8">
        <f t="shared" ca="1" si="130"/>
        <v>73.010000000000005</v>
      </c>
      <c r="Q2469" s="8">
        <f ca="1">CEILING(R2468*(IF(N2469&lt;=IF($B$2=0,0,OFFSET(Sheet2!$B$1,Sheet1!$B$2-1,0)),$B$1/(365*100),$B$3/(365*100)))*100,1)/100</f>
        <v>-73.010000000000005</v>
      </c>
      <c r="R2469" s="9">
        <f t="shared" ca="1" si="131"/>
        <v>-178933.26188516853</v>
      </c>
    </row>
    <row r="2470" spans="7:18" x14ac:dyDescent="0.25">
      <c r="G2470" t="str">
        <f t="shared" si="132"/>
        <v>Insert into BlueCreditTypeRainbow Values (, , , , , )</v>
      </c>
      <c r="N2470" s="4">
        <v>2467</v>
      </c>
      <c r="O2470" s="8">
        <f>$B$7*COUNTIF(Sheet2!$B$1:$B$132,N2470)</f>
        <v>0</v>
      </c>
      <c r="P2470" s="8">
        <f t="shared" ca="1" si="130"/>
        <v>73.040000000000006</v>
      </c>
      <c r="Q2470" s="8">
        <f ca="1">CEILING(R2469*(IF(N2470&lt;=IF($B$2=0,0,OFFSET(Sheet2!$B$1,Sheet1!$B$2-1,0)),$B$1/(365*100),$B$3/(365*100)))*100,1)/100</f>
        <v>-73.040000000000006</v>
      </c>
      <c r="R2470" s="9">
        <f t="shared" ca="1" si="131"/>
        <v>-179006.30188516853</v>
      </c>
    </row>
    <row r="2471" spans="7:18" x14ac:dyDescent="0.25">
      <c r="G2471" t="str">
        <f t="shared" si="132"/>
        <v>Insert into BlueCreditTypeRainbow Values (, , , , , )</v>
      </c>
      <c r="N2471" s="4">
        <v>2468</v>
      </c>
      <c r="O2471" s="8">
        <f>$B$7*COUNTIF(Sheet2!$B$1:$B$132,N2471)</f>
        <v>21157.10552356458</v>
      </c>
      <c r="P2471" s="8">
        <f t="shared" ca="1" si="130"/>
        <v>21230.17552356458</v>
      </c>
      <c r="Q2471" s="8">
        <f ca="1">CEILING(R2470*(IF(N2471&lt;=IF($B$2=0,0,OFFSET(Sheet2!$B$1,Sheet1!$B$2-1,0)),$B$1/(365*100),$B$3/(365*100)))*100,1)/100</f>
        <v>-73.069999999999993</v>
      </c>
      <c r="R2471" s="9">
        <f t="shared" ca="1" si="131"/>
        <v>-200236.47740873313</v>
      </c>
    </row>
    <row r="2472" spans="7:18" x14ac:dyDescent="0.25">
      <c r="G2472" t="str">
        <f t="shared" si="132"/>
        <v>Insert into BlueCreditTypeRainbow Values (, , , , , )</v>
      </c>
      <c r="N2472" s="4">
        <v>2469</v>
      </c>
      <c r="O2472" s="8">
        <f>$B$7*COUNTIF(Sheet2!$B$1:$B$132,N2472)</f>
        <v>0</v>
      </c>
      <c r="P2472" s="8">
        <f t="shared" ca="1" si="130"/>
        <v>81.739999999999995</v>
      </c>
      <c r="Q2472" s="8">
        <f ca="1">CEILING(R2471*(IF(N2472&lt;=IF($B$2=0,0,OFFSET(Sheet2!$B$1,Sheet1!$B$2-1,0)),$B$1/(365*100),$B$3/(365*100)))*100,1)/100</f>
        <v>-81.739999999999995</v>
      </c>
      <c r="R2472" s="9">
        <f t="shared" ca="1" si="131"/>
        <v>-200318.21740873312</v>
      </c>
    </row>
    <row r="2473" spans="7:18" x14ac:dyDescent="0.25">
      <c r="G2473" t="str">
        <f t="shared" si="132"/>
        <v>Insert into BlueCreditTypeRainbow Values (, , , , , )</v>
      </c>
      <c r="N2473" s="4">
        <v>2470</v>
      </c>
      <c r="O2473" s="8">
        <f>$B$7*COUNTIF(Sheet2!$B$1:$B$132,N2473)</f>
        <v>0</v>
      </c>
      <c r="P2473" s="8">
        <f t="shared" ca="1" si="130"/>
        <v>81.77</v>
      </c>
      <c r="Q2473" s="8">
        <f ca="1">CEILING(R2472*(IF(N2473&lt;=IF($B$2=0,0,OFFSET(Sheet2!$B$1,Sheet1!$B$2-1,0)),$B$1/(365*100),$B$3/(365*100)))*100,1)/100</f>
        <v>-81.77</v>
      </c>
      <c r="R2473" s="9">
        <f t="shared" ca="1" si="131"/>
        <v>-200399.98740873311</v>
      </c>
    </row>
    <row r="2474" spans="7:18" x14ac:dyDescent="0.25">
      <c r="G2474" t="str">
        <f t="shared" si="132"/>
        <v>Insert into BlueCreditTypeRainbow Values (, , , , , )</v>
      </c>
      <c r="N2474" s="4">
        <v>2471</v>
      </c>
      <c r="O2474" s="8">
        <f>$B$7*COUNTIF(Sheet2!$B$1:$B$132,N2474)</f>
        <v>0</v>
      </c>
      <c r="P2474" s="8">
        <f t="shared" ca="1" si="130"/>
        <v>81.8</v>
      </c>
      <c r="Q2474" s="8">
        <f ca="1">CEILING(R2473*(IF(N2474&lt;=IF($B$2=0,0,OFFSET(Sheet2!$B$1,Sheet1!$B$2-1,0)),$B$1/(365*100),$B$3/(365*100)))*100,1)/100</f>
        <v>-81.8</v>
      </c>
      <c r="R2474" s="9">
        <f t="shared" ca="1" si="131"/>
        <v>-200481.7874087331</v>
      </c>
    </row>
    <row r="2475" spans="7:18" x14ac:dyDescent="0.25">
      <c r="G2475" t="str">
        <f t="shared" si="132"/>
        <v>Insert into BlueCreditTypeRainbow Values (, , , , , )</v>
      </c>
      <c r="N2475" s="4">
        <v>2472</v>
      </c>
      <c r="O2475" s="8">
        <f>$B$7*COUNTIF(Sheet2!$B$1:$B$132,N2475)</f>
        <v>0</v>
      </c>
      <c r="P2475" s="8">
        <f t="shared" ca="1" si="130"/>
        <v>81.84</v>
      </c>
      <c r="Q2475" s="8">
        <f ca="1">CEILING(R2474*(IF(N2475&lt;=IF($B$2=0,0,OFFSET(Sheet2!$B$1,Sheet1!$B$2-1,0)),$B$1/(365*100),$B$3/(365*100)))*100,1)/100</f>
        <v>-81.84</v>
      </c>
      <c r="R2475" s="9">
        <f t="shared" ca="1" si="131"/>
        <v>-200563.6274087331</v>
      </c>
    </row>
    <row r="2476" spans="7:18" x14ac:dyDescent="0.25">
      <c r="G2476" t="str">
        <f t="shared" si="132"/>
        <v>Insert into BlueCreditTypeRainbow Values (, , , , , )</v>
      </c>
      <c r="N2476" s="4">
        <v>2473</v>
      </c>
      <c r="O2476" s="8">
        <f>$B$7*COUNTIF(Sheet2!$B$1:$B$132,N2476)</f>
        <v>0</v>
      </c>
      <c r="P2476" s="8">
        <f t="shared" ca="1" si="130"/>
        <v>81.87</v>
      </c>
      <c r="Q2476" s="8">
        <f ca="1">CEILING(R2475*(IF(N2476&lt;=IF($B$2=0,0,OFFSET(Sheet2!$B$1,Sheet1!$B$2-1,0)),$B$1/(365*100),$B$3/(365*100)))*100,1)/100</f>
        <v>-81.87</v>
      </c>
      <c r="R2476" s="9">
        <f t="shared" ca="1" si="131"/>
        <v>-200645.49740873309</v>
      </c>
    </row>
    <row r="2477" spans="7:18" x14ac:dyDescent="0.25">
      <c r="G2477" t="str">
        <f t="shared" si="132"/>
        <v>Insert into BlueCreditTypeRainbow Values (, , , , , )</v>
      </c>
      <c r="N2477" s="4">
        <v>2474</v>
      </c>
      <c r="O2477" s="8">
        <f>$B$7*COUNTIF(Sheet2!$B$1:$B$132,N2477)</f>
        <v>0</v>
      </c>
      <c r="P2477" s="8">
        <f t="shared" ca="1" si="130"/>
        <v>81.900000000000006</v>
      </c>
      <c r="Q2477" s="8">
        <f ca="1">CEILING(R2476*(IF(N2477&lt;=IF($B$2=0,0,OFFSET(Sheet2!$B$1,Sheet1!$B$2-1,0)),$B$1/(365*100),$B$3/(365*100)))*100,1)/100</f>
        <v>-81.900000000000006</v>
      </c>
      <c r="R2477" s="9">
        <f t="shared" ca="1" si="131"/>
        <v>-200727.39740873309</v>
      </c>
    </row>
    <row r="2478" spans="7:18" x14ac:dyDescent="0.25">
      <c r="G2478" t="str">
        <f t="shared" si="132"/>
        <v>Insert into BlueCreditTypeRainbow Values (, , , , , )</v>
      </c>
      <c r="N2478" s="4">
        <v>2475</v>
      </c>
      <c r="O2478" s="8">
        <f>$B$7*COUNTIF(Sheet2!$B$1:$B$132,N2478)</f>
        <v>0</v>
      </c>
      <c r="P2478" s="8">
        <f t="shared" ca="1" si="130"/>
        <v>81.94</v>
      </c>
      <c r="Q2478" s="8">
        <f ca="1">CEILING(R2477*(IF(N2478&lt;=IF($B$2=0,0,OFFSET(Sheet2!$B$1,Sheet1!$B$2-1,0)),$B$1/(365*100),$B$3/(365*100)))*100,1)/100</f>
        <v>-81.94</v>
      </c>
      <c r="R2478" s="9">
        <f t="shared" ca="1" si="131"/>
        <v>-200809.33740873309</v>
      </c>
    </row>
    <row r="2479" spans="7:18" x14ac:dyDescent="0.25">
      <c r="G2479" t="str">
        <f t="shared" si="132"/>
        <v>Insert into BlueCreditTypeRainbow Values (, , , , , )</v>
      </c>
      <c r="N2479" s="4">
        <v>2476</v>
      </c>
      <c r="O2479" s="8">
        <f>$B$7*COUNTIF(Sheet2!$B$1:$B$132,N2479)</f>
        <v>0</v>
      </c>
      <c r="P2479" s="8">
        <f t="shared" ca="1" si="130"/>
        <v>81.97</v>
      </c>
      <c r="Q2479" s="8">
        <f ca="1">CEILING(R2478*(IF(N2479&lt;=IF($B$2=0,0,OFFSET(Sheet2!$B$1,Sheet1!$B$2-1,0)),$B$1/(365*100),$B$3/(365*100)))*100,1)/100</f>
        <v>-81.97</v>
      </c>
      <c r="R2479" s="9">
        <f t="shared" ca="1" si="131"/>
        <v>-200891.30740873309</v>
      </c>
    </row>
    <row r="2480" spans="7:18" x14ac:dyDescent="0.25">
      <c r="G2480" t="str">
        <f t="shared" si="132"/>
        <v>Insert into BlueCreditTypeRainbow Values (, , , , , )</v>
      </c>
      <c r="N2480" s="4">
        <v>2477</v>
      </c>
      <c r="O2480" s="8">
        <f>$B$7*COUNTIF(Sheet2!$B$1:$B$132,N2480)</f>
        <v>0</v>
      </c>
      <c r="P2480" s="8">
        <f t="shared" ca="1" si="130"/>
        <v>82</v>
      </c>
      <c r="Q2480" s="8">
        <f ca="1">CEILING(R2479*(IF(N2480&lt;=IF($B$2=0,0,OFFSET(Sheet2!$B$1,Sheet1!$B$2-1,0)),$B$1/(365*100),$B$3/(365*100)))*100,1)/100</f>
        <v>-82</v>
      </c>
      <c r="R2480" s="9">
        <f t="shared" ca="1" si="131"/>
        <v>-200973.30740873309</v>
      </c>
    </row>
    <row r="2481" spans="7:18" x14ac:dyDescent="0.25">
      <c r="G2481" t="str">
        <f t="shared" si="132"/>
        <v>Insert into BlueCreditTypeRainbow Values (, , , , , )</v>
      </c>
      <c r="N2481" s="4">
        <v>2478</v>
      </c>
      <c r="O2481" s="8">
        <f>$B$7*COUNTIF(Sheet2!$B$1:$B$132,N2481)</f>
        <v>0</v>
      </c>
      <c r="P2481" s="8">
        <f t="shared" ca="1" si="130"/>
        <v>82.04</v>
      </c>
      <c r="Q2481" s="8">
        <f ca="1">CEILING(R2480*(IF(N2481&lt;=IF($B$2=0,0,OFFSET(Sheet2!$B$1,Sheet1!$B$2-1,0)),$B$1/(365*100),$B$3/(365*100)))*100,1)/100</f>
        <v>-82.04</v>
      </c>
      <c r="R2481" s="9">
        <f t="shared" ca="1" si="131"/>
        <v>-201055.3474087331</v>
      </c>
    </row>
    <row r="2482" spans="7:18" x14ac:dyDescent="0.25">
      <c r="G2482" t="str">
        <f t="shared" si="132"/>
        <v>Insert into BlueCreditTypeRainbow Values (, , , , , )</v>
      </c>
      <c r="N2482" s="4">
        <v>2479</v>
      </c>
      <c r="O2482" s="8">
        <f>$B$7*COUNTIF(Sheet2!$B$1:$B$132,N2482)</f>
        <v>0</v>
      </c>
      <c r="P2482" s="8">
        <f t="shared" ca="1" si="130"/>
        <v>82.07</v>
      </c>
      <c r="Q2482" s="8">
        <f ca="1">CEILING(R2481*(IF(N2482&lt;=IF($B$2=0,0,OFFSET(Sheet2!$B$1,Sheet1!$B$2-1,0)),$B$1/(365*100),$B$3/(365*100)))*100,1)/100</f>
        <v>-82.07</v>
      </c>
      <c r="R2482" s="9">
        <f t="shared" ca="1" si="131"/>
        <v>-201137.4174087331</v>
      </c>
    </row>
    <row r="2483" spans="7:18" x14ac:dyDescent="0.25">
      <c r="G2483" t="str">
        <f t="shared" si="132"/>
        <v>Insert into BlueCreditTypeRainbow Values (, , , , , )</v>
      </c>
      <c r="N2483" s="4">
        <v>2480</v>
      </c>
      <c r="O2483" s="8">
        <f>$B$7*COUNTIF(Sheet2!$B$1:$B$132,N2483)</f>
        <v>0</v>
      </c>
      <c r="P2483" s="8">
        <f t="shared" ca="1" si="130"/>
        <v>82.1</v>
      </c>
      <c r="Q2483" s="8">
        <f ca="1">CEILING(R2482*(IF(N2483&lt;=IF($B$2=0,0,OFFSET(Sheet2!$B$1,Sheet1!$B$2-1,0)),$B$1/(365*100),$B$3/(365*100)))*100,1)/100</f>
        <v>-82.1</v>
      </c>
      <c r="R2483" s="9">
        <f t="shared" ca="1" si="131"/>
        <v>-201219.51740873311</v>
      </c>
    </row>
    <row r="2484" spans="7:18" x14ac:dyDescent="0.25">
      <c r="G2484" t="str">
        <f t="shared" si="132"/>
        <v>Insert into BlueCreditTypeRainbow Values (, , , , , )</v>
      </c>
      <c r="N2484" s="4">
        <v>2481</v>
      </c>
      <c r="O2484" s="8">
        <f>$B$7*COUNTIF(Sheet2!$B$1:$B$132,N2484)</f>
        <v>0</v>
      </c>
      <c r="P2484" s="8">
        <f t="shared" ca="1" si="130"/>
        <v>82.14</v>
      </c>
      <c r="Q2484" s="8">
        <f ca="1">CEILING(R2483*(IF(N2484&lt;=IF($B$2=0,0,OFFSET(Sheet2!$B$1,Sheet1!$B$2-1,0)),$B$1/(365*100),$B$3/(365*100)))*100,1)/100</f>
        <v>-82.14</v>
      </c>
      <c r="R2484" s="9">
        <f t="shared" ca="1" si="131"/>
        <v>-201301.65740873312</v>
      </c>
    </row>
    <row r="2485" spans="7:18" x14ac:dyDescent="0.25">
      <c r="G2485" t="str">
        <f t="shared" si="132"/>
        <v>Insert into BlueCreditTypeRainbow Values (, , , , , )</v>
      </c>
      <c r="N2485" s="4">
        <v>2482</v>
      </c>
      <c r="O2485" s="8">
        <f>$B$7*COUNTIF(Sheet2!$B$1:$B$132,N2485)</f>
        <v>0</v>
      </c>
      <c r="P2485" s="8">
        <f t="shared" ca="1" si="130"/>
        <v>82.17</v>
      </c>
      <c r="Q2485" s="8">
        <f ca="1">CEILING(R2484*(IF(N2485&lt;=IF($B$2=0,0,OFFSET(Sheet2!$B$1,Sheet1!$B$2-1,0)),$B$1/(365*100),$B$3/(365*100)))*100,1)/100</f>
        <v>-82.17</v>
      </c>
      <c r="R2485" s="9">
        <f t="shared" ca="1" si="131"/>
        <v>-201383.82740873314</v>
      </c>
    </row>
    <row r="2486" spans="7:18" x14ac:dyDescent="0.25">
      <c r="G2486" t="str">
        <f t="shared" si="132"/>
        <v>Insert into BlueCreditTypeRainbow Values (, , , , , )</v>
      </c>
      <c r="N2486" s="4">
        <v>2483</v>
      </c>
      <c r="O2486" s="8">
        <f>$B$7*COUNTIF(Sheet2!$B$1:$B$132,N2486)</f>
        <v>0</v>
      </c>
      <c r="P2486" s="8">
        <f t="shared" ca="1" si="130"/>
        <v>82.2</v>
      </c>
      <c r="Q2486" s="8">
        <f ca="1">CEILING(R2485*(IF(N2486&lt;=IF($B$2=0,0,OFFSET(Sheet2!$B$1,Sheet1!$B$2-1,0)),$B$1/(365*100),$B$3/(365*100)))*100,1)/100</f>
        <v>-82.2</v>
      </c>
      <c r="R2486" s="9">
        <f t="shared" ca="1" si="131"/>
        <v>-201466.02740873315</v>
      </c>
    </row>
    <row r="2487" spans="7:18" x14ac:dyDescent="0.25">
      <c r="G2487" t="str">
        <f t="shared" si="132"/>
        <v>Insert into BlueCreditTypeRainbow Values (, , , , , )</v>
      </c>
      <c r="N2487" s="4">
        <v>2484</v>
      </c>
      <c r="O2487" s="8">
        <f>$B$7*COUNTIF(Sheet2!$B$1:$B$132,N2487)</f>
        <v>0</v>
      </c>
      <c r="P2487" s="8">
        <f t="shared" ca="1" si="130"/>
        <v>82.24</v>
      </c>
      <c r="Q2487" s="8">
        <f ca="1">CEILING(R2486*(IF(N2487&lt;=IF($B$2=0,0,OFFSET(Sheet2!$B$1,Sheet1!$B$2-1,0)),$B$1/(365*100),$B$3/(365*100)))*100,1)/100</f>
        <v>-82.24</v>
      </c>
      <c r="R2487" s="9">
        <f t="shared" ca="1" si="131"/>
        <v>-201548.26740873314</v>
      </c>
    </row>
    <row r="2488" spans="7:18" x14ac:dyDescent="0.25">
      <c r="G2488" t="str">
        <f t="shared" si="132"/>
        <v>Insert into BlueCreditTypeRainbow Values (, , , , , )</v>
      </c>
      <c r="N2488" s="4">
        <v>2485</v>
      </c>
      <c r="O2488" s="8">
        <f>$B$7*COUNTIF(Sheet2!$B$1:$B$132,N2488)</f>
        <v>0</v>
      </c>
      <c r="P2488" s="8">
        <f t="shared" ca="1" si="130"/>
        <v>82.27</v>
      </c>
      <c r="Q2488" s="8">
        <f ca="1">CEILING(R2487*(IF(N2488&lt;=IF($B$2=0,0,OFFSET(Sheet2!$B$1,Sheet1!$B$2-1,0)),$B$1/(365*100),$B$3/(365*100)))*100,1)/100</f>
        <v>-82.27</v>
      </c>
      <c r="R2488" s="9">
        <f t="shared" ca="1" si="131"/>
        <v>-201630.53740873313</v>
      </c>
    </row>
    <row r="2489" spans="7:18" x14ac:dyDescent="0.25">
      <c r="G2489" t="str">
        <f t="shared" si="132"/>
        <v>Insert into BlueCreditTypeRainbow Values (, , , , , )</v>
      </c>
      <c r="N2489" s="4">
        <v>2486</v>
      </c>
      <c r="O2489" s="8">
        <f>$B$7*COUNTIF(Sheet2!$B$1:$B$132,N2489)</f>
        <v>0</v>
      </c>
      <c r="P2489" s="8">
        <f t="shared" ca="1" si="130"/>
        <v>82.3</v>
      </c>
      <c r="Q2489" s="8">
        <f ca="1">CEILING(R2488*(IF(N2489&lt;=IF($B$2=0,0,OFFSET(Sheet2!$B$1,Sheet1!$B$2-1,0)),$B$1/(365*100),$B$3/(365*100)))*100,1)/100</f>
        <v>-82.3</v>
      </c>
      <c r="R2489" s="9">
        <f t="shared" ca="1" si="131"/>
        <v>-201712.83740873312</v>
      </c>
    </row>
    <row r="2490" spans="7:18" x14ac:dyDescent="0.25">
      <c r="G2490" t="str">
        <f t="shared" si="132"/>
        <v>Insert into BlueCreditTypeRainbow Values (, , , , , )</v>
      </c>
      <c r="N2490" s="4">
        <v>2487</v>
      </c>
      <c r="O2490" s="8">
        <f>$B$7*COUNTIF(Sheet2!$B$1:$B$132,N2490)</f>
        <v>0</v>
      </c>
      <c r="P2490" s="8">
        <f t="shared" ca="1" si="130"/>
        <v>82.34</v>
      </c>
      <c r="Q2490" s="8">
        <f ca="1">CEILING(R2489*(IF(N2490&lt;=IF($B$2=0,0,OFFSET(Sheet2!$B$1,Sheet1!$B$2-1,0)),$B$1/(365*100),$B$3/(365*100)))*100,1)/100</f>
        <v>-82.34</v>
      </c>
      <c r="R2490" s="9">
        <f t="shared" ca="1" si="131"/>
        <v>-201795.17740873311</v>
      </c>
    </row>
    <row r="2491" spans="7:18" x14ac:dyDescent="0.25">
      <c r="G2491" t="str">
        <f t="shared" si="132"/>
        <v>Insert into BlueCreditTypeRainbow Values (, , , , , )</v>
      </c>
      <c r="N2491" s="4">
        <v>2488</v>
      </c>
      <c r="O2491" s="8">
        <f>$B$7*COUNTIF(Sheet2!$B$1:$B$132,N2491)</f>
        <v>0</v>
      </c>
      <c r="P2491" s="8">
        <f t="shared" ca="1" si="130"/>
        <v>82.37</v>
      </c>
      <c r="Q2491" s="8">
        <f ca="1">CEILING(R2490*(IF(N2491&lt;=IF($B$2=0,0,OFFSET(Sheet2!$B$1,Sheet1!$B$2-1,0)),$B$1/(365*100),$B$3/(365*100)))*100,1)/100</f>
        <v>-82.37</v>
      </c>
      <c r="R2491" s="9">
        <f t="shared" ca="1" si="131"/>
        <v>-201877.54740873311</v>
      </c>
    </row>
    <row r="2492" spans="7:18" x14ac:dyDescent="0.25">
      <c r="G2492" t="str">
        <f t="shared" si="132"/>
        <v>Insert into BlueCreditTypeRainbow Values (, , , , , )</v>
      </c>
      <c r="N2492" s="4">
        <v>2489</v>
      </c>
      <c r="O2492" s="8">
        <f>$B$7*COUNTIF(Sheet2!$B$1:$B$132,N2492)</f>
        <v>0</v>
      </c>
      <c r="P2492" s="8">
        <f t="shared" ca="1" si="130"/>
        <v>82.41</v>
      </c>
      <c r="Q2492" s="8">
        <f ca="1">CEILING(R2491*(IF(N2492&lt;=IF($B$2=0,0,OFFSET(Sheet2!$B$1,Sheet1!$B$2-1,0)),$B$1/(365*100),$B$3/(365*100)))*100,1)/100</f>
        <v>-82.41</v>
      </c>
      <c r="R2492" s="9">
        <f t="shared" ca="1" si="131"/>
        <v>-201959.95740873311</v>
      </c>
    </row>
    <row r="2493" spans="7:18" x14ac:dyDescent="0.25">
      <c r="G2493" t="str">
        <f t="shared" si="132"/>
        <v>Insert into BlueCreditTypeRainbow Values (, , , , , )</v>
      </c>
      <c r="N2493" s="4">
        <v>2490</v>
      </c>
      <c r="O2493" s="8">
        <f>$B$7*COUNTIF(Sheet2!$B$1:$B$132,N2493)</f>
        <v>0</v>
      </c>
      <c r="P2493" s="8">
        <f t="shared" ca="1" si="130"/>
        <v>82.44</v>
      </c>
      <c r="Q2493" s="8">
        <f ca="1">CEILING(R2492*(IF(N2493&lt;=IF($B$2=0,0,OFFSET(Sheet2!$B$1,Sheet1!$B$2-1,0)),$B$1/(365*100),$B$3/(365*100)))*100,1)/100</f>
        <v>-82.44</v>
      </c>
      <c r="R2493" s="9">
        <f t="shared" ca="1" si="131"/>
        <v>-202042.39740873312</v>
      </c>
    </row>
    <row r="2494" spans="7:18" x14ac:dyDescent="0.25">
      <c r="G2494" t="str">
        <f t="shared" si="132"/>
        <v>Insert into BlueCreditTypeRainbow Values (, , , , , )</v>
      </c>
      <c r="N2494" s="4">
        <v>2491</v>
      </c>
      <c r="O2494" s="8">
        <f>$B$7*COUNTIF(Sheet2!$B$1:$B$132,N2494)</f>
        <v>0</v>
      </c>
      <c r="P2494" s="8">
        <f t="shared" ca="1" si="130"/>
        <v>82.47</v>
      </c>
      <c r="Q2494" s="8">
        <f ca="1">CEILING(R2493*(IF(N2494&lt;=IF($B$2=0,0,OFFSET(Sheet2!$B$1,Sheet1!$B$2-1,0)),$B$1/(365*100),$B$3/(365*100)))*100,1)/100</f>
        <v>-82.47</v>
      </c>
      <c r="R2494" s="9">
        <f t="shared" ca="1" si="131"/>
        <v>-202124.86740873312</v>
      </c>
    </row>
    <row r="2495" spans="7:18" x14ac:dyDescent="0.25">
      <c r="G2495" t="str">
        <f t="shared" si="132"/>
        <v>Insert into BlueCreditTypeRainbow Values (, , , , , )</v>
      </c>
      <c r="N2495" s="4">
        <v>2492</v>
      </c>
      <c r="O2495" s="8">
        <f>$B$7*COUNTIF(Sheet2!$B$1:$B$132,N2495)</f>
        <v>0</v>
      </c>
      <c r="P2495" s="8">
        <f t="shared" ref="P2495:P2558" ca="1" si="133">IF(O2495-Q2495&gt; 0, O2495-Q2495, 0)</f>
        <v>82.51</v>
      </c>
      <c r="Q2495" s="8">
        <f ca="1">CEILING(R2494*(IF(N2495&lt;=IF($B$2=0,0,OFFSET(Sheet2!$B$1,Sheet1!$B$2-1,0)),$B$1/(365*100),$B$3/(365*100)))*100,1)/100</f>
        <v>-82.51</v>
      </c>
      <c r="R2495" s="9">
        <f t="shared" ref="R2495:R2558" ca="1" si="134">R2494+Q2495-O2495</f>
        <v>-202207.37740873313</v>
      </c>
    </row>
    <row r="2496" spans="7:18" x14ac:dyDescent="0.25">
      <c r="G2496" t="str">
        <f t="shared" si="132"/>
        <v>Insert into BlueCreditTypeRainbow Values (, , , , , )</v>
      </c>
      <c r="N2496" s="4">
        <v>2493</v>
      </c>
      <c r="O2496" s="8">
        <f>$B$7*COUNTIF(Sheet2!$B$1:$B$132,N2496)</f>
        <v>0</v>
      </c>
      <c r="P2496" s="8">
        <f t="shared" ca="1" si="133"/>
        <v>82.54</v>
      </c>
      <c r="Q2496" s="8">
        <f ca="1">CEILING(R2495*(IF(N2496&lt;=IF($B$2=0,0,OFFSET(Sheet2!$B$1,Sheet1!$B$2-1,0)),$B$1/(365*100),$B$3/(365*100)))*100,1)/100</f>
        <v>-82.54</v>
      </c>
      <c r="R2496" s="9">
        <f t="shared" ca="1" si="134"/>
        <v>-202289.91740873313</v>
      </c>
    </row>
    <row r="2497" spans="7:18" x14ac:dyDescent="0.25">
      <c r="G2497" t="str">
        <f t="shared" si="132"/>
        <v>Insert into BlueCreditTypeRainbow Values (, , , , , )</v>
      </c>
      <c r="N2497" s="4">
        <v>2494</v>
      </c>
      <c r="O2497" s="8">
        <f>$B$7*COUNTIF(Sheet2!$B$1:$B$132,N2497)</f>
        <v>0</v>
      </c>
      <c r="P2497" s="8">
        <f t="shared" ca="1" si="133"/>
        <v>82.57</v>
      </c>
      <c r="Q2497" s="8">
        <f ca="1">CEILING(R2496*(IF(N2497&lt;=IF($B$2=0,0,OFFSET(Sheet2!$B$1,Sheet1!$B$2-1,0)),$B$1/(365*100),$B$3/(365*100)))*100,1)/100</f>
        <v>-82.57</v>
      </c>
      <c r="R2497" s="9">
        <f t="shared" ca="1" si="134"/>
        <v>-202372.48740873314</v>
      </c>
    </row>
    <row r="2498" spans="7:18" x14ac:dyDescent="0.25">
      <c r="G2498" t="str">
        <f t="shared" si="132"/>
        <v>Insert into BlueCreditTypeRainbow Values (, , , , , )</v>
      </c>
      <c r="N2498" s="4">
        <v>2495</v>
      </c>
      <c r="O2498" s="8">
        <f>$B$7*COUNTIF(Sheet2!$B$1:$B$132,N2498)</f>
        <v>0</v>
      </c>
      <c r="P2498" s="8">
        <f t="shared" ca="1" si="133"/>
        <v>82.61</v>
      </c>
      <c r="Q2498" s="8">
        <f ca="1">CEILING(R2497*(IF(N2498&lt;=IF($B$2=0,0,OFFSET(Sheet2!$B$1,Sheet1!$B$2-1,0)),$B$1/(365*100),$B$3/(365*100)))*100,1)/100</f>
        <v>-82.61</v>
      </c>
      <c r="R2498" s="9">
        <f t="shared" ca="1" si="134"/>
        <v>-202455.09740873313</v>
      </c>
    </row>
    <row r="2499" spans="7:18" x14ac:dyDescent="0.25">
      <c r="G2499" t="str">
        <f t="shared" si="132"/>
        <v>Insert into BlueCreditTypeRainbow Values (, , , , , )</v>
      </c>
      <c r="N2499" s="4">
        <v>2496</v>
      </c>
      <c r="O2499" s="8">
        <f>$B$7*COUNTIF(Sheet2!$B$1:$B$132,N2499)</f>
        <v>0</v>
      </c>
      <c r="P2499" s="8">
        <f t="shared" ca="1" si="133"/>
        <v>82.64</v>
      </c>
      <c r="Q2499" s="8">
        <f ca="1">CEILING(R2498*(IF(N2499&lt;=IF($B$2=0,0,OFFSET(Sheet2!$B$1,Sheet1!$B$2-1,0)),$B$1/(365*100),$B$3/(365*100)))*100,1)/100</f>
        <v>-82.64</v>
      </c>
      <c r="R2499" s="9">
        <f t="shared" ca="1" si="134"/>
        <v>-202537.73740873314</v>
      </c>
    </row>
    <row r="2500" spans="7:18" x14ac:dyDescent="0.25">
      <c r="G2500" t="str">
        <f t="shared" si="132"/>
        <v>Insert into BlueCreditTypeRainbow Values (, , , , , )</v>
      </c>
      <c r="N2500" s="4">
        <v>2497</v>
      </c>
      <c r="O2500" s="8">
        <f>$B$7*COUNTIF(Sheet2!$B$1:$B$132,N2500)</f>
        <v>0</v>
      </c>
      <c r="P2500" s="8">
        <f t="shared" ca="1" si="133"/>
        <v>82.67</v>
      </c>
      <c r="Q2500" s="8">
        <f ca="1">CEILING(R2499*(IF(N2500&lt;=IF($B$2=0,0,OFFSET(Sheet2!$B$1,Sheet1!$B$2-1,0)),$B$1/(365*100),$B$3/(365*100)))*100,1)/100</f>
        <v>-82.67</v>
      </c>
      <c r="R2500" s="9">
        <f t="shared" ca="1" si="134"/>
        <v>-202620.40740873315</v>
      </c>
    </row>
    <row r="2501" spans="7:18" x14ac:dyDescent="0.25">
      <c r="G2501" t="str">
        <f t="shared" si="132"/>
        <v>Insert into BlueCreditTypeRainbow Values (, , , , , )</v>
      </c>
      <c r="N2501" s="4">
        <v>2498</v>
      </c>
      <c r="O2501" s="8">
        <f>$B$7*COUNTIF(Sheet2!$B$1:$B$132,N2501)</f>
        <v>21157.10552356458</v>
      </c>
      <c r="P2501" s="8">
        <f t="shared" ca="1" si="133"/>
        <v>21239.815523564579</v>
      </c>
      <c r="Q2501" s="8">
        <f ca="1">CEILING(R2500*(IF(N2501&lt;=IF($B$2=0,0,OFFSET(Sheet2!$B$1,Sheet1!$B$2-1,0)),$B$1/(365*100),$B$3/(365*100)))*100,1)/100</f>
        <v>-82.71</v>
      </c>
      <c r="R2501" s="9">
        <f t="shared" ca="1" si="134"/>
        <v>-223860.22293229774</v>
      </c>
    </row>
    <row r="2502" spans="7:18" x14ac:dyDescent="0.25">
      <c r="G2502" t="str">
        <f t="shared" si="132"/>
        <v>Insert into BlueCreditTypeRainbow Values (, , , , , )</v>
      </c>
      <c r="N2502" s="4">
        <v>2499</v>
      </c>
      <c r="O2502" s="8">
        <f>$B$7*COUNTIF(Sheet2!$B$1:$B$132,N2502)</f>
        <v>0</v>
      </c>
      <c r="P2502" s="8">
        <f t="shared" ca="1" si="133"/>
        <v>91.38</v>
      </c>
      <c r="Q2502" s="8">
        <f ca="1">CEILING(R2501*(IF(N2502&lt;=IF($B$2=0,0,OFFSET(Sheet2!$B$1,Sheet1!$B$2-1,0)),$B$1/(365*100),$B$3/(365*100)))*100,1)/100</f>
        <v>-91.38</v>
      </c>
      <c r="R2502" s="9">
        <f t="shared" ca="1" si="134"/>
        <v>-223951.60293229774</v>
      </c>
    </row>
    <row r="2503" spans="7:18" x14ac:dyDescent="0.25">
      <c r="G2503" t="str">
        <f t="shared" si="132"/>
        <v>Insert into BlueCreditTypeRainbow Values (, , , , , )</v>
      </c>
      <c r="N2503" s="4">
        <v>2500</v>
      </c>
      <c r="O2503" s="8">
        <f>$B$7*COUNTIF(Sheet2!$B$1:$B$132,N2503)</f>
        <v>0</v>
      </c>
      <c r="P2503" s="8">
        <f t="shared" ca="1" si="133"/>
        <v>91.42</v>
      </c>
      <c r="Q2503" s="8">
        <f ca="1">CEILING(R2502*(IF(N2503&lt;=IF($B$2=0,0,OFFSET(Sheet2!$B$1,Sheet1!$B$2-1,0)),$B$1/(365*100),$B$3/(365*100)))*100,1)/100</f>
        <v>-91.42</v>
      </c>
      <c r="R2503" s="9">
        <f t="shared" ca="1" si="134"/>
        <v>-224043.02293229775</v>
      </c>
    </row>
    <row r="2504" spans="7:18" x14ac:dyDescent="0.25">
      <c r="G2504" t="str">
        <f t="shared" si="132"/>
        <v>Insert into BlueCreditTypeRainbow Values (, , , , , )</v>
      </c>
      <c r="N2504" s="4">
        <v>2501</v>
      </c>
      <c r="O2504" s="8">
        <f>$B$7*COUNTIF(Sheet2!$B$1:$B$132,N2504)</f>
        <v>0</v>
      </c>
      <c r="P2504" s="8">
        <f t="shared" ca="1" si="133"/>
        <v>91.45</v>
      </c>
      <c r="Q2504" s="8">
        <f ca="1">CEILING(R2503*(IF(N2504&lt;=IF($B$2=0,0,OFFSET(Sheet2!$B$1,Sheet1!$B$2-1,0)),$B$1/(365*100),$B$3/(365*100)))*100,1)/100</f>
        <v>-91.45</v>
      </c>
      <c r="R2504" s="9">
        <f t="shared" ca="1" si="134"/>
        <v>-224134.47293229777</v>
      </c>
    </row>
    <row r="2505" spans="7:18" x14ac:dyDescent="0.25">
      <c r="G2505" t="str">
        <f t="shared" si="132"/>
        <v>Insert into BlueCreditTypeRainbow Values (, , , , , )</v>
      </c>
      <c r="N2505" s="4">
        <v>2502</v>
      </c>
      <c r="O2505" s="8">
        <f>$B$7*COUNTIF(Sheet2!$B$1:$B$132,N2505)</f>
        <v>0</v>
      </c>
      <c r="P2505" s="8">
        <f t="shared" ca="1" si="133"/>
        <v>91.49</v>
      </c>
      <c r="Q2505" s="8">
        <f ca="1">CEILING(R2504*(IF(N2505&lt;=IF($B$2=0,0,OFFSET(Sheet2!$B$1,Sheet1!$B$2-1,0)),$B$1/(365*100),$B$3/(365*100)))*100,1)/100</f>
        <v>-91.49</v>
      </c>
      <c r="R2505" s="9">
        <f t="shared" ca="1" si="134"/>
        <v>-224225.96293229776</v>
      </c>
    </row>
    <row r="2506" spans="7:18" x14ac:dyDescent="0.25">
      <c r="G2506" t="str">
        <f t="shared" si="132"/>
        <v>Insert into BlueCreditTypeRainbow Values (, , , , , )</v>
      </c>
      <c r="N2506" s="4">
        <v>2503</v>
      </c>
      <c r="O2506" s="8">
        <f>$B$7*COUNTIF(Sheet2!$B$1:$B$132,N2506)</f>
        <v>0</v>
      </c>
      <c r="P2506" s="8">
        <f t="shared" ca="1" si="133"/>
        <v>91.53</v>
      </c>
      <c r="Q2506" s="8">
        <f ca="1">CEILING(R2505*(IF(N2506&lt;=IF($B$2=0,0,OFFSET(Sheet2!$B$1,Sheet1!$B$2-1,0)),$B$1/(365*100),$B$3/(365*100)))*100,1)/100</f>
        <v>-91.53</v>
      </c>
      <c r="R2506" s="9">
        <f t="shared" ca="1" si="134"/>
        <v>-224317.49293229776</v>
      </c>
    </row>
    <row r="2507" spans="7:18" x14ac:dyDescent="0.25">
      <c r="G2507" t="str">
        <f t="shared" si="132"/>
        <v>Insert into BlueCreditTypeRainbow Values (, , , , , )</v>
      </c>
      <c r="N2507" s="4">
        <v>2504</v>
      </c>
      <c r="O2507" s="8">
        <f>$B$7*COUNTIF(Sheet2!$B$1:$B$132,N2507)</f>
        <v>0</v>
      </c>
      <c r="P2507" s="8">
        <f t="shared" ca="1" si="133"/>
        <v>91.57</v>
      </c>
      <c r="Q2507" s="8">
        <f ca="1">CEILING(R2506*(IF(N2507&lt;=IF($B$2=0,0,OFFSET(Sheet2!$B$1,Sheet1!$B$2-1,0)),$B$1/(365*100),$B$3/(365*100)))*100,1)/100</f>
        <v>-91.57</v>
      </c>
      <c r="R2507" s="9">
        <f t="shared" ca="1" si="134"/>
        <v>-224409.06293229776</v>
      </c>
    </row>
    <row r="2508" spans="7:18" x14ac:dyDescent="0.25">
      <c r="G2508" t="str">
        <f t="shared" si="132"/>
        <v>Insert into BlueCreditTypeRainbow Values (, , , , , )</v>
      </c>
      <c r="N2508" s="4">
        <v>2505</v>
      </c>
      <c r="O2508" s="8">
        <f>$B$7*COUNTIF(Sheet2!$B$1:$B$132,N2508)</f>
        <v>0</v>
      </c>
      <c r="P2508" s="8">
        <f t="shared" ca="1" si="133"/>
        <v>91.6</v>
      </c>
      <c r="Q2508" s="8">
        <f ca="1">CEILING(R2507*(IF(N2508&lt;=IF($B$2=0,0,OFFSET(Sheet2!$B$1,Sheet1!$B$2-1,0)),$B$1/(365*100),$B$3/(365*100)))*100,1)/100</f>
        <v>-91.6</v>
      </c>
      <c r="R2508" s="9">
        <f t="shared" ca="1" si="134"/>
        <v>-224500.66293229777</v>
      </c>
    </row>
    <row r="2509" spans="7:18" x14ac:dyDescent="0.25">
      <c r="G2509" t="str">
        <f t="shared" si="132"/>
        <v>Insert into BlueCreditTypeRainbow Values (, , , , , )</v>
      </c>
      <c r="N2509" s="4">
        <v>2506</v>
      </c>
      <c r="O2509" s="8">
        <f>$B$7*COUNTIF(Sheet2!$B$1:$B$132,N2509)</f>
        <v>0</v>
      </c>
      <c r="P2509" s="8">
        <f t="shared" ca="1" si="133"/>
        <v>91.64</v>
      </c>
      <c r="Q2509" s="8">
        <f ca="1">CEILING(R2508*(IF(N2509&lt;=IF($B$2=0,0,OFFSET(Sheet2!$B$1,Sheet1!$B$2-1,0)),$B$1/(365*100),$B$3/(365*100)))*100,1)/100</f>
        <v>-91.64</v>
      </c>
      <c r="R2509" s="9">
        <f t="shared" ca="1" si="134"/>
        <v>-224592.30293229778</v>
      </c>
    </row>
    <row r="2510" spans="7:18" x14ac:dyDescent="0.25">
      <c r="G2510" t="str">
        <f t="shared" si="132"/>
        <v>Insert into BlueCreditTypeRainbow Values (, , , , , )</v>
      </c>
      <c r="N2510" s="4">
        <v>2507</v>
      </c>
      <c r="O2510" s="8">
        <f>$B$7*COUNTIF(Sheet2!$B$1:$B$132,N2510)</f>
        <v>0</v>
      </c>
      <c r="P2510" s="8">
        <f t="shared" ca="1" si="133"/>
        <v>91.68</v>
      </c>
      <c r="Q2510" s="8">
        <f ca="1">CEILING(R2509*(IF(N2510&lt;=IF($B$2=0,0,OFFSET(Sheet2!$B$1,Sheet1!$B$2-1,0)),$B$1/(365*100),$B$3/(365*100)))*100,1)/100</f>
        <v>-91.68</v>
      </c>
      <c r="R2510" s="9">
        <f t="shared" ca="1" si="134"/>
        <v>-224683.98293229777</v>
      </c>
    </row>
    <row r="2511" spans="7:18" x14ac:dyDescent="0.25">
      <c r="G2511" t="str">
        <f t="shared" ref="G2511:G2574" si="135">CONCATENATE("Insert into BlueCreditTypeRainbow Values (",A2511,", ",B2511,", ",C2511,", ",D2511,", ",E2511,", ",F2511,")")</f>
        <v>Insert into BlueCreditTypeRainbow Values (, , , , , )</v>
      </c>
      <c r="N2511" s="4">
        <v>2508</v>
      </c>
      <c r="O2511" s="8">
        <f>$B$7*COUNTIF(Sheet2!$B$1:$B$132,N2511)</f>
        <v>0</v>
      </c>
      <c r="P2511" s="8">
        <f t="shared" ca="1" si="133"/>
        <v>91.72</v>
      </c>
      <c r="Q2511" s="8">
        <f ca="1">CEILING(R2510*(IF(N2511&lt;=IF($B$2=0,0,OFFSET(Sheet2!$B$1,Sheet1!$B$2-1,0)),$B$1/(365*100),$B$3/(365*100)))*100,1)/100</f>
        <v>-91.72</v>
      </c>
      <c r="R2511" s="9">
        <f t="shared" ca="1" si="134"/>
        <v>-224775.70293229778</v>
      </c>
    </row>
    <row r="2512" spans="7:18" x14ac:dyDescent="0.25">
      <c r="G2512" t="str">
        <f t="shared" si="135"/>
        <v>Insert into BlueCreditTypeRainbow Values (, , , , , )</v>
      </c>
      <c r="N2512" s="4">
        <v>2509</v>
      </c>
      <c r="O2512" s="8">
        <f>$B$7*COUNTIF(Sheet2!$B$1:$B$132,N2512)</f>
        <v>0</v>
      </c>
      <c r="P2512" s="8">
        <f t="shared" ca="1" si="133"/>
        <v>91.75</v>
      </c>
      <c r="Q2512" s="8">
        <f ca="1">CEILING(R2511*(IF(N2512&lt;=IF($B$2=0,0,OFFSET(Sheet2!$B$1,Sheet1!$B$2-1,0)),$B$1/(365*100),$B$3/(365*100)))*100,1)/100</f>
        <v>-91.75</v>
      </c>
      <c r="R2512" s="9">
        <f t="shared" ca="1" si="134"/>
        <v>-224867.45293229778</v>
      </c>
    </row>
    <row r="2513" spans="7:18" x14ac:dyDescent="0.25">
      <c r="G2513" t="str">
        <f t="shared" si="135"/>
        <v>Insert into BlueCreditTypeRainbow Values (, , , , , )</v>
      </c>
      <c r="N2513" s="4">
        <v>2510</v>
      </c>
      <c r="O2513" s="8">
        <f>$B$7*COUNTIF(Sheet2!$B$1:$B$132,N2513)</f>
        <v>0</v>
      </c>
      <c r="P2513" s="8">
        <f t="shared" ca="1" si="133"/>
        <v>91.79</v>
      </c>
      <c r="Q2513" s="8">
        <f ca="1">CEILING(R2512*(IF(N2513&lt;=IF($B$2=0,0,OFFSET(Sheet2!$B$1,Sheet1!$B$2-1,0)),$B$1/(365*100),$B$3/(365*100)))*100,1)/100</f>
        <v>-91.79</v>
      </c>
      <c r="R2513" s="9">
        <f t="shared" ca="1" si="134"/>
        <v>-224959.24293229778</v>
      </c>
    </row>
    <row r="2514" spans="7:18" x14ac:dyDescent="0.25">
      <c r="G2514" t="str">
        <f t="shared" si="135"/>
        <v>Insert into BlueCreditTypeRainbow Values (, , , , , )</v>
      </c>
      <c r="N2514" s="4">
        <v>2511</v>
      </c>
      <c r="O2514" s="8">
        <f>$B$7*COUNTIF(Sheet2!$B$1:$B$132,N2514)</f>
        <v>0</v>
      </c>
      <c r="P2514" s="8">
        <f t="shared" ca="1" si="133"/>
        <v>91.83</v>
      </c>
      <c r="Q2514" s="8">
        <f ca="1">CEILING(R2513*(IF(N2514&lt;=IF($B$2=0,0,OFFSET(Sheet2!$B$1,Sheet1!$B$2-1,0)),$B$1/(365*100),$B$3/(365*100)))*100,1)/100</f>
        <v>-91.83</v>
      </c>
      <c r="R2514" s="9">
        <f t="shared" ca="1" si="134"/>
        <v>-225051.07293229777</v>
      </c>
    </row>
    <row r="2515" spans="7:18" x14ac:dyDescent="0.25">
      <c r="G2515" t="str">
        <f t="shared" si="135"/>
        <v>Insert into BlueCreditTypeRainbow Values (, , , , , )</v>
      </c>
      <c r="N2515" s="4">
        <v>2512</v>
      </c>
      <c r="O2515" s="8">
        <f>$B$7*COUNTIF(Sheet2!$B$1:$B$132,N2515)</f>
        <v>0</v>
      </c>
      <c r="P2515" s="8">
        <f t="shared" ca="1" si="133"/>
        <v>91.87</v>
      </c>
      <c r="Q2515" s="8">
        <f ca="1">CEILING(R2514*(IF(N2515&lt;=IF($B$2=0,0,OFFSET(Sheet2!$B$1,Sheet1!$B$2-1,0)),$B$1/(365*100),$B$3/(365*100)))*100,1)/100</f>
        <v>-91.87</v>
      </c>
      <c r="R2515" s="9">
        <f t="shared" ca="1" si="134"/>
        <v>-225142.94293229777</v>
      </c>
    </row>
    <row r="2516" spans="7:18" x14ac:dyDescent="0.25">
      <c r="G2516" t="str">
        <f t="shared" si="135"/>
        <v>Insert into BlueCreditTypeRainbow Values (, , , , , )</v>
      </c>
      <c r="N2516" s="4">
        <v>2513</v>
      </c>
      <c r="O2516" s="8">
        <f>$B$7*COUNTIF(Sheet2!$B$1:$B$132,N2516)</f>
        <v>0</v>
      </c>
      <c r="P2516" s="8">
        <f t="shared" ca="1" si="133"/>
        <v>91.9</v>
      </c>
      <c r="Q2516" s="8">
        <f ca="1">CEILING(R2515*(IF(N2516&lt;=IF($B$2=0,0,OFFSET(Sheet2!$B$1,Sheet1!$B$2-1,0)),$B$1/(365*100),$B$3/(365*100)))*100,1)/100</f>
        <v>-91.9</v>
      </c>
      <c r="R2516" s="9">
        <f t="shared" ca="1" si="134"/>
        <v>-225234.84293229776</v>
      </c>
    </row>
    <row r="2517" spans="7:18" x14ac:dyDescent="0.25">
      <c r="G2517" t="str">
        <f t="shared" si="135"/>
        <v>Insert into BlueCreditTypeRainbow Values (, , , , , )</v>
      </c>
      <c r="N2517" s="4">
        <v>2514</v>
      </c>
      <c r="O2517" s="8">
        <f>$B$7*COUNTIF(Sheet2!$B$1:$B$132,N2517)</f>
        <v>0</v>
      </c>
      <c r="P2517" s="8">
        <f t="shared" ca="1" si="133"/>
        <v>91.94</v>
      </c>
      <c r="Q2517" s="8">
        <f ca="1">CEILING(R2516*(IF(N2517&lt;=IF($B$2=0,0,OFFSET(Sheet2!$B$1,Sheet1!$B$2-1,0)),$B$1/(365*100),$B$3/(365*100)))*100,1)/100</f>
        <v>-91.94</v>
      </c>
      <c r="R2517" s="9">
        <f t="shared" ca="1" si="134"/>
        <v>-225326.78293229776</v>
      </c>
    </row>
    <row r="2518" spans="7:18" x14ac:dyDescent="0.25">
      <c r="G2518" t="str">
        <f t="shared" si="135"/>
        <v>Insert into BlueCreditTypeRainbow Values (, , , , , )</v>
      </c>
      <c r="N2518" s="4">
        <v>2515</v>
      </c>
      <c r="O2518" s="8">
        <f>$B$7*COUNTIF(Sheet2!$B$1:$B$132,N2518)</f>
        <v>0</v>
      </c>
      <c r="P2518" s="8">
        <f t="shared" ca="1" si="133"/>
        <v>91.98</v>
      </c>
      <c r="Q2518" s="8">
        <f ca="1">CEILING(R2517*(IF(N2518&lt;=IF($B$2=0,0,OFFSET(Sheet2!$B$1,Sheet1!$B$2-1,0)),$B$1/(365*100),$B$3/(365*100)))*100,1)/100</f>
        <v>-91.98</v>
      </c>
      <c r="R2518" s="9">
        <f t="shared" ca="1" si="134"/>
        <v>-225418.76293229777</v>
      </c>
    </row>
    <row r="2519" spans="7:18" x14ac:dyDescent="0.25">
      <c r="G2519" t="str">
        <f t="shared" si="135"/>
        <v>Insert into BlueCreditTypeRainbow Values (, , , , , )</v>
      </c>
      <c r="N2519" s="4">
        <v>2516</v>
      </c>
      <c r="O2519" s="8">
        <f>$B$7*COUNTIF(Sheet2!$B$1:$B$132,N2519)</f>
        <v>0</v>
      </c>
      <c r="P2519" s="8">
        <f t="shared" ca="1" si="133"/>
        <v>92.02</v>
      </c>
      <c r="Q2519" s="8">
        <f ca="1">CEILING(R2518*(IF(N2519&lt;=IF($B$2=0,0,OFFSET(Sheet2!$B$1,Sheet1!$B$2-1,0)),$B$1/(365*100),$B$3/(365*100)))*100,1)/100</f>
        <v>-92.02</v>
      </c>
      <c r="R2519" s="9">
        <f t="shared" ca="1" si="134"/>
        <v>-225510.78293229776</v>
      </c>
    </row>
    <row r="2520" spans="7:18" x14ac:dyDescent="0.25">
      <c r="G2520" t="str">
        <f t="shared" si="135"/>
        <v>Insert into BlueCreditTypeRainbow Values (, , , , , )</v>
      </c>
      <c r="N2520" s="4">
        <v>2517</v>
      </c>
      <c r="O2520" s="8">
        <f>$B$7*COUNTIF(Sheet2!$B$1:$B$132,N2520)</f>
        <v>0</v>
      </c>
      <c r="P2520" s="8">
        <f t="shared" ca="1" si="133"/>
        <v>92.05</v>
      </c>
      <c r="Q2520" s="8">
        <f ca="1">CEILING(R2519*(IF(N2520&lt;=IF($B$2=0,0,OFFSET(Sheet2!$B$1,Sheet1!$B$2-1,0)),$B$1/(365*100),$B$3/(365*100)))*100,1)/100</f>
        <v>-92.05</v>
      </c>
      <c r="R2520" s="9">
        <f t="shared" ca="1" si="134"/>
        <v>-225602.83293229775</v>
      </c>
    </row>
    <row r="2521" spans="7:18" x14ac:dyDescent="0.25">
      <c r="G2521" t="str">
        <f t="shared" si="135"/>
        <v>Insert into BlueCreditTypeRainbow Values (, , , , , )</v>
      </c>
      <c r="N2521" s="4">
        <v>2518</v>
      </c>
      <c r="O2521" s="8">
        <f>$B$7*COUNTIF(Sheet2!$B$1:$B$132,N2521)</f>
        <v>0</v>
      </c>
      <c r="P2521" s="8">
        <f t="shared" ca="1" si="133"/>
        <v>92.09</v>
      </c>
      <c r="Q2521" s="8">
        <f ca="1">CEILING(R2520*(IF(N2521&lt;=IF($B$2=0,0,OFFSET(Sheet2!$B$1,Sheet1!$B$2-1,0)),$B$1/(365*100),$B$3/(365*100)))*100,1)/100</f>
        <v>-92.09</v>
      </c>
      <c r="R2521" s="9">
        <f t="shared" ca="1" si="134"/>
        <v>-225694.92293229775</v>
      </c>
    </row>
    <row r="2522" spans="7:18" x14ac:dyDescent="0.25">
      <c r="G2522" t="str">
        <f t="shared" si="135"/>
        <v>Insert into BlueCreditTypeRainbow Values (, , , , , )</v>
      </c>
      <c r="N2522" s="4">
        <v>2519</v>
      </c>
      <c r="O2522" s="8">
        <f>$B$7*COUNTIF(Sheet2!$B$1:$B$132,N2522)</f>
        <v>0</v>
      </c>
      <c r="P2522" s="8">
        <f t="shared" ca="1" si="133"/>
        <v>92.13</v>
      </c>
      <c r="Q2522" s="8">
        <f ca="1">CEILING(R2521*(IF(N2522&lt;=IF($B$2=0,0,OFFSET(Sheet2!$B$1,Sheet1!$B$2-1,0)),$B$1/(365*100),$B$3/(365*100)))*100,1)/100</f>
        <v>-92.13</v>
      </c>
      <c r="R2522" s="9">
        <f t="shared" ca="1" si="134"/>
        <v>-225787.05293229775</v>
      </c>
    </row>
    <row r="2523" spans="7:18" x14ac:dyDescent="0.25">
      <c r="G2523" t="str">
        <f t="shared" si="135"/>
        <v>Insert into BlueCreditTypeRainbow Values (, , , , , )</v>
      </c>
      <c r="N2523" s="4">
        <v>2520</v>
      </c>
      <c r="O2523" s="8">
        <f>$B$7*COUNTIF(Sheet2!$B$1:$B$132,N2523)</f>
        <v>0</v>
      </c>
      <c r="P2523" s="8">
        <f t="shared" ca="1" si="133"/>
        <v>92.17</v>
      </c>
      <c r="Q2523" s="8">
        <f ca="1">CEILING(R2522*(IF(N2523&lt;=IF($B$2=0,0,OFFSET(Sheet2!$B$1,Sheet1!$B$2-1,0)),$B$1/(365*100),$B$3/(365*100)))*100,1)/100</f>
        <v>-92.17</v>
      </c>
      <c r="R2523" s="9">
        <f t="shared" ca="1" si="134"/>
        <v>-225879.22293229777</v>
      </c>
    </row>
    <row r="2524" spans="7:18" x14ac:dyDescent="0.25">
      <c r="G2524" t="str">
        <f t="shared" si="135"/>
        <v>Insert into BlueCreditTypeRainbow Values (, , , , , )</v>
      </c>
      <c r="N2524" s="4">
        <v>2521</v>
      </c>
      <c r="O2524" s="8">
        <f>$B$7*COUNTIF(Sheet2!$B$1:$B$132,N2524)</f>
        <v>0</v>
      </c>
      <c r="P2524" s="8">
        <f t="shared" ca="1" si="133"/>
        <v>92.2</v>
      </c>
      <c r="Q2524" s="8">
        <f ca="1">CEILING(R2523*(IF(N2524&lt;=IF($B$2=0,0,OFFSET(Sheet2!$B$1,Sheet1!$B$2-1,0)),$B$1/(365*100),$B$3/(365*100)))*100,1)/100</f>
        <v>-92.2</v>
      </c>
      <c r="R2524" s="9">
        <f t="shared" ca="1" si="134"/>
        <v>-225971.42293229778</v>
      </c>
    </row>
    <row r="2525" spans="7:18" x14ac:dyDescent="0.25">
      <c r="G2525" t="str">
        <f t="shared" si="135"/>
        <v>Insert into BlueCreditTypeRainbow Values (, , , , , )</v>
      </c>
      <c r="N2525" s="4">
        <v>2522</v>
      </c>
      <c r="O2525" s="8">
        <f>$B$7*COUNTIF(Sheet2!$B$1:$B$132,N2525)</f>
        <v>0</v>
      </c>
      <c r="P2525" s="8">
        <f t="shared" ca="1" si="133"/>
        <v>92.24</v>
      </c>
      <c r="Q2525" s="8">
        <f ca="1">CEILING(R2524*(IF(N2525&lt;=IF($B$2=0,0,OFFSET(Sheet2!$B$1,Sheet1!$B$2-1,0)),$B$1/(365*100),$B$3/(365*100)))*100,1)/100</f>
        <v>-92.24</v>
      </c>
      <c r="R2525" s="9">
        <f t="shared" ca="1" si="134"/>
        <v>-226063.66293229777</v>
      </c>
    </row>
    <row r="2526" spans="7:18" x14ac:dyDescent="0.25">
      <c r="G2526" t="str">
        <f t="shared" si="135"/>
        <v>Insert into BlueCreditTypeRainbow Values (, , , , , )</v>
      </c>
      <c r="N2526" s="4">
        <v>2523</v>
      </c>
      <c r="O2526" s="8">
        <f>$B$7*COUNTIF(Sheet2!$B$1:$B$132,N2526)</f>
        <v>0</v>
      </c>
      <c r="P2526" s="8">
        <f t="shared" ca="1" si="133"/>
        <v>92.28</v>
      </c>
      <c r="Q2526" s="8">
        <f ca="1">CEILING(R2525*(IF(N2526&lt;=IF($B$2=0,0,OFFSET(Sheet2!$B$1,Sheet1!$B$2-1,0)),$B$1/(365*100),$B$3/(365*100)))*100,1)/100</f>
        <v>-92.28</v>
      </c>
      <c r="R2526" s="9">
        <f t="shared" ca="1" si="134"/>
        <v>-226155.94293229777</v>
      </c>
    </row>
    <row r="2527" spans="7:18" x14ac:dyDescent="0.25">
      <c r="G2527" t="str">
        <f t="shared" si="135"/>
        <v>Insert into BlueCreditTypeRainbow Values (, , , , , )</v>
      </c>
      <c r="N2527" s="4">
        <v>2524</v>
      </c>
      <c r="O2527" s="8">
        <f>$B$7*COUNTIF(Sheet2!$B$1:$B$132,N2527)</f>
        <v>0</v>
      </c>
      <c r="P2527" s="8">
        <f t="shared" ca="1" si="133"/>
        <v>92.32</v>
      </c>
      <c r="Q2527" s="8">
        <f ca="1">CEILING(R2526*(IF(N2527&lt;=IF($B$2=0,0,OFFSET(Sheet2!$B$1,Sheet1!$B$2-1,0)),$B$1/(365*100),$B$3/(365*100)))*100,1)/100</f>
        <v>-92.32</v>
      </c>
      <c r="R2527" s="9">
        <f t="shared" ca="1" si="134"/>
        <v>-226248.26293229777</v>
      </c>
    </row>
    <row r="2528" spans="7:18" x14ac:dyDescent="0.25">
      <c r="G2528" t="str">
        <f t="shared" si="135"/>
        <v>Insert into BlueCreditTypeRainbow Values (, , , , , )</v>
      </c>
      <c r="N2528" s="4">
        <v>2525</v>
      </c>
      <c r="O2528" s="8">
        <f>$B$7*COUNTIF(Sheet2!$B$1:$B$132,N2528)</f>
        <v>0</v>
      </c>
      <c r="P2528" s="8">
        <f t="shared" ca="1" si="133"/>
        <v>92.35</v>
      </c>
      <c r="Q2528" s="8">
        <f ca="1">CEILING(R2527*(IF(N2528&lt;=IF($B$2=0,0,OFFSET(Sheet2!$B$1,Sheet1!$B$2-1,0)),$B$1/(365*100),$B$3/(365*100)))*100,1)/100</f>
        <v>-92.35</v>
      </c>
      <c r="R2528" s="9">
        <f t="shared" ca="1" si="134"/>
        <v>-226340.61293229778</v>
      </c>
    </row>
    <row r="2529" spans="7:18" x14ac:dyDescent="0.25">
      <c r="G2529" t="str">
        <f t="shared" si="135"/>
        <v>Insert into BlueCreditTypeRainbow Values (, , , , , )</v>
      </c>
      <c r="N2529" s="4">
        <v>2526</v>
      </c>
      <c r="O2529" s="8">
        <f>$B$7*COUNTIF(Sheet2!$B$1:$B$132,N2529)</f>
        <v>0</v>
      </c>
      <c r="P2529" s="8">
        <f t="shared" ca="1" si="133"/>
        <v>92.39</v>
      </c>
      <c r="Q2529" s="8">
        <f ca="1">CEILING(R2528*(IF(N2529&lt;=IF($B$2=0,0,OFFSET(Sheet2!$B$1,Sheet1!$B$2-1,0)),$B$1/(365*100),$B$3/(365*100)))*100,1)/100</f>
        <v>-92.39</v>
      </c>
      <c r="R2529" s="9">
        <f t="shared" ca="1" si="134"/>
        <v>-226433.00293229779</v>
      </c>
    </row>
    <row r="2530" spans="7:18" x14ac:dyDescent="0.25">
      <c r="G2530" t="str">
        <f t="shared" si="135"/>
        <v>Insert into BlueCreditTypeRainbow Values (, , , , , )</v>
      </c>
      <c r="N2530" s="4">
        <v>2527</v>
      </c>
      <c r="O2530" s="8">
        <f>$B$7*COUNTIF(Sheet2!$B$1:$B$132,N2530)</f>
        <v>0</v>
      </c>
      <c r="P2530" s="8">
        <f t="shared" ca="1" si="133"/>
        <v>92.43</v>
      </c>
      <c r="Q2530" s="8">
        <f ca="1">CEILING(R2529*(IF(N2530&lt;=IF($B$2=0,0,OFFSET(Sheet2!$B$1,Sheet1!$B$2-1,0)),$B$1/(365*100),$B$3/(365*100)))*100,1)/100</f>
        <v>-92.43</v>
      </c>
      <c r="R2530" s="9">
        <f t="shared" ca="1" si="134"/>
        <v>-226525.43293229779</v>
      </c>
    </row>
    <row r="2531" spans="7:18" x14ac:dyDescent="0.25">
      <c r="G2531" t="str">
        <f t="shared" si="135"/>
        <v>Insert into BlueCreditTypeRainbow Values (, , , , , )</v>
      </c>
      <c r="N2531" s="4">
        <v>2528</v>
      </c>
      <c r="O2531" s="8">
        <f>$B$7*COUNTIF(Sheet2!$B$1:$B$132,N2531)</f>
        <v>0</v>
      </c>
      <c r="P2531" s="8">
        <f t="shared" ca="1" si="133"/>
        <v>92.47</v>
      </c>
      <c r="Q2531" s="8">
        <f ca="1">CEILING(R2530*(IF(N2531&lt;=IF($B$2=0,0,OFFSET(Sheet2!$B$1,Sheet1!$B$2-1,0)),$B$1/(365*100),$B$3/(365*100)))*100,1)/100</f>
        <v>-92.47</v>
      </c>
      <c r="R2531" s="9">
        <f t="shared" ca="1" si="134"/>
        <v>-226617.90293229779</v>
      </c>
    </row>
    <row r="2532" spans="7:18" x14ac:dyDescent="0.25">
      <c r="G2532" t="str">
        <f t="shared" si="135"/>
        <v>Insert into BlueCreditTypeRainbow Values (, , , , , )</v>
      </c>
      <c r="N2532" s="4">
        <v>2529</v>
      </c>
      <c r="O2532" s="8">
        <f>$B$7*COUNTIF(Sheet2!$B$1:$B$132,N2532)</f>
        <v>21157.10552356458</v>
      </c>
      <c r="P2532" s="8">
        <f t="shared" ca="1" si="133"/>
        <v>21249.60552356458</v>
      </c>
      <c r="Q2532" s="8">
        <f ca="1">CEILING(R2531*(IF(N2532&lt;=IF($B$2=0,0,OFFSET(Sheet2!$B$1,Sheet1!$B$2-1,0)),$B$1/(365*100),$B$3/(365*100)))*100,1)/100</f>
        <v>-92.5</v>
      </c>
      <c r="R2532" s="9">
        <f t="shared" ca="1" si="134"/>
        <v>-247867.50845586238</v>
      </c>
    </row>
    <row r="2533" spans="7:18" x14ac:dyDescent="0.25">
      <c r="G2533" t="str">
        <f t="shared" si="135"/>
        <v>Insert into BlueCreditTypeRainbow Values (, , , , , )</v>
      </c>
      <c r="N2533" s="4">
        <v>2530</v>
      </c>
      <c r="O2533" s="8">
        <f>$B$7*COUNTIF(Sheet2!$B$1:$B$132,N2533)</f>
        <v>0</v>
      </c>
      <c r="P2533" s="8">
        <f t="shared" ca="1" si="133"/>
        <v>101.18</v>
      </c>
      <c r="Q2533" s="8">
        <f ca="1">CEILING(R2532*(IF(N2533&lt;=IF($B$2=0,0,OFFSET(Sheet2!$B$1,Sheet1!$B$2-1,0)),$B$1/(365*100),$B$3/(365*100)))*100,1)/100</f>
        <v>-101.18</v>
      </c>
      <c r="R2533" s="9">
        <f t="shared" ca="1" si="134"/>
        <v>-247968.68845586237</v>
      </c>
    </row>
    <row r="2534" spans="7:18" x14ac:dyDescent="0.25">
      <c r="G2534" t="str">
        <f t="shared" si="135"/>
        <v>Insert into BlueCreditTypeRainbow Values (, , , , , )</v>
      </c>
      <c r="N2534" s="4">
        <v>2531</v>
      </c>
      <c r="O2534" s="8">
        <f>$B$7*COUNTIF(Sheet2!$B$1:$B$132,N2534)</f>
        <v>0</v>
      </c>
      <c r="P2534" s="8">
        <f t="shared" ca="1" si="133"/>
        <v>101.22</v>
      </c>
      <c r="Q2534" s="8">
        <f ca="1">CEILING(R2533*(IF(N2534&lt;=IF($B$2=0,0,OFFSET(Sheet2!$B$1,Sheet1!$B$2-1,0)),$B$1/(365*100),$B$3/(365*100)))*100,1)/100</f>
        <v>-101.22</v>
      </c>
      <c r="R2534" s="9">
        <f t="shared" ca="1" si="134"/>
        <v>-248069.90845586237</v>
      </c>
    </row>
    <row r="2535" spans="7:18" x14ac:dyDescent="0.25">
      <c r="G2535" t="str">
        <f t="shared" si="135"/>
        <v>Insert into BlueCreditTypeRainbow Values (, , , , , )</v>
      </c>
      <c r="N2535" s="4">
        <v>2532</v>
      </c>
      <c r="O2535" s="8">
        <f>$B$7*COUNTIF(Sheet2!$B$1:$B$132,N2535)</f>
        <v>0</v>
      </c>
      <c r="P2535" s="8">
        <f t="shared" ca="1" si="133"/>
        <v>101.26</v>
      </c>
      <c r="Q2535" s="8">
        <f ca="1">CEILING(R2534*(IF(N2535&lt;=IF($B$2=0,0,OFFSET(Sheet2!$B$1,Sheet1!$B$2-1,0)),$B$1/(365*100),$B$3/(365*100)))*100,1)/100</f>
        <v>-101.26</v>
      </c>
      <c r="R2535" s="9">
        <f t="shared" ca="1" si="134"/>
        <v>-248171.16845586238</v>
      </c>
    </row>
    <row r="2536" spans="7:18" x14ac:dyDescent="0.25">
      <c r="G2536" t="str">
        <f t="shared" si="135"/>
        <v>Insert into BlueCreditTypeRainbow Values (, , , , , )</v>
      </c>
      <c r="N2536" s="4">
        <v>2533</v>
      </c>
      <c r="O2536" s="8">
        <f>$B$7*COUNTIF(Sheet2!$B$1:$B$132,N2536)</f>
        <v>0</v>
      </c>
      <c r="P2536" s="8">
        <f t="shared" ca="1" si="133"/>
        <v>101.3</v>
      </c>
      <c r="Q2536" s="8">
        <f ca="1">CEILING(R2535*(IF(N2536&lt;=IF($B$2=0,0,OFFSET(Sheet2!$B$1,Sheet1!$B$2-1,0)),$B$1/(365*100),$B$3/(365*100)))*100,1)/100</f>
        <v>-101.3</v>
      </c>
      <c r="R2536" s="9">
        <f t="shared" ca="1" si="134"/>
        <v>-248272.46845586237</v>
      </c>
    </row>
    <row r="2537" spans="7:18" x14ac:dyDescent="0.25">
      <c r="G2537" t="str">
        <f t="shared" si="135"/>
        <v>Insert into BlueCreditTypeRainbow Values (, , , , , )</v>
      </c>
      <c r="N2537" s="4">
        <v>2534</v>
      </c>
      <c r="O2537" s="8">
        <f>$B$7*COUNTIF(Sheet2!$B$1:$B$132,N2537)</f>
        <v>0</v>
      </c>
      <c r="P2537" s="8">
        <f t="shared" ca="1" si="133"/>
        <v>101.34</v>
      </c>
      <c r="Q2537" s="8">
        <f ca="1">CEILING(R2536*(IF(N2537&lt;=IF($B$2=0,0,OFFSET(Sheet2!$B$1,Sheet1!$B$2-1,0)),$B$1/(365*100),$B$3/(365*100)))*100,1)/100</f>
        <v>-101.34</v>
      </c>
      <c r="R2537" s="9">
        <f t="shared" ca="1" si="134"/>
        <v>-248373.80845586237</v>
      </c>
    </row>
    <row r="2538" spans="7:18" x14ac:dyDescent="0.25">
      <c r="G2538" t="str">
        <f t="shared" si="135"/>
        <v>Insert into BlueCreditTypeRainbow Values (, , , , , )</v>
      </c>
      <c r="N2538" s="4">
        <v>2535</v>
      </c>
      <c r="O2538" s="8">
        <f>$B$7*COUNTIF(Sheet2!$B$1:$B$132,N2538)</f>
        <v>0</v>
      </c>
      <c r="P2538" s="8">
        <f t="shared" ca="1" si="133"/>
        <v>101.39</v>
      </c>
      <c r="Q2538" s="8">
        <f ca="1">CEILING(R2537*(IF(N2538&lt;=IF($B$2=0,0,OFFSET(Sheet2!$B$1,Sheet1!$B$2-1,0)),$B$1/(365*100),$B$3/(365*100)))*100,1)/100</f>
        <v>-101.39</v>
      </c>
      <c r="R2538" s="9">
        <f t="shared" ca="1" si="134"/>
        <v>-248475.19845586238</v>
      </c>
    </row>
    <row r="2539" spans="7:18" x14ac:dyDescent="0.25">
      <c r="G2539" t="str">
        <f t="shared" si="135"/>
        <v>Insert into BlueCreditTypeRainbow Values (, , , , , )</v>
      </c>
      <c r="N2539" s="4">
        <v>2536</v>
      </c>
      <c r="O2539" s="8">
        <f>$B$7*COUNTIF(Sheet2!$B$1:$B$132,N2539)</f>
        <v>0</v>
      </c>
      <c r="P2539" s="8">
        <f t="shared" ca="1" si="133"/>
        <v>101.43</v>
      </c>
      <c r="Q2539" s="8">
        <f ca="1">CEILING(R2538*(IF(N2539&lt;=IF($B$2=0,0,OFFSET(Sheet2!$B$1,Sheet1!$B$2-1,0)),$B$1/(365*100),$B$3/(365*100)))*100,1)/100</f>
        <v>-101.43</v>
      </c>
      <c r="R2539" s="9">
        <f t="shared" ca="1" si="134"/>
        <v>-248576.62845586237</v>
      </c>
    </row>
    <row r="2540" spans="7:18" x14ac:dyDescent="0.25">
      <c r="G2540" t="str">
        <f t="shared" si="135"/>
        <v>Insert into BlueCreditTypeRainbow Values (, , , , , )</v>
      </c>
      <c r="N2540" s="4">
        <v>2537</v>
      </c>
      <c r="O2540" s="8">
        <f>$B$7*COUNTIF(Sheet2!$B$1:$B$132,N2540)</f>
        <v>0</v>
      </c>
      <c r="P2540" s="8">
        <f t="shared" ca="1" si="133"/>
        <v>101.47</v>
      </c>
      <c r="Q2540" s="8">
        <f ca="1">CEILING(R2539*(IF(N2540&lt;=IF($B$2=0,0,OFFSET(Sheet2!$B$1,Sheet1!$B$2-1,0)),$B$1/(365*100),$B$3/(365*100)))*100,1)/100</f>
        <v>-101.47</v>
      </c>
      <c r="R2540" s="9">
        <f t="shared" ca="1" si="134"/>
        <v>-248678.09845586237</v>
      </c>
    </row>
    <row r="2541" spans="7:18" x14ac:dyDescent="0.25">
      <c r="G2541" t="str">
        <f t="shared" si="135"/>
        <v>Insert into BlueCreditTypeRainbow Values (, , , , , )</v>
      </c>
      <c r="N2541" s="4">
        <v>2538</v>
      </c>
      <c r="O2541" s="8">
        <f>$B$7*COUNTIF(Sheet2!$B$1:$B$132,N2541)</f>
        <v>0</v>
      </c>
      <c r="P2541" s="8">
        <f t="shared" ca="1" si="133"/>
        <v>101.51</v>
      </c>
      <c r="Q2541" s="8">
        <f ca="1">CEILING(R2540*(IF(N2541&lt;=IF($B$2=0,0,OFFSET(Sheet2!$B$1,Sheet1!$B$2-1,0)),$B$1/(365*100),$B$3/(365*100)))*100,1)/100</f>
        <v>-101.51</v>
      </c>
      <c r="R2541" s="9">
        <f t="shared" ca="1" si="134"/>
        <v>-248779.60845586238</v>
      </c>
    </row>
    <row r="2542" spans="7:18" x14ac:dyDescent="0.25">
      <c r="G2542" t="str">
        <f t="shared" si="135"/>
        <v>Insert into BlueCreditTypeRainbow Values (, , , , , )</v>
      </c>
      <c r="N2542" s="4">
        <v>2539</v>
      </c>
      <c r="O2542" s="8">
        <f>$B$7*COUNTIF(Sheet2!$B$1:$B$132,N2542)</f>
        <v>0</v>
      </c>
      <c r="P2542" s="8">
        <f t="shared" ca="1" si="133"/>
        <v>101.55</v>
      </c>
      <c r="Q2542" s="8">
        <f ca="1">CEILING(R2541*(IF(N2542&lt;=IF($B$2=0,0,OFFSET(Sheet2!$B$1,Sheet1!$B$2-1,0)),$B$1/(365*100),$B$3/(365*100)))*100,1)/100</f>
        <v>-101.55</v>
      </c>
      <c r="R2542" s="9">
        <f t="shared" ca="1" si="134"/>
        <v>-248881.15845586237</v>
      </c>
    </row>
    <row r="2543" spans="7:18" x14ac:dyDescent="0.25">
      <c r="G2543" t="str">
        <f t="shared" si="135"/>
        <v>Insert into BlueCreditTypeRainbow Values (, , , , , )</v>
      </c>
      <c r="N2543" s="4">
        <v>2540</v>
      </c>
      <c r="O2543" s="8">
        <f>$B$7*COUNTIF(Sheet2!$B$1:$B$132,N2543)</f>
        <v>0</v>
      </c>
      <c r="P2543" s="8">
        <f t="shared" ca="1" si="133"/>
        <v>101.59</v>
      </c>
      <c r="Q2543" s="8">
        <f ca="1">CEILING(R2542*(IF(N2543&lt;=IF($B$2=0,0,OFFSET(Sheet2!$B$1,Sheet1!$B$2-1,0)),$B$1/(365*100),$B$3/(365*100)))*100,1)/100</f>
        <v>-101.59</v>
      </c>
      <c r="R2543" s="9">
        <f t="shared" ca="1" si="134"/>
        <v>-248982.74845586237</v>
      </c>
    </row>
    <row r="2544" spans="7:18" x14ac:dyDescent="0.25">
      <c r="G2544" t="str">
        <f t="shared" si="135"/>
        <v>Insert into BlueCreditTypeRainbow Values (, , , , , )</v>
      </c>
      <c r="N2544" s="4">
        <v>2541</v>
      </c>
      <c r="O2544" s="8">
        <f>$B$7*COUNTIF(Sheet2!$B$1:$B$132,N2544)</f>
        <v>0</v>
      </c>
      <c r="P2544" s="8">
        <f t="shared" ca="1" si="133"/>
        <v>101.63</v>
      </c>
      <c r="Q2544" s="8">
        <f ca="1">CEILING(R2543*(IF(N2544&lt;=IF($B$2=0,0,OFFSET(Sheet2!$B$1,Sheet1!$B$2-1,0)),$B$1/(365*100),$B$3/(365*100)))*100,1)/100</f>
        <v>-101.63</v>
      </c>
      <c r="R2544" s="9">
        <f t="shared" ca="1" si="134"/>
        <v>-249084.37845586237</v>
      </c>
    </row>
    <row r="2545" spans="7:18" x14ac:dyDescent="0.25">
      <c r="G2545" t="str">
        <f t="shared" si="135"/>
        <v>Insert into BlueCreditTypeRainbow Values (, , , , , )</v>
      </c>
      <c r="N2545" s="4">
        <v>2542</v>
      </c>
      <c r="O2545" s="8">
        <f>$B$7*COUNTIF(Sheet2!$B$1:$B$132,N2545)</f>
        <v>0</v>
      </c>
      <c r="P2545" s="8">
        <f t="shared" ca="1" si="133"/>
        <v>101.68</v>
      </c>
      <c r="Q2545" s="8">
        <f ca="1">CEILING(R2544*(IF(N2545&lt;=IF($B$2=0,0,OFFSET(Sheet2!$B$1,Sheet1!$B$2-1,0)),$B$1/(365*100),$B$3/(365*100)))*100,1)/100</f>
        <v>-101.68</v>
      </c>
      <c r="R2545" s="9">
        <f t="shared" ca="1" si="134"/>
        <v>-249186.05845586237</v>
      </c>
    </row>
    <row r="2546" spans="7:18" x14ac:dyDescent="0.25">
      <c r="G2546" t="str">
        <f t="shared" si="135"/>
        <v>Insert into BlueCreditTypeRainbow Values (, , , , , )</v>
      </c>
      <c r="N2546" s="4">
        <v>2543</v>
      </c>
      <c r="O2546" s="8">
        <f>$B$7*COUNTIF(Sheet2!$B$1:$B$132,N2546)</f>
        <v>0</v>
      </c>
      <c r="P2546" s="8">
        <f t="shared" ca="1" si="133"/>
        <v>101.72</v>
      </c>
      <c r="Q2546" s="8">
        <f ca="1">CEILING(R2545*(IF(N2546&lt;=IF($B$2=0,0,OFFSET(Sheet2!$B$1,Sheet1!$B$2-1,0)),$B$1/(365*100),$B$3/(365*100)))*100,1)/100</f>
        <v>-101.72</v>
      </c>
      <c r="R2546" s="9">
        <f t="shared" ca="1" si="134"/>
        <v>-249287.77845586237</v>
      </c>
    </row>
    <row r="2547" spans="7:18" x14ac:dyDescent="0.25">
      <c r="G2547" t="str">
        <f t="shared" si="135"/>
        <v>Insert into BlueCreditTypeRainbow Values (, , , , , )</v>
      </c>
      <c r="N2547" s="4">
        <v>2544</v>
      </c>
      <c r="O2547" s="8">
        <f>$B$7*COUNTIF(Sheet2!$B$1:$B$132,N2547)</f>
        <v>0</v>
      </c>
      <c r="P2547" s="8">
        <f t="shared" ca="1" si="133"/>
        <v>101.76</v>
      </c>
      <c r="Q2547" s="8">
        <f ca="1">CEILING(R2546*(IF(N2547&lt;=IF($B$2=0,0,OFFSET(Sheet2!$B$1,Sheet1!$B$2-1,0)),$B$1/(365*100),$B$3/(365*100)))*100,1)/100</f>
        <v>-101.76</v>
      </c>
      <c r="R2547" s="9">
        <f t="shared" ca="1" si="134"/>
        <v>-249389.53845586238</v>
      </c>
    </row>
    <row r="2548" spans="7:18" x14ac:dyDescent="0.25">
      <c r="G2548" t="str">
        <f t="shared" si="135"/>
        <v>Insert into BlueCreditTypeRainbow Values (, , , , , )</v>
      </c>
      <c r="N2548" s="4">
        <v>2545</v>
      </c>
      <c r="O2548" s="8">
        <f>$B$7*COUNTIF(Sheet2!$B$1:$B$132,N2548)</f>
        <v>0</v>
      </c>
      <c r="P2548" s="8">
        <f t="shared" ca="1" si="133"/>
        <v>101.8</v>
      </c>
      <c r="Q2548" s="8">
        <f ca="1">CEILING(R2547*(IF(N2548&lt;=IF($B$2=0,0,OFFSET(Sheet2!$B$1,Sheet1!$B$2-1,0)),$B$1/(365*100),$B$3/(365*100)))*100,1)/100</f>
        <v>-101.8</v>
      </c>
      <c r="R2548" s="9">
        <f t="shared" ca="1" si="134"/>
        <v>-249491.33845586237</v>
      </c>
    </row>
    <row r="2549" spans="7:18" x14ac:dyDescent="0.25">
      <c r="G2549" t="str">
        <f t="shared" si="135"/>
        <v>Insert into BlueCreditTypeRainbow Values (, , , , , )</v>
      </c>
      <c r="N2549" s="4">
        <v>2546</v>
      </c>
      <c r="O2549" s="8">
        <f>$B$7*COUNTIF(Sheet2!$B$1:$B$132,N2549)</f>
        <v>0</v>
      </c>
      <c r="P2549" s="8">
        <f t="shared" ca="1" si="133"/>
        <v>101.84</v>
      </c>
      <c r="Q2549" s="8">
        <f ca="1">CEILING(R2548*(IF(N2549&lt;=IF($B$2=0,0,OFFSET(Sheet2!$B$1,Sheet1!$B$2-1,0)),$B$1/(365*100),$B$3/(365*100)))*100,1)/100</f>
        <v>-101.84</v>
      </c>
      <c r="R2549" s="9">
        <f t="shared" ca="1" si="134"/>
        <v>-249593.17845586236</v>
      </c>
    </row>
    <row r="2550" spans="7:18" x14ac:dyDescent="0.25">
      <c r="G2550" t="str">
        <f t="shared" si="135"/>
        <v>Insert into BlueCreditTypeRainbow Values (, , , , , )</v>
      </c>
      <c r="N2550" s="4">
        <v>2547</v>
      </c>
      <c r="O2550" s="8">
        <f>$B$7*COUNTIF(Sheet2!$B$1:$B$132,N2550)</f>
        <v>0</v>
      </c>
      <c r="P2550" s="8">
        <f t="shared" ca="1" si="133"/>
        <v>101.88</v>
      </c>
      <c r="Q2550" s="8">
        <f ca="1">CEILING(R2549*(IF(N2550&lt;=IF($B$2=0,0,OFFSET(Sheet2!$B$1,Sheet1!$B$2-1,0)),$B$1/(365*100),$B$3/(365*100)))*100,1)/100</f>
        <v>-101.88</v>
      </c>
      <c r="R2550" s="9">
        <f t="shared" ca="1" si="134"/>
        <v>-249695.05845586237</v>
      </c>
    </row>
    <row r="2551" spans="7:18" x14ac:dyDescent="0.25">
      <c r="G2551" t="str">
        <f t="shared" si="135"/>
        <v>Insert into BlueCreditTypeRainbow Values (, , , , , )</v>
      </c>
      <c r="N2551" s="4">
        <v>2548</v>
      </c>
      <c r="O2551" s="8">
        <f>$B$7*COUNTIF(Sheet2!$B$1:$B$132,N2551)</f>
        <v>0</v>
      </c>
      <c r="P2551" s="8">
        <f t="shared" ca="1" si="133"/>
        <v>101.93</v>
      </c>
      <c r="Q2551" s="8">
        <f ca="1">CEILING(R2550*(IF(N2551&lt;=IF($B$2=0,0,OFFSET(Sheet2!$B$1,Sheet1!$B$2-1,0)),$B$1/(365*100),$B$3/(365*100)))*100,1)/100</f>
        <v>-101.93</v>
      </c>
      <c r="R2551" s="9">
        <f t="shared" ca="1" si="134"/>
        <v>-249796.98845586236</v>
      </c>
    </row>
    <row r="2552" spans="7:18" x14ac:dyDescent="0.25">
      <c r="G2552" t="str">
        <f t="shared" si="135"/>
        <v>Insert into BlueCreditTypeRainbow Values (, , , , , )</v>
      </c>
      <c r="N2552" s="4">
        <v>2549</v>
      </c>
      <c r="O2552" s="8">
        <f>$B$7*COUNTIF(Sheet2!$B$1:$B$132,N2552)</f>
        <v>0</v>
      </c>
      <c r="P2552" s="8">
        <f t="shared" ca="1" si="133"/>
        <v>101.97</v>
      </c>
      <c r="Q2552" s="8">
        <f ca="1">CEILING(R2551*(IF(N2552&lt;=IF($B$2=0,0,OFFSET(Sheet2!$B$1,Sheet1!$B$2-1,0)),$B$1/(365*100),$B$3/(365*100)))*100,1)/100</f>
        <v>-101.97</v>
      </c>
      <c r="R2552" s="9">
        <f t="shared" ca="1" si="134"/>
        <v>-249898.95845586236</v>
      </c>
    </row>
    <row r="2553" spans="7:18" x14ac:dyDescent="0.25">
      <c r="G2553" t="str">
        <f t="shared" si="135"/>
        <v>Insert into BlueCreditTypeRainbow Values (, , , , , )</v>
      </c>
      <c r="N2553" s="4">
        <v>2550</v>
      </c>
      <c r="O2553" s="8">
        <f>$B$7*COUNTIF(Sheet2!$B$1:$B$132,N2553)</f>
        <v>0</v>
      </c>
      <c r="P2553" s="8">
        <f t="shared" ca="1" si="133"/>
        <v>102.01</v>
      </c>
      <c r="Q2553" s="8">
        <f ca="1">CEILING(R2552*(IF(N2553&lt;=IF($B$2=0,0,OFFSET(Sheet2!$B$1,Sheet1!$B$2-1,0)),$B$1/(365*100),$B$3/(365*100)))*100,1)/100</f>
        <v>-102.01</v>
      </c>
      <c r="R2553" s="9">
        <f t="shared" ca="1" si="134"/>
        <v>-250000.96845586237</v>
      </c>
    </row>
    <row r="2554" spans="7:18" x14ac:dyDescent="0.25">
      <c r="G2554" t="str">
        <f t="shared" si="135"/>
        <v>Insert into BlueCreditTypeRainbow Values (, , , , , )</v>
      </c>
      <c r="N2554" s="4">
        <v>2551</v>
      </c>
      <c r="O2554" s="8">
        <f>$B$7*COUNTIF(Sheet2!$B$1:$B$132,N2554)</f>
        <v>0</v>
      </c>
      <c r="P2554" s="8">
        <f t="shared" ca="1" si="133"/>
        <v>102.05</v>
      </c>
      <c r="Q2554" s="8">
        <f ca="1">CEILING(R2553*(IF(N2554&lt;=IF($B$2=0,0,OFFSET(Sheet2!$B$1,Sheet1!$B$2-1,0)),$B$1/(365*100),$B$3/(365*100)))*100,1)/100</f>
        <v>-102.05</v>
      </c>
      <c r="R2554" s="9">
        <f t="shared" ca="1" si="134"/>
        <v>-250103.01845586236</v>
      </c>
    </row>
    <row r="2555" spans="7:18" x14ac:dyDescent="0.25">
      <c r="G2555" t="str">
        <f t="shared" si="135"/>
        <v>Insert into BlueCreditTypeRainbow Values (, , , , , )</v>
      </c>
      <c r="N2555" s="4">
        <v>2552</v>
      </c>
      <c r="O2555" s="8">
        <f>$B$7*COUNTIF(Sheet2!$B$1:$B$132,N2555)</f>
        <v>0</v>
      </c>
      <c r="P2555" s="8">
        <f t="shared" ca="1" si="133"/>
        <v>102.09</v>
      </c>
      <c r="Q2555" s="8">
        <f ca="1">CEILING(R2554*(IF(N2555&lt;=IF($B$2=0,0,OFFSET(Sheet2!$B$1,Sheet1!$B$2-1,0)),$B$1/(365*100),$B$3/(365*100)))*100,1)/100</f>
        <v>-102.09</v>
      </c>
      <c r="R2555" s="9">
        <f t="shared" ca="1" si="134"/>
        <v>-250205.10845586236</v>
      </c>
    </row>
    <row r="2556" spans="7:18" x14ac:dyDescent="0.25">
      <c r="G2556" t="str">
        <f t="shared" si="135"/>
        <v>Insert into BlueCreditTypeRainbow Values (, , , , , )</v>
      </c>
      <c r="N2556" s="4">
        <v>2553</v>
      </c>
      <c r="O2556" s="8">
        <f>$B$7*COUNTIF(Sheet2!$B$1:$B$132,N2556)</f>
        <v>0</v>
      </c>
      <c r="P2556" s="8">
        <f t="shared" ca="1" si="133"/>
        <v>102.13</v>
      </c>
      <c r="Q2556" s="8">
        <f ca="1">CEILING(R2555*(IF(N2556&lt;=IF($B$2=0,0,OFFSET(Sheet2!$B$1,Sheet1!$B$2-1,0)),$B$1/(365*100),$B$3/(365*100)))*100,1)/100</f>
        <v>-102.13</v>
      </c>
      <c r="R2556" s="9">
        <f t="shared" ca="1" si="134"/>
        <v>-250307.23845586236</v>
      </c>
    </row>
    <row r="2557" spans="7:18" x14ac:dyDescent="0.25">
      <c r="G2557" t="str">
        <f t="shared" si="135"/>
        <v>Insert into BlueCreditTypeRainbow Values (, , , , , )</v>
      </c>
      <c r="N2557" s="4">
        <v>2554</v>
      </c>
      <c r="O2557" s="8">
        <f>$B$7*COUNTIF(Sheet2!$B$1:$B$132,N2557)</f>
        <v>0</v>
      </c>
      <c r="P2557" s="8">
        <f t="shared" ca="1" si="133"/>
        <v>102.18</v>
      </c>
      <c r="Q2557" s="8">
        <f ca="1">CEILING(R2556*(IF(N2557&lt;=IF($B$2=0,0,OFFSET(Sheet2!$B$1,Sheet1!$B$2-1,0)),$B$1/(365*100),$B$3/(365*100)))*100,1)/100</f>
        <v>-102.18</v>
      </c>
      <c r="R2557" s="9">
        <f t="shared" ca="1" si="134"/>
        <v>-250409.41845586235</v>
      </c>
    </row>
    <row r="2558" spans="7:18" x14ac:dyDescent="0.25">
      <c r="G2558" t="str">
        <f t="shared" si="135"/>
        <v>Insert into BlueCreditTypeRainbow Values (, , , , , )</v>
      </c>
      <c r="N2558" s="4">
        <v>2555</v>
      </c>
      <c r="O2558" s="8">
        <f>$B$7*COUNTIF(Sheet2!$B$1:$B$132,N2558)</f>
        <v>0</v>
      </c>
      <c r="P2558" s="8">
        <f t="shared" ca="1" si="133"/>
        <v>102.22</v>
      </c>
      <c r="Q2558" s="8">
        <f ca="1">CEILING(R2557*(IF(N2558&lt;=IF($B$2=0,0,OFFSET(Sheet2!$B$1,Sheet1!$B$2-1,0)),$B$1/(365*100),$B$3/(365*100)))*100,1)/100</f>
        <v>-102.22</v>
      </c>
      <c r="R2558" s="9">
        <f t="shared" ca="1" si="134"/>
        <v>-250511.63845586235</v>
      </c>
    </row>
    <row r="2559" spans="7:18" x14ac:dyDescent="0.25">
      <c r="G2559" t="str">
        <f t="shared" si="135"/>
        <v>Insert into BlueCreditTypeRainbow Values (, , , , , )</v>
      </c>
      <c r="N2559" s="4">
        <v>2556</v>
      </c>
      <c r="O2559" s="8">
        <f>$B$7*COUNTIF(Sheet2!$B$1:$B$132,N2559)</f>
        <v>0</v>
      </c>
      <c r="P2559" s="8">
        <f t="shared" ref="P2559:P2622" ca="1" si="136">IF(O2559-Q2559&gt; 0, O2559-Q2559, 0)</f>
        <v>102.26</v>
      </c>
      <c r="Q2559" s="8">
        <f ca="1">CEILING(R2558*(IF(N2559&lt;=IF($B$2=0,0,OFFSET(Sheet2!$B$1,Sheet1!$B$2-1,0)),$B$1/(365*100),$B$3/(365*100)))*100,1)/100</f>
        <v>-102.26</v>
      </c>
      <c r="R2559" s="9">
        <f t="shared" ref="R2559:R2622" ca="1" si="137">R2558+Q2559-O2559</f>
        <v>-250613.89845586236</v>
      </c>
    </row>
    <row r="2560" spans="7:18" x14ac:dyDescent="0.25">
      <c r="G2560" t="str">
        <f t="shared" si="135"/>
        <v>Insert into BlueCreditTypeRainbow Values (, , , , , )</v>
      </c>
      <c r="N2560" s="4">
        <v>2557</v>
      </c>
      <c r="O2560" s="8">
        <f>$B$7*COUNTIF(Sheet2!$B$1:$B$132,N2560)</f>
        <v>0</v>
      </c>
      <c r="P2560" s="8">
        <f t="shared" ca="1" si="136"/>
        <v>102.3</v>
      </c>
      <c r="Q2560" s="8">
        <f ca="1">CEILING(R2559*(IF(N2560&lt;=IF($B$2=0,0,OFFSET(Sheet2!$B$1,Sheet1!$B$2-1,0)),$B$1/(365*100),$B$3/(365*100)))*100,1)/100</f>
        <v>-102.3</v>
      </c>
      <c r="R2560" s="9">
        <f t="shared" ca="1" si="137"/>
        <v>-250716.19845586235</v>
      </c>
    </row>
    <row r="2561" spans="7:18" x14ac:dyDescent="0.25">
      <c r="G2561" t="str">
        <f t="shared" si="135"/>
        <v>Insert into BlueCreditTypeRainbow Values (, , , , , )</v>
      </c>
      <c r="N2561" s="4">
        <v>2558</v>
      </c>
      <c r="O2561" s="8">
        <f>$B$7*COUNTIF(Sheet2!$B$1:$B$132,N2561)</f>
        <v>0</v>
      </c>
      <c r="P2561" s="8">
        <f t="shared" ca="1" si="136"/>
        <v>102.34</v>
      </c>
      <c r="Q2561" s="8">
        <f ca="1">CEILING(R2560*(IF(N2561&lt;=IF($B$2=0,0,OFFSET(Sheet2!$B$1,Sheet1!$B$2-1,0)),$B$1/(365*100),$B$3/(365*100)))*100,1)/100</f>
        <v>-102.34</v>
      </c>
      <c r="R2561" s="9">
        <f t="shared" ca="1" si="137"/>
        <v>-250818.53845586235</v>
      </c>
    </row>
    <row r="2562" spans="7:18" x14ac:dyDescent="0.25">
      <c r="G2562" t="str">
        <f t="shared" si="135"/>
        <v>Insert into BlueCreditTypeRainbow Values (, , , , , )</v>
      </c>
      <c r="N2562" s="4">
        <v>2559</v>
      </c>
      <c r="O2562" s="8">
        <f>$B$7*COUNTIF(Sheet2!$B$1:$B$132,N2562)</f>
        <v>21157.10552356458</v>
      </c>
      <c r="P2562" s="8">
        <f t="shared" ca="1" si="136"/>
        <v>21259.485523564581</v>
      </c>
      <c r="Q2562" s="8">
        <f ca="1">CEILING(R2561*(IF(N2562&lt;=IF($B$2=0,0,OFFSET(Sheet2!$B$1,Sheet1!$B$2-1,0)),$B$1/(365*100),$B$3/(365*100)))*100,1)/100</f>
        <v>-102.38</v>
      </c>
      <c r="R2562" s="9">
        <f t="shared" ca="1" si="137"/>
        <v>-272078.02397942694</v>
      </c>
    </row>
    <row r="2563" spans="7:18" x14ac:dyDescent="0.25">
      <c r="G2563" t="str">
        <f t="shared" si="135"/>
        <v>Insert into BlueCreditTypeRainbow Values (, , , , , )</v>
      </c>
      <c r="N2563" s="4">
        <v>2560</v>
      </c>
      <c r="O2563" s="8">
        <f>$B$7*COUNTIF(Sheet2!$B$1:$B$132,N2563)</f>
        <v>0</v>
      </c>
      <c r="P2563" s="8">
        <f t="shared" ca="1" si="136"/>
        <v>111.06</v>
      </c>
      <c r="Q2563" s="8">
        <f ca="1">CEILING(R2562*(IF(N2563&lt;=IF($B$2=0,0,OFFSET(Sheet2!$B$1,Sheet1!$B$2-1,0)),$B$1/(365*100),$B$3/(365*100)))*100,1)/100</f>
        <v>-111.06</v>
      </c>
      <c r="R2563" s="9">
        <f t="shared" ca="1" si="137"/>
        <v>-272189.08397942694</v>
      </c>
    </row>
    <row r="2564" spans="7:18" x14ac:dyDescent="0.25">
      <c r="G2564" t="str">
        <f t="shared" si="135"/>
        <v>Insert into BlueCreditTypeRainbow Values (, , , , , )</v>
      </c>
      <c r="N2564" s="4">
        <v>2561</v>
      </c>
      <c r="O2564" s="8">
        <f>$B$7*COUNTIF(Sheet2!$B$1:$B$132,N2564)</f>
        <v>0</v>
      </c>
      <c r="P2564" s="8">
        <f t="shared" ca="1" si="136"/>
        <v>111.11</v>
      </c>
      <c r="Q2564" s="8">
        <f ca="1">CEILING(R2563*(IF(N2564&lt;=IF($B$2=0,0,OFFSET(Sheet2!$B$1,Sheet1!$B$2-1,0)),$B$1/(365*100),$B$3/(365*100)))*100,1)/100</f>
        <v>-111.11</v>
      </c>
      <c r="R2564" s="9">
        <f t="shared" ca="1" si="137"/>
        <v>-272300.19397942693</v>
      </c>
    </row>
    <row r="2565" spans="7:18" x14ac:dyDescent="0.25">
      <c r="G2565" t="str">
        <f t="shared" si="135"/>
        <v>Insert into BlueCreditTypeRainbow Values (, , , , , )</v>
      </c>
      <c r="N2565" s="4">
        <v>2562</v>
      </c>
      <c r="O2565" s="8">
        <f>$B$7*COUNTIF(Sheet2!$B$1:$B$132,N2565)</f>
        <v>0</v>
      </c>
      <c r="P2565" s="8">
        <f t="shared" ca="1" si="136"/>
        <v>111.15</v>
      </c>
      <c r="Q2565" s="8">
        <f ca="1">CEILING(R2564*(IF(N2565&lt;=IF($B$2=0,0,OFFSET(Sheet2!$B$1,Sheet1!$B$2-1,0)),$B$1/(365*100),$B$3/(365*100)))*100,1)/100</f>
        <v>-111.15</v>
      </c>
      <c r="R2565" s="9">
        <f t="shared" ca="1" si="137"/>
        <v>-272411.34397942695</v>
      </c>
    </row>
    <row r="2566" spans="7:18" x14ac:dyDescent="0.25">
      <c r="G2566" t="str">
        <f t="shared" si="135"/>
        <v>Insert into BlueCreditTypeRainbow Values (, , , , , )</v>
      </c>
      <c r="N2566" s="4">
        <v>2563</v>
      </c>
      <c r="O2566" s="8">
        <f>$B$7*COUNTIF(Sheet2!$B$1:$B$132,N2566)</f>
        <v>0</v>
      </c>
      <c r="P2566" s="8">
        <f t="shared" ca="1" si="136"/>
        <v>111.2</v>
      </c>
      <c r="Q2566" s="8">
        <f ca="1">CEILING(R2565*(IF(N2566&lt;=IF($B$2=0,0,OFFSET(Sheet2!$B$1,Sheet1!$B$2-1,0)),$B$1/(365*100),$B$3/(365*100)))*100,1)/100</f>
        <v>-111.2</v>
      </c>
      <c r="R2566" s="9">
        <f t="shared" ca="1" si="137"/>
        <v>-272522.54397942696</v>
      </c>
    </row>
    <row r="2567" spans="7:18" x14ac:dyDescent="0.25">
      <c r="G2567" t="str">
        <f t="shared" si="135"/>
        <v>Insert into BlueCreditTypeRainbow Values (, , , , , )</v>
      </c>
      <c r="N2567" s="4">
        <v>2564</v>
      </c>
      <c r="O2567" s="8">
        <f>$B$7*COUNTIF(Sheet2!$B$1:$B$132,N2567)</f>
        <v>0</v>
      </c>
      <c r="P2567" s="8">
        <f t="shared" ca="1" si="136"/>
        <v>111.24</v>
      </c>
      <c r="Q2567" s="8">
        <f ca="1">CEILING(R2566*(IF(N2567&lt;=IF($B$2=0,0,OFFSET(Sheet2!$B$1,Sheet1!$B$2-1,0)),$B$1/(365*100),$B$3/(365*100)))*100,1)/100</f>
        <v>-111.24</v>
      </c>
      <c r="R2567" s="9">
        <f t="shared" ca="1" si="137"/>
        <v>-272633.78397942695</v>
      </c>
    </row>
    <row r="2568" spans="7:18" x14ac:dyDescent="0.25">
      <c r="G2568" t="str">
        <f t="shared" si="135"/>
        <v>Insert into BlueCreditTypeRainbow Values (, , , , , )</v>
      </c>
      <c r="N2568" s="4">
        <v>2565</v>
      </c>
      <c r="O2568" s="8">
        <f>$B$7*COUNTIF(Sheet2!$B$1:$B$132,N2568)</f>
        <v>0</v>
      </c>
      <c r="P2568" s="8">
        <f t="shared" ca="1" si="136"/>
        <v>111.29</v>
      </c>
      <c r="Q2568" s="8">
        <f ca="1">CEILING(R2567*(IF(N2568&lt;=IF($B$2=0,0,OFFSET(Sheet2!$B$1,Sheet1!$B$2-1,0)),$B$1/(365*100),$B$3/(365*100)))*100,1)/100</f>
        <v>-111.29</v>
      </c>
      <c r="R2568" s="9">
        <f t="shared" ca="1" si="137"/>
        <v>-272745.07397942693</v>
      </c>
    </row>
    <row r="2569" spans="7:18" x14ac:dyDescent="0.25">
      <c r="G2569" t="str">
        <f t="shared" si="135"/>
        <v>Insert into BlueCreditTypeRainbow Values (, , , , , )</v>
      </c>
      <c r="N2569" s="4">
        <v>2566</v>
      </c>
      <c r="O2569" s="8">
        <f>$B$7*COUNTIF(Sheet2!$B$1:$B$132,N2569)</f>
        <v>0</v>
      </c>
      <c r="P2569" s="8">
        <f t="shared" ca="1" si="136"/>
        <v>111.33</v>
      </c>
      <c r="Q2569" s="8">
        <f ca="1">CEILING(R2568*(IF(N2569&lt;=IF($B$2=0,0,OFFSET(Sheet2!$B$1,Sheet1!$B$2-1,0)),$B$1/(365*100),$B$3/(365*100)))*100,1)/100</f>
        <v>-111.33</v>
      </c>
      <c r="R2569" s="9">
        <f t="shared" ca="1" si="137"/>
        <v>-272856.40397942695</v>
      </c>
    </row>
    <row r="2570" spans="7:18" x14ac:dyDescent="0.25">
      <c r="G2570" t="str">
        <f t="shared" si="135"/>
        <v>Insert into BlueCreditTypeRainbow Values (, , , , , )</v>
      </c>
      <c r="N2570" s="4">
        <v>2567</v>
      </c>
      <c r="O2570" s="8">
        <f>$B$7*COUNTIF(Sheet2!$B$1:$B$132,N2570)</f>
        <v>0</v>
      </c>
      <c r="P2570" s="8">
        <f t="shared" ca="1" si="136"/>
        <v>111.38</v>
      </c>
      <c r="Q2570" s="8">
        <f ca="1">CEILING(R2569*(IF(N2570&lt;=IF($B$2=0,0,OFFSET(Sheet2!$B$1,Sheet1!$B$2-1,0)),$B$1/(365*100),$B$3/(365*100)))*100,1)/100</f>
        <v>-111.38</v>
      </c>
      <c r="R2570" s="9">
        <f t="shared" ca="1" si="137"/>
        <v>-272967.78397942695</v>
      </c>
    </row>
    <row r="2571" spans="7:18" x14ac:dyDescent="0.25">
      <c r="G2571" t="str">
        <f t="shared" si="135"/>
        <v>Insert into BlueCreditTypeRainbow Values (, , , , , )</v>
      </c>
      <c r="N2571" s="4">
        <v>2568</v>
      </c>
      <c r="O2571" s="8">
        <f>$B$7*COUNTIF(Sheet2!$B$1:$B$132,N2571)</f>
        <v>0</v>
      </c>
      <c r="P2571" s="8">
        <f t="shared" ca="1" si="136"/>
        <v>111.43</v>
      </c>
      <c r="Q2571" s="8">
        <f ca="1">CEILING(R2570*(IF(N2571&lt;=IF($B$2=0,0,OFFSET(Sheet2!$B$1,Sheet1!$B$2-1,0)),$B$1/(365*100),$B$3/(365*100)))*100,1)/100</f>
        <v>-111.43</v>
      </c>
      <c r="R2571" s="9">
        <f t="shared" ca="1" si="137"/>
        <v>-273079.21397942695</v>
      </c>
    </row>
    <row r="2572" spans="7:18" x14ac:dyDescent="0.25">
      <c r="G2572" t="str">
        <f t="shared" si="135"/>
        <v>Insert into BlueCreditTypeRainbow Values (, , , , , )</v>
      </c>
      <c r="N2572" s="4">
        <v>2569</v>
      </c>
      <c r="O2572" s="8">
        <f>$B$7*COUNTIF(Sheet2!$B$1:$B$132,N2572)</f>
        <v>0</v>
      </c>
      <c r="P2572" s="8">
        <f t="shared" ca="1" si="136"/>
        <v>111.47</v>
      </c>
      <c r="Q2572" s="8">
        <f ca="1">CEILING(R2571*(IF(N2572&lt;=IF($B$2=0,0,OFFSET(Sheet2!$B$1,Sheet1!$B$2-1,0)),$B$1/(365*100),$B$3/(365*100)))*100,1)/100</f>
        <v>-111.47</v>
      </c>
      <c r="R2572" s="9">
        <f t="shared" ca="1" si="137"/>
        <v>-273190.68397942692</v>
      </c>
    </row>
    <row r="2573" spans="7:18" x14ac:dyDescent="0.25">
      <c r="G2573" t="str">
        <f t="shared" si="135"/>
        <v>Insert into BlueCreditTypeRainbow Values (, , , , , )</v>
      </c>
      <c r="N2573" s="4">
        <v>2570</v>
      </c>
      <c r="O2573" s="8">
        <f>$B$7*COUNTIF(Sheet2!$B$1:$B$132,N2573)</f>
        <v>0</v>
      </c>
      <c r="P2573" s="8">
        <f t="shared" ca="1" si="136"/>
        <v>111.52</v>
      </c>
      <c r="Q2573" s="8">
        <f ca="1">CEILING(R2572*(IF(N2573&lt;=IF($B$2=0,0,OFFSET(Sheet2!$B$1,Sheet1!$B$2-1,0)),$B$1/(365*100),$B$3/(365*100)))*100,1)/100</f>
        <v>-111.52</v>
      </c>
      <c r="R2573" s="9">
        <f t="shared" ca="1" si="137"/>
        <v>-273302.20397942694</v>
      </c>
    </row>
    <row r="2574" spans="7:18" x14ac:dyDescent="0.25">
      <c r="G2574" t="str">
        <f t="shared" si="135"/>
        <v>Insert into BlueCreditTypeRainbow Values (, , , , , )</v>
      </c>
      <c r="N2574" s="4">
        <v>2571</v>
      </c>
      <c r="O2574" s="8">
        <f>$B$7*COUNTIF(Sheet2!$B$1:$B$132,N2574)</f>
        <v>0</v>
      </c>
      <c r="P2574" s="8">
        <f t="shared" ca="1" si="136"/>
        <v>111.56</v>
      </c>
      <c r="Q2574" s="8">
        <f ca="1">CEILING(R2573*(IF(N2574&lt;=IF($B$2=0,0,OFFSET(Sheet2!$B$1,Sheet1!$B$2-1,0)),$B$1/(365*100),$B$3/(365*100)))*100,1)/100</f>
        <v>-111.56</v>
      </c>
      <c r="R2574" s="9">
        <f t="shared" ca="1" si="137"/>
        <v>-273413.76397942693</v>
      </c>
    </row>
    <row r="2575" spans="7:18" x14ac:dyDescent="0.25">
      <c r="G2575" t="str">
        <f t="shared" ref="G2575:G2638" si="138">CONCATENATE("Insert into BlueCreditTypeRainbow Values (",A2575,", ",B2575,", ",C2575,", ",D2575,", ",E2575,", ",F2575,")")</f>
        <v>Insert into BlueCreditTypeRainbow Values (, , , , , )</v>
      </c>
      <c r="N2575" s="4">
        <v>2572</v>
      </c>
      <c r="O2575" s="8">
        <f>$B$7*COUNTIF(Sheet2!$B$1:$B$132,N2575)</f>
        <v>0</v>
      </c>
      <c r="P2575" s="8">
        <f t="shared" ca="1" si="136"/>
        <v>111.61</v>
      </c>
      <c r="Q2575" s="8">
        <f ca="1">CEILING(R2574*(IF(N2575&lt;=IF($B$2=0,0,OFFSET(Sheet2!$B$1,Sheet1!$B$2-1,0)),$B$1/(365*100),$B$3/(365*100)))*100,1)/100</f>
        <v>-111.61</v>
      </c>
      <c r="R2575" s="9">
        <f t="shared" ca="1" si="137"/>
        <v>-273525.37397942692</v>
      </c>
    </row>
    <row r="2576" spans="7:18" x14ac:dyDescent="0.25">
      <c r="G2576" t="str">
        <f t="shared" si="138"/>
        <v>Insert into BlueCreditTypeRainbow Values (, , , , , )</v>
      </c>
      <c r="N2576" s="4">
        <v>2573</v>
      </c>
      <c r="O2576" s="8">
        <f>$B$7*COUNTIF(Sheet2!$B$1:$B$132,N2576)</f>
        <v>0</v>
      </c>
      <c r="P2576" s="8">
        <f t="shared" ca="1" si="136"/>
        <v>111.65</v>
      </c>
      <c r="Q2576" s="8">
        <f ca="1">CEILING(R2575*(IF(N2576&lt;=IF($B$2=0,0,OFFSET(Sheet2!$B$1,Sheet1!$B$2-1,0)),$B$1/(365*100),$B$3/(365*100)))*100,1)/100</f>
        <v>-111.65</v>
      </c>
      <c r="R2576" s="9">
        <f t="shared" ca="1" si="137"/>
        <v>-273637.02397942694</v>
      </c>
    </row>
    <row r="2577" spans="7:18" x14ac:dyDescent="0.25">
      <c r="G2577" t="str">
        <f t="shared" si="138"/>
        <v>Insert into BlueCreditTypeRainbow Values (, , , , , )</v>
      </c>
      <c r="N2577" s="4">
        <v>2574</v>
      </c>
      <c r="O2577" s="8">
        <f>$B$7*COUNTIF(Sheet2!$B$1:$B$132,N2577)</f>
        <v>0</v>
      </c>
      <c r="P2577" s="8">
        <f t="shared" ca="1" si="136"/>
        <v>111.7</v>
      </c>
      <c r="Q2577" s="8">
        <f ca="1">CEILING(R2576*(IF(N2577&lt;=IF($B$2=0,0,OFFSET(Sheet2!$B$1,Sheet1!$B$2-1,0)),$B$1/(365*100),$B$3/(365*100)))*100,1)/100</f>
        <v>-111.7</v>
      </c>
      <c r="R2577" s="9">
        <f t="shared" ca="1" si="137"/>
        <v>-273748.72397942696</v>
      </c>
    </row>
    <row r="2578" spans="7:18" x14ac:dyDescent="0.25">
      <c r="G2578" t="str">
        <f t="shared" si="138"/>
        <v>Insert into BlueCreditTypeRainbow Values (, , , , , )</v>
      </c>
      <c r="N2578" s="4">
        <v>2575</v>
      </c>
      <c r="O2578" s="8">
        <f>$B$7*COUNTIF(Sheet2!$B$1:$B$132,N2578)</f>
        <v>0</v>
      </c>
      <c r="P2578" s="8">
        <f t="shared" ca="1" si="136"/>
        <v>111.74</v>
      </c>
      <c r="Q2578" s="8">
        <f ca="1">CEILING(R2577*(IF(N2578&lt;=IF($B$2=0,0,OFFSET(Sheet2!$B$1,Sheet1!$B$2-1,0)),$B$1/(365*100),$B$3/(365*100)))*100,1)/100</f>
        <v>-111.74</v>
      </c>
      <c r="R2578" s="9">
        <f t="shared" ca="1" si="137"/>
        <v>-273860.46397942695</v>
      </c>
    </row>
    <row r="2579" spans="7:18" x14ac:dyDescent="0.25">
      <c r="G2579" t="str">
        <f t="shared" si="138"/>
        <v>Insert into BlueCreditTypeRainbow Values (, , , , , )</v>
      </c>
      <c r="N2579" s="4">
        <v>2576</v>
      </c>
      <c r="O2579" s="8">
        <f>$B$7*COUNTIF(Sheet2!$B$1:$B$132,N2579)</f>
        <v>0</v>
      </c>
      <c r="P2579" s="8">
        <f t="shared" ca="1" si="136"/>
        <v>111.79</v>
      </c>
      <c r="Q2579" s="8">
        <f ca="1">CEILING(R2578*(IF(N2579&lt;=IF($B$2=0,0,OFFSET(Sheet2!$B$1,Sheet1!$B$2-1,0)),$B$1/(365*100),$B$3/(365*100)))*100,1)/100</f>
        <v>-111.79</v>
      </c>
      <c r="R2579" s="9">
        <f t="shared" ca="1" si="137"/>
        <v>-273972.25397942693</v>
      </c>
    </row>
    <row r="2580" spans="7:18" x14ac:dyDescent="0.25">
      <c r="G2580" t="str">
        <f t="shared" si="138"/>
        <v>Insert into BlueCreditTypeRainbow Values (, , , , , )</v>
      </c>
      <c r="N2580" s="4">
        <v>2577</v>
      </c>
      <c r="O2580" s="8">
        <f>$B$7*COUNTIF(Sheet2!$B$1:$B$132,N2580)</f>
        <v>0</v>
      </c>
      <c r="P2580" s="8">
        <f t="shared" ca="1" si="136"/>
        <v>111.84</v>
      </c>
      <c r="Q2580" s="8">
        <f ca="1">CEILING(R2579*(IF(N2580&lt;=IF($B$2=0,0,OFFSET(Sheet2!$B$1,Sheet1!$B$2-1,0)),$B$1/(365*100),$B$3/(365*100)))*100,1)/100</f>
        <v>-111.84</v>
      </c>
      <c r="R2580" s="9">
        <f t="shared" ca="1" si="137"/>
        <v>-274084.09397942695</v>
      </c>
    </row>
    <row r="2581" spans="7:18" x14ac:dyDescent="0.25">
      <c r="G2581" t="str">
        <f t="shared" si="138"/>
        <v>Insert into BlueCreditTypeRainbow Values (, , , , , )</v>
      </c>
      <c r="N2581" s="4">
        <v>2578</v>
      </c>
      <c r="O2581" s="8">
        <f>$B$7*COUNTIF(Sheet2!$B$1:$B$132,N2581)</f>
        <v>0</v>
      </c>
      <c r="P2581" s="8">
        <f t="shared" ca="1" si="136"/>
        <v>111.88</v>
      </c>
      <c r="Q2581" s="8">
        <f ca="1">CEILING(R2580*(IF(N2581&lt;=IF($B$2=0,0,OFFSET(Sheet2!$B$1,Sheet1!$B$2-1,0)),$B$1/(365*100),$B$3/(365*100)))*100,1)/100</f>
        <v>-111.88</v>
      </c>
      <c r="R2581" s="9">
        <f t="shared" ca="1" si="137"/>
        <v>-274195.97397942696</v>
      </c>
    </row>
    <row r="2582" spans="7:18" x14ac:dyDescent="0.25">
      <c r="G2582" t="str">
        <f t="shared" si="138"/>
        <v>Insert into BlueCreditTypeRainbow Values (, , , , , )</v>
      </c>
      <c r="N2582" s="4">
        <v>2579</v>
      </c>
      <c r="O2582" s="8">
        <f>$B$7*COUNTIF(Sheet2!$B$1:$B$132,N2582)</f>
        <v>0</v>
      </c>
      <c r="P2582" s="8">
        <f t="shared" ca="1" si="136"/>
        <v>111.93</v>
      </c>
      <c r="Q2582" s="8">
        <f ca="1">CEILING(R2581*(IF(N2582&lt;=IF($B$2=0,0,OFFSET(Sheet2!$B$1,Sheet1!$B$2-1,0)),$B$1/(365*100),$B$3/(365*100)))*100,1)/100</f>
        <v>-111.93</v>
      </c>
      <c r="R2582" s="9">
        <f t="shared" ca="1" si="137"/>
        <v>-274307.90397942695</v>
      </c>
    </row>
    <row r="2583" spans="7:18" x14ac:dyDescent="0.25">
      <c r="G2583" t="str">
        <f t="shared" si="138"/>
        <v>Insert into BlueCreditTypeRainbow Values (, , , , , )</v>
      </c>
      <c r="N2583" s="4">
        <v>2580</v>
      </c>
      <c r="O2583" s="8">
        <f>$B$7*COUNTIF(Sheet2!$B$1:$B$132,N2583)</f>
        <v>0</v>
      </c>
      <c r="P2583" s="8">
        <f t="shared" ca="1" si="136"/>
        <v>111.97</v>
      </c>
      <c r="Q2583" s="8">
        <f ca="1">CEILING(R2582*(IF(N2583&lt;=IF($B$2=0,0,OFFSET(Sheet2!$B$1,Sheet1!$B$2-1,0)),$B$1/(365*100),$B$3/(365*100)))*100,1)/100</f>
        <v>-111.97</v>
      </c>
      <c r="R2583" s="9">
        <f t="shared" ca="1" si="137"/>
        <v>-274419.87397942692</v>
      </c>
    </row>
    <row r="2584" spans="7:18" x14ac:dyDescent="0.25">
      <c r="G2584" t="str">
        <f t="shared" si="138"/>
        <v>Insert into BlueCreditTypeRainbow Values (, , , , , )</v>
      </c>
      <c r="N2584" s="4">
        <v>2581</v>
      </c>
      <c r="O2584" s="8">
        <f>$B$7*COUNTIF(Sheet2!$B$1:$B$132,N2584)</f>
        <v>0</v>
      </c>
      <c r="P2584" s="8">
        <f t="shared" ca="1" si="136"/>
        <v>112.02</v>
      </c>
      <c r="Q2584" s="8">
        <f ca="1">CEILING(R2583*(IF(N2584&lt;=IF($B$2=0,0,OFFSET(Sheet2!$B$1,Sheet1!$B$2-1,0)),$B$1/(365*100),$B$3/(365*100)))*100,1)/100</f>
        <v>-112.02</v>
      </c>
      <c r="R2584" s="9">
        <f t="shared" ca="1" si="137"/>
        <v>-274531.89397942694</v>
      </c>
    </row>
    <row r="2585" spans="7:18" x14ac:dyDescent="0.25">
      <c r="G2585" t="str">
        <f t="shared" si="138"/>
        <v>Insert into BlueCreditTypeRainbow Values (, , , , , )</v>
      </c>
      <c r="N2585" s="4">
        <v>2582</v>
      </c>
      <c r="O2585" s="8">
        <f>$B$7*COUNTIF(Sheet2!$B$1:$B$132,N2585)</f>
        <v>0</v>
      </c>
      <c r="P2585" s="8">
        <f t="shared" ca="1" si="136"/>
        <v>112.06</v>
      </c>
      <c r="Q2585" s="8">
        <f ca="1">CEILING(R2584*(IF(N2585&lt;=IF($B$2=0,0,OFFSET(Sheet2!$B$1,Sheet1!$B$2-1,0)),$B$1/(365*100),$B$3/(365*100)))*100,1)/100</f>
        <v>-112.06</v>
      </c>
      <c r="R2585" s="9">
        <f t="shared" ca="1" si="137"/>
        <v>-274643.95397942694</v>
      </c>
    </row>
    <row r="2586" spans="7:18" x14ac:dyDescent="0.25">
      <c r="G2586" t="str">
        <f t="shared" si="138"/>
        <v>Insert into BlueCreditTypeRainbow Values (, , , , , )</v>
      </c>
      <c r="N2586" s="4">
        <v>2583</v>
      </c>
      <c r="O2586" s="8">
        <f>$B$7*COUNTIF(Sheet2!$B$1:$B$132,N2586)</f>
        <v>0</v>
      </c>
      <c r="P2586" s="8">
        <f t="shared" ca="1" si="136"/>
        <v>112.11</v>
      </c>
      <c r="Q2586" s="8">
        <f ca="1">CEILING(R2585*(IF(N2586&lt;=IF($B$2=0,0,OFFSET(Sheet2!$B$1,Sheet1!$B$2-1,0)),$B$1/(365*100),$B$3/(365*100)))*100,1)/100</f>
        <v>-112.11</v>
      </c>
      <c r="R2586" s="9">
        <f t="shared" ca="1" si="137"/>
        <v>-274756.06397942692</v>
      </c>
    </row>
    <row r="2587" spans="7:18" x14ac:dyDescent="0.25">
      <c r="G2587" t="str">
        <f t="shared" si="138"/>
        <v>Insert into BlueCreditTypeRainbow Values (, , , , , )</v>
      </c>
      <c r="N2587" s="4">
        <v>2584</v>
      </c>
      <c r="O2587" s="8">
        <f>$B$7*COUNTIF(Sheet2!$B$1:$B$132,N2587)</f>
        <v>0</v>
      </c>
      <c r="P2587" s="8">
        <f t="shared" ca="1" si="136"/>
        <v>112.16</v>
      </c>
      <c r="Q2587" s="8">
        <f ca="1">CEILING(R2586*(IF(N2587&lt;=IF($B$2=0,0,OFFSET(Sheet2!$B$1,Sheet1!$B$2-1,0)),$B$1/(365*100),$B$3/(365*100)))*100,1)/100</f>
        <v>-112.16</v>
      </c>
      <c r="R2587" s="9">
        <f t="shared" ca="1" si="137"/>
        <v>-274868.2239794269</v>
      </c>
    </row>
    <row r="2588" spans="7:18" x14ac:dyDescent="0.25">
      <c r="G2588" t="str">
        <f t="shared" si="138"/>
        <v>Insert into BlueCreditTypeRainbow Values (, , , , , )</v>
      </c>
      <c r="N2588" s="4">
        <v>2585</v>
      </c>
      <c r="O2588" s="8">
        <f>$B$7*COUNTIF(Sheet2!$B$1:$B$132,N2588)</f>
        <v>0</v>
      </c>
      <c r="P2588" s="8">
        <f t="shared" ca="1" si="136"/>
        <v>112.2</v>
      </c>
      <c r="Q2588" s="8">
        <f ca="1">CEILING(R2587*(IF(N2588&lt;=IF($B$2=0,0,OFFSET(Sheet2!$B$1,Sheet1!$B$2-1,0)),$B$1/(365*100),$B$3/(365*100)))*100,1)/100</f>
        <v>-112.2</v>
      </c>
      <c r="R2588" s="9">
        <f t="shared" ca="1" si="137"/>
        <v>-274980.42397942691</v>
      </c>
    </row>
    <row r="2589" spans="7:18" x14ac:dyDescent="0.25">
      <c r="G2589" t="str">
        <f t="shared" si="138"/>
        <v>Insert into BlueCreditTypeRainbow Values (, , , , , )</v>
      </c>
      <c r="N2589" s="4">
        <v>2586</v>
      </c>
      <c r="O2589" s="8">
        <f>$B$7*COUNTIF(Sheet2!$B$1:$B$132,N2589)</f>
        <v>0</v>
      </c>
      <c r="P2589" s="8">
        <f t="shared" ca="1" si="136"/>
        <v>112.25</v>
      </c>
      <c r="Q2589" s="8">
        <f ca="1">CEILING(R2588*(IF(N2589&lt;=IF($B$2=0,0,OFFSET(Sheet2!$B$1,Sheet1!$B$2-1,0)),$B$1/(365*100),$B$3/(365*100)))*100,1)/100</f>
        <v>-112.25</v>
      </c>
      <c r="R2589" s="9">
        <f t="shared" ca="1" si="137"/>
        <v>-275092.67397942691</v>
      </c>
    </row>
    <row r="2590" spans="7:18" x14ac:dyDescent="0.25">
      <c r="G2590" t="str">
        <f t="shared" si="138"/>
        <v>Insert into BlueCreditTypeRainbow Values (, , , , , )</v>
      </c>
      <c r="N2590" s="4">
        <v>2587</v>
      </c>
      <c r="O2590" s="8">
        <f>$B$7*COUNTIF(Sheet2!$B$1:$B$132,N2590)</f>
        <v>0</v>
      </c>
      <c r="P2590" s="8">
        <f t="shared" ca="1" si="136"/>
        <v>112.29</v>
      </c>
      <c r="Q2590" s="8">
        <f ca="1">CEILING(R2589*(IF(N2590&lt;=IF($B$2=0,0,OFFSET(Sheet2!$B$1,Sheet1!$B$2-1,0)),$B$1/(365*100),$B$3/(365*100)))*100,1)/100</f>
        <v>-112.29</v>
      </c>
      <c r="R2590" s="9">
        <f t="shared" ca="1" si="137"/>
        <v>-275204.96397942689</v>
      </c>
    </row>
    <row r="2591" spans="7:18" x14ac:dyDescent="0.25">
      <c r="G2591" t="str">
        <f t="shared" si="138"/>
        <v>Insert into BlueCreditTypeRainbow Values (, , , , , )</v>
      </c>
      <c r="N2591" s="4">
        <v>2588</v>
      </c>
      <c r="O2591" s="8">
        <f>$B$7*COUNTIF(Sheet2!$B$1:$B$132,N2591)</f>
        <v>0</v>
      </c>
      <c r="P2591" s="8">
        <f t="shared" ca="1" si="136"/>
        <v>112.34</v>
      </c>
      <c r="Q2591" s="8">
        <f ca="1">CEILING(R2590*(IF(N2591&lt;=IF($B$2=0,0,OFFSET(Sheet2!$B$1,Sheet1!$B$2-1,0)),$B$1/(365*100),$B$3/(365*100)))*100,1)/100</f>
        <v>-112.34</v>
      </c>
      <c r="R2591" s="9">
        <f t="shared" ca="1" si="137"/>
        <v>-275317.30397942691</v>
      </c>
    </row>
    <row r="2592" spans="7:18" x14ac:dyDescent="0.25">
      <c r="G2592" t="str">
        <f t="shared" si="138"/>
        <v>Insert into BlueCreditTypeRainbow Values (, , , , , )</v>
      </c>
      <c r="N2592" s="4">
        <v>2589</v>
      </c>
      <c r="O2592" s="8">
        <f>$B$7*COUNTIF(Sheet2!$B$1:$B$132,N2592)</f>
        <v>21157.10552356458</v>
      </c>
      <c r="P2592" s="8">
        <f t="shared" ca="1" si="136"/>
        <v>21269.485523564581</v>
      </c>
      <c r="Q2592" s="8">
        <f ca="1">CEILING(R2591*(IF(N2592&lt;=IF($B$2=0,0,OFFSET(Sheet2!$B$1,Sheet1!$B$2-1,0)),$B$1/(365*100),$B$3/(365*100)))*100,1)/100</f>
        <v>-112.38</v>
      </c>
      <c r="R2592" s="9">
        <f t="shared" ca="1" si="137"/>
        <v>-296586.78950299148</v>
      </c>
    </row>
    <row r="2593" spans="7:18" x14ac:dyDescent="0.25">
      <c r="G2593" t="str">
        <f t="shared" si="138"/>
        <v>Insert into BlueCreditTypeRainbow Values (, , , , , )</v>
      </c>
      <c r="N2593" s="4">
        <v>2590</v>
      </c>
      <c r="O2593" s="8">
        <f>$B$7*COUNTIF(Sheet2!$B$1:$B$132,N2593)</f>
        <v>0</v>
      </c>
      <c r="P2593" s="8">
        <f t="shared" ca="1" si="136"/>
        <v>121.07</v>
      </c>
      <c r="Q2593" s="8">
        <f ca="1">CEILING(R2592*(IF(N2593&lt;=IF($B$2=0,0,OFFSET(Sheet2!$B$1,Sheet1!$B$2-1,0)),$B$1/(365*100),$B$3/(365*100)))*100,1)/100</f>
        <v>-121.07</v>
      </c>
      <c r="R2593" s="9">
        <f t="shared" ca="1" si="137"/>
        <v>-296707.85950299149</v>
      </c>
    </row>
    <row r="2594" spans="7:18" x14ac:dyDescent="0.25">
      <c r="G2594" t="str">
        <f t="shared" si="138"/>
        <v>Insert into BlueCreditTypeRainbow Values (, , , , , )</v>
      </c>
      <c r="N2594" s="4">
        <v>2591</v>
      </c>
      <c r="O2594" s="8">
        <f>$B$7*COUNTIF(Sheet2!$B$1:$B$132,N2594)</f>
        <v>0</v>
      </c>
      <c r="P2594" s="8">
        <f t="shared" ca="1" si="136"/>
        <v>121.12</v>
      </c>
      <c r="Q2594" s="8">
        <f ca="1">CEILING(R2593*(IF(N2594&lt;=IF($B$2=0,0,OFFSET(Sheet2!$B$1,Sheet1!$B$2-1,0)),$B$1/(365*100),$B$3/(365*100)))*100,1)/100</f>
        <v>-121.12</v>
      </c>
      <c r="R2594" s="9">
        <f t="shared" ca="1" si="137"/>
        <v>-296828.97950299148</v>
      </c>
    </row>
    <row r="2595" spans="7:18" x14ac:dyDescent="0.25">
      <c r="G2595" t="str">
        <f t="shared" si="138"/>
        <v>Insert into BlueCreditTypeRainbow Values (, , , , , )</v>
      </c>
      <c r="N2595" s="4">
        <v>2592</v>
      </c>
      <c r="O2595" s="8">
        <f>$B$7*COUNTIF(Sheet2!$B$1:$B$132,N2595)</f>
        <v>0</v>
      </c>
      <c r="P2595" s="8">
        <f t="shared" ca="1" si="136"/>
        <v>121.17</v>
      </c>
      <c r="Q2595" s="8">
        <f ca="1">CEILING(R2594*(IF(N2595&lt;=IF($B$2=0,0,OFFSET(Sheet2!$B$1,Sheet1!$B$2-1,0)),$B$1/(365*100),$B$3/(365*100)))*100,1)/100</f>
        <v>-121.17</v>
      </c>
      <c r="R2595" s="9">
        <f t="shared" ca="1" si="137"/>
        <v>-296950.14950299147</v>
      </c>
    </row>
    <row r="2596" spans="7:18" x14ac:dyDescent="0.25">
      <c r="G2596" t="str">
        <f t="shared" si="138"/>
        <v>Insert into BlueCreditTypeRainbow Values (, , , , , )</v>
      </c>
      <c r="N2596" s="4">
        <v>2593</v>
      </c>
      <c r="O2596" s="8">
        <f>$B$7*COUNTIF(Sheet2!$B$1:$B$132,N2596)</f>
        <v>0</v>
      </c>
      <c r="P2596" s="8">
        <f t="shared" ca="1" si="136"/>
        <v>121.22</v>
      </c>
      <c r="Q2596" s="8">
        <f ca="1">CEILING(R2595*(IF(N2596&lt;=IF($B$2=0,0,OFFSET(Sheet2!$B$1,Sheet1!$B$2-1,0)),$B$1/(365*100),$B$3/(365*100)))*100,1)/100</f>
        <v>-121.22</v>
      </c>
      <c r="R2596" s="9">
        <f t="shared" ca="1" si="137"/>
        <v>-297071.36950299144</v>
      </c>
    </row>
    <row r="2597" spans="7:18" x14ac:dyDescent="0.25">
      <c r="G2597" t="str">
        <f t="shared" si="138"/>
        <v>Insert into BlueCreditTypeRainbow Values (, , , , , )</v>
      </c>
      <c r="N2597" s="4">
        <v>2594</v>
      </c>
      <c r="O2597" s="8">
        <f>$B$7*COUNTIF(Sheet2!$B$1:$B$132,N2597)</f>
        <v>0</v>
      </c>
      <c r="P2597" s="8">
        <f t="shared" ca="1" si="136"/>
        <v>121.27</v>
      </c>
      <c r="Q2597" s="8">
        <f ca="1">CEILING(R2596*(IF(N2597&lt;=IF($B$2=0,0,OFFSET(Sheet2!$B$1,Sheet1!$B$2-1,0)),$B$1/(365*100),$B$3/(365*100)))*100,1)/100</f>
        <v>-121.27</v>
      </c>
      <c r="R2597" s="9">
        <f t="shared" ca="1" si="137"/>
        <v>-297192.63950299146</v>
      </c>
    </row>
    <row r="2598" spans="7:18" x14ac:dyDescent="0.25">
      <c r="G2598" t="str">
        <f t="shared" si="138"/>
        <v>Insert into BlueCreditTypeRainbow Values (, , , , , )</v>
      </c>
      <c r="N2598" s="4">
        <v>2595</v>
      </c>
      <c r="O2598" s="8">
        <f>$B$7*COUNTIF(Sheet2!$B$1:$B$132,N2598)</f>
        <v>0</v>
      </c>
      <c r="P2598" s="8">
        <f t="shared" ca="1" si="136"/>
        <v>121.31</v>
      </c>
      <c r="Q2598" s="8">
        <f ca="1">CEILING(R2597*(IF(N2598&lt;=IF($B$2=0,0,OFFSET(Sheet2!$B$1,Sheet1!$B$2-1,0)),$B$1/(365*100),$B$3/(365*100)))*100,1)/100</f>
        <v>-121.31</v>
      </c>
      <c r="R2598" s="9">
        <f t="shared" ca="1" si="137"/>
        <v>-297313.94950299145</v>
      </c>
    </row>
    <row r="2599" spans="7:18" x14ac:dyDescent="0.25">
      <c r="G2599" t="str">
        <f t="shared" si="138"/>
        <v>Insert into BlueCreditTypeRainbow Values (, , , , , )</v>
      </c>
      <c r="N2599" s="4">
        <v>2596</v>
      </c>
      <c r="O2599" s="8">
        <f>$B$7*COUNTIF(Sheet2!$B$1:$B$132,N2599)</f>
        <v>0</v>
      </c>
      <c r="P2599" s="8">
        <f t="shared" ca="1" si="136"/>
        <v>121.36</v>
      </c>
      <c r="Q2599" s="8">
        <f ca="1">CEILING(R2598*(IF(N2599&lt;=IF($B$2=0,0,OFFSET(Sheet2!$B$1,Sheet1!$B$2-1,0)),$B$1/(365*100),$B$3/(365*100)))*100,1)/100</f>
        <v>-121.36</v>
      </c>
      <c r="R2599" s="9">
        <f t="shared" ca="1" si="137"/>
        <v>-297435.30950299144</v>
      </c>
    </row>
    <row r="2600" spans="7:18" x14ac:dyDescent="0.25">
      <c r="G2600" t="str">
        <f t="shared" si="138"/>
        <v>Insert into BlueCreditTypeRainbow Values (, , , , , )</v>
      </c>
      <c r="N2600" s="4">
        <v>2597</v>
      </c>
      <c r="O2600" s="8">
        <f>$B$7*COUNTIF(Sheet2!$B$1:$B$132,N2600)</f>
        <v>0</v>
      </c>
      <c r="P2600" s="8">
        <f t="shared" ca="1" si="136"/>
        <v>121.41</v>
      </c>
      <c r="Q2600" s="8">
        <f ca="1">CEILING(R2599*(IF(N2600&lt;=IF($B$2=0,0,OFFSET(Sheet2!$B$1,Sheet1!$B$2-1,0)),$B$1/(365*100),$B$3/(365*100)))*100,1)/100</f>
        <v>-121.41</v>
      </c>
      <c r="R2600" s="9">
        <f t="shared" ca="1" si="137"/>
        <v>-297556.71950299141</v>
      </c>
    </row>
    <row r="2601" spans="7:18" x14ac:dyDescent="0.25">
      <c r="G2601" t="str">
        <f t="shared" si="138"/>
        <v>Insert into BlueCreditTypeRainbow Values (, , , , , )</v>
      </c>
      <c r="N2601" s="4">
        <v>2598</v>
      </c>
      <c r="O2601" s="8">
        <f>$B$7*COUNTIF(Sheet2!$B$1:$B$132,N2601)</f>
        <v>0</v>
      </c>
      <c r="P2601" s="8">
        <f t="shared" ca="1" si="136"/>
        <v>121.46</v>
      </c>
      <c r="Q2601" s="8">
        <f ca="1">CEILING(R2600*(IF(N2601&lt;=IF($B$2=0,0,OFFSET(Sheet2!$B$1,Sheet1!$B$2-1,0)),$B$1/(365*100),$B$3/(365*100)))*100,1)/100</f>
        <v>-121.46</v>
      </c>
      <c r="R2601" s="9">
        <f t="shared" ca="1" si="137"/>
        <v>-297678.17950299144</v>
      </c>
    </row>
    <row r="2602" spans="7:18" x14ac:dyDescent="0.25">
      <c r="G2602" t="str">
        <f t="shared" si="138"/>
        <v>Insert into BlueCreditTypeRainbow Values (, , , , , )</v>
      </c>
      <c r="N2602" s="4">
        <v>2599</v>
      </c>
      <c r="O2602" s="8">
        <f>$B$7*COUNTIF(Sheet2!$B$1:$B$132,N2602)</f>
        <v>0</v>
      </c>
      <c r="P2602" s="8">
        <f t="shared" ca="1" si="136"/>
        <v>121.51</v>
      </c>
      <c r="Q2602" s="8">
        <f ca="1">CEILING(R2601*(IF(N2602&lt;=IF($B$2=0,0,OFFSET(Sheet2!$B$1,Sheet1!$B$2-1,0)),$B$1/(365*100),$B$3/(365*100)))*100,1)/100</f>
        <v>-121.51</v>
      </c>
      <c r="R2602" s="9">
        <f t="shared" ca="1" si="137"/>
        <v>-297799.68950299144</v>
      </c>
    </row>
    <row r="2603" spans="7:18" x14ac:dyDescent="0.25">
      <c r="G2603" t="str">
        <f t="shared" si="138"/>
        <v>Insert into BlueCreditTypeRainbow Values (, , , , , )</v>
      </c>
      <c r="N2603" s="4">
        <v>2600</v>
      </c>
      <c r="O2603" s="8">
        <f>$B$7*COUNTIF(Sheet2!$B$1:$B$132,N2603)</f>
        <v>0</v>
      </c>
      <c r="P2603" s="8">
        <f t="shared" ca="1" si="136"/>
        <v>121.56</v>
      </c>
      <c r="Q2603" s="8">
        <f ca="1">CEILING(R2602*(IF(N2603&lt;=IF($B$2=0,0,OFFSET(Sheet2!$B$1,Sheet1!$B$2-1,0)),$B$1/(365*100),$B$3/(365*100)))*100,1)/100</f>
        <v>-121.56</v>
      </c>
      <c r="R2603" s="9">
        <f t="shared" ca="1" si="137"/>
        <v>-297921.24950299144</v>
      </c>
    </row>
    <row r="2604" spans="7:18" x14ac:dyDescent="0.25">
      <c r="G2604" t="str">
        <f t="shared" si="138"/>
        <v>Insert into BlueCreditTypeRainbow Values (, , , , , )</v>
      </c>
      <c r="N2604" s="4">
        <v>2601</v>
      </c>
      <c r="O2604" s="8">
        <f>$B$7*COUNTIF(Sheet2!$B$1:$B$132,N2604)</f>
        <v>0</v>
      </c>
      <c r="P2604" s="8">
        <f t="shared" ca="1" si="136"/>
        <v>121.61</v>
      </c>
      <c r="Q2604" s="8">
        <f ca="1">CEILING(R2603*(IF(N2604&lt;=IF($B$2=0,0,OFFSET(Sheet2!$B$1,Sheet1!$B$2-1,0)),$B$1/(365*100),$B$3/(365*100)))*100,1)/100</f>
        <v>-121.61</v>
      </c>
      <c r="R2604" s="9">
        <f t="shared" ca="1" si="137"/>
        <v>-298042.85950299143</v>
      </c>
    </row>
    <row r="2605" spans="7:18" x14ac:dyDescent="0.25">
      <c r="G2605" t="str">
        <f t="shared" si="138"/>
        <v>Insert into BlueCreditTypeRainbow Values (, , , , , )</v>
      </c>
      <c r="N2605" s="4">
        <v>2602</v>
      </c>
      <c r="O2605" s="8">
        <f>$B$7*COUNTIF(Sheet2!$B$1:$B$132,N2605)</f>
        <v>0</v>
      </c>
      <c r="P2605" s="8">
        <f t="shared" ca="1" si="136"/>
        <v>121.66</v>
      </c>
      <c r="Q2605" s="8">
        <f ca="1">CEILING(R2604*(IF(N2605&lt;=IF($B$2=0,0,OFFSET(Sheet2!$B$1,Sheet1!$B$2-1,0)),$B$1/(365*100),$B$3/(365*100)))*100,1)/100</f>
        <v>-121.66</v>
      </c>
      <c r="R2605" s="9">
        <f t="shared" ca="1" si="137"/>
        <v>-298164.5195029914</v>
      </c>
    </row>
    <row r="2606" spans="7:18" x14ac:dyDescent="0.25">
      <c r="G2606" t="str">
        <f t="shared" si="138"/>
        <v>Insert into BlueCreditTypeRainbow Values (, , , , , )</v>
      </c>
      <c r="N2606" s="4">
        <v>2603</v>
      </c>
      <c r="O2606" s="8">
        <f>$B$7*COUNTIF(Sheet2!$B$1:$B$132,N2606)</f>
        <v>0</v>
      </c>
      <c r="P2606" s="8">
        <f t="shared" ca="1" si="136"/>
        <v>121.71</v>
      </c>
      <c r="Q2606" s="8">
        <f ca="1">CEILING(R2605*(IF(N2606&lt;=IF($B$2=0,0,OFFSET(Sheet2!$B$1,Sheet1!$B$2-1,0)),$B$1/(365*100),$B$3/(365*100)))*100,1)/100</f>
        <v>-121.71</v>
      </c>
      <c r="R2606" s="9">
        <f t="shared" ca="1" si="137"/>
        <v>-298286.22950299142</v>
      </c>
    </row>
    <row r="2607" spans="7:18" x14ac:dyDescent="0.25">
      <c r="G2607" t="str">
        <f t="shared" si="138"/>
        <v>Insert into BlueCreditTypeRainbow Values (, , , , , )</v>
      </c>
      <c r="N2607" s="4">
        <v>2604</v>
      </c>
      <c r="O2607" s="8">
        <f>$B$7*COUNTIF(Sheet2!$B$1:$B$132,N2607)</f>
        <v>0</v>
      </c>
      <c r="P2607" s="8">
        <f t="shared" ca="1" si="136"/>
        <v>121.76</v>
      </c>
      <c r="Q2607" s="8">
        <f ca="1">CEILING(R2606*(IF(N2607&lt;=IF($B$2=0,0,OFFSET(Sheet2!$B$1,Sheet1!$B$2-1,0)),$B$1/(365*100),$B$3/(365*100)))*100,1)/100</f>
        <v>-121.76</v>
      </c>
      <c r="R2607" s="9">
        <f t="shared" ca="1" si="137"/>
        <v>-298407.98950299143</v>
      </c>
    </row>
    <row r="2608" spans="7:18" x14ac:dyDescent="0.25">
      <c r="G2608" t="str">
        <f t="shared" si="138"/>
        <v>Insert into BlueCreditTypeRainbow Values (, , , , , )</v>
      </c>
      <c r="N2608" s="4">
        <v>2605</v>
      </c>
      <c r="O2608" s="8">
        <f>$B$7*COUNTIF(Sheet2!$B$1:$B$132,N2608)</f>
        <v>0</v>
      </c>
      <c r="P2608" s="8">
        <f t="shared" ca="1" si="136"/>
        <v>121.81</v>
      </c>
      <c r="Q2608" s="8">
        <f ca="1">CEILING(R2607*(IF(N2608&lt;=IF($B$2=0,0,OFFSET(Sheet2!$B$1,Sheet1!$B$2-1,0)),$B$1/(365*100),$B$3/(365*100)))*100,1)/100</f>
        <v>-121.81</v>
      </c>
      <c r="R2608" s="9">
        <f t="shared" ca="1" si="137"/>
        <v>-298529.79950299143</v>
      </c>
    </row>
    <row r="2609" spans="7:18" x14ac:dyDescent="0.25">
      <c r="G2609" t="str">
        <f t="shared" si="138"/>
        <v>Insert into BlueCreditTypeRainbow Values (, , , , , )</v>
      </c>
      <c r="N2609" s="4">
        <v>2606</v>
      </c>
      <c r="O2609" s="8">
        <f>$B$7*COUNTIF(Sheet2!$B$1:$B$132,N2609)</f>
        <v>0</v>
      </c>
      <c r="P2609" s="8">
        <f t="shared" ca="1" si="136"/>
        <v>121.86</v>
      </c>
      <c r="Q2609" s="8">
        <f ca="1">CEILING(R2608*(IF(N2609&lt;=IF($B$2=0,0,OFFSET(Sheet2!$B$1,Sheet1!$B$2-1,0)),$B$1/(365*100),$B$3/(365*100)))*100,1)/100</f>
        <v>-121.86</v>
      </c>
      <c r="R2609" s="9">
        <f t="shared" ca="1" si="137"/>
        <v>-298651.65950299142</v>
      </c>
    </row>
    <row r="2610" spans="7:18" x14ac:dyDescent="0.25">
      <c r="G2610" t="str">
        <f t="shared" si="138"/>
        <v>Insert into BlueCreditTypeRainbow Values (, , , , , )</v>
      </c>
      <c r="N2610" s="4">
        <v>2607</v>
      </c>
      <c r="O2610" s="8">
        <f>$B$7*COUNTIF(Sheet2!$B$1:$B$132,N2610)</f>
        <v>0</v>
      </c>
      <c r="P2610" s="8">
        <f t="shared" ca="1" si="136"/>
        <v>121.91</v>
      </c>
      <c r="Q2610" s="8">
        <f ca="1">CEILING(R2609*(IF(N2610&lt;=IF($B$2=0,0,OFFSET(Sheet2!$B$1,Sheet1!$B$2-1,0)),$B$1/(365*100),$B$3/(365*100)))*100,1)/100</f>
        <v>-121.91</v>
      </c>
      <c r="R2610" s="9">
        <f t="shared" ca="1" si="137"/>
        <v>-298773.56950299139</v>
      </c>
    </row>
    <row r="2611" spans="7:18" x14ac:dyDescent="0.25">
      <c r="G2611" t="str">
        <f t="shared" si="138"/>
        <v>Insert into BlueCreditTypeRainbow Values (, , , , , )</v>
      </c>
      <c r="N2611" s="4">
        <v>2608</v>
      </c>
      <c r="O2611" s="8">
        <f>$B$7*COUNTIF(Sheet2!$B$1:$B$132,N2611)</f>
        <v>0</v>
      </c>
      <c r="P2611" s="8">
        <f t="shared" ca="1" si="136"/>
        <v>121.96</v>
      </c>
      <c r="Q2611" s="8">
        <f ca="1">CEILING(R2610*(IF(N2611&lt;=IF($B$2=0,0,OFFSET(Sheet2!$B$1,Sheet1!$B$2-1,0)),$B$1/(365*100),$B$3/(365*100)))*100,1)/100</f>
        <v>-121.96</v>
      </c>
      <c r="R2611" s="9">
        <f t="shared" ca="1" si="137"/>
        <v>-298895.52950299141</v>
      </c>
    </row>
    <row r="2612" spans="7:18" x14ac:dyDescent="0.25">
      <c r="G2612" t="str">
        <f t="shared" si="138"/>
        <v>Insert into BlueCreditTypeRainbow Values (, , , , , )</v>
      </c>
      <c r="N2612" s="4">
        <v>2609</v>
      </c>
      <c r="O2612" s="8">
        <f>$B$7*COUNTIF(Sheet2!$B$1:$B$132,N2612)</f>
        <v>0</v>
      </c>
      <c r="P2612" s="8">
        <f t="shared" ca="1" si="136"/>
        <v>122.01</v>
      </c>
      <c r="Q2612" s="8">
        <f ca="1">CEILING(R2611*(IF(N2612&lt;=IF($B$2=0,0,OFFSET(Sheet2!$B$1,Sheet1!$B$2-1,0)),$B$1/(365*100),$B$3/(365*100)))*100,1)/100</f>
        <v>-122.01</v>
      </c>
      <c r="R2612" s="9">
        <f t="shared" ca="1" si="137"/>
        <v>-299017.53950299142</v>
      </c>
    </row>
    <row r="2613" spans="7:18" x14ac:dyDescent="0.25">
      <c r="G2613" t="str">
        <f t="shared" si="138"/>
        <v>Insert into BlueCreditTypeRainbow Values (, , , , , )</v>
      </c>
      <c r="N2613" s="4">
        <v>2610</v>
      </c>
      <c r="O2613" s="8">
        <f>$B$7*COUNTIF(Sheet2!$B$1:$B$132,N2613)</f>
        <v>0</v>
      </c>
      <c r="P2613" s="8">
        <f t="shared" ca="1" si="136"/>
        <v>122.06</v>
      </c>
      <c r="Q2613" s="8">
        <f ca="1">CEILING(R2612*(IF(N2613&lt;=IF($B$2=0,0,OFFSET(Sheet2!$B$1,Sheet1!$B$2-1,0)),$B$1/(365*100),$B$3/(365*100)))*100,1)/100</f>
        <v>-122.06</v>
      </c>
      <c r="R2613" s="9">
        <f t="shared" ca="1" si="137"/>
        <v>-299139.59950299142</v>
      </c>
    </row>
    <row r="2614" spans="7:18" x14ac:dyDescent="0.25">
      <c r="G2614" t="str">
        <f t="shared" si="138"/>
        <v>Insert into BlueCreditTypeRainbow Values (, , , , , )</v>
      </c>
      <c r="N2614" s="4">
        <v>2611</v>
      </c>
      <c r="O2614" s="8">
        <f>$B$7*COUNTIF(Sheet2!$B$1:$B$132,N2614)</f>
        <v>0</v>
      </c>
      <c r="P2614" s="8">
        <f t="shared" ca="1" si="136"/>
        <v>122.11</v>
      </c>
      <c r="Q2614" s="8">
        <f ca="1">CEILING(R2613*(IF(N2614&lt;=IF($B$2=0,0,OFFSET(Sheet2!$B$1,Sheet1!$B$2-1,0)),$B$1/(365*100),$B$3/(365*100)))*100,1)/100</f>
        <v>-122.11</v>
      </c>
      <c r="R2614" s="9">
        <f t="shared" ca="1" si="137"/>
        <v>-299261.70950299141</v>
      </c>
    </row>
    <row r="2615" spans="7:18" x14ac:dyDescent="0.25">
      <c r="G2615" t="str">
        <f t="shared" si="138"/>
        <v>Insert into BlueCreditTypeRainbow Values (, , , , , )</v>
      </c>
      <c r="N2615" s="4">
        <v>2612</v>
      </c>
      <c r="O2615" s="8">
        <f>$B$7*COUNTIF(Sheet2!$B$1:$B$132,N2615)</f>
        <v>0</v>
      </c>
      <c r="P2615" s="8">
        <f t="shared" ca="1" si="136"/>
        <v>122.16</v>
      </c>
      <c r="Q2615" s="8">
        <f ca="1">CEILING(R2614*(IF(N2615&lt;=IF($B$2=0,0,OFFSET(Sheet2!$B$1,Sheet1!$B$2-1,0)),$B$1/(365*100),$B$3/(365*100)))*100,1)/100</f>
        <v>-122.16</v>
      </c>
      <c r="R2615" s="9">
        <f t="shared" ca="1" si="137"/>
        <v>-299383.86950299138</v>
      </c>
    </row>
    <row r="2616" spans="7:18" x14ac:dyDescent="0.25">
      <c r="G2616" t="str">
        <f t="shared" si="138"/>
        <v>Insert into BlueCreditTypeRainbow Values (, , , , , )</v>
      </c>
      <c r="N2616" s="4">
        <v>2613</v>
      </c>
      <c r="O2616" s="8">
        <f>$B$7*COUNTIF(Sheet2!$B$1:$B$132,N2616)</f>
        <v>0</v>
      </c>
      <c r="P2616" s="8">
        <f t="shared" ca="1" si="136"/>
        <v>122.21</v>
      </c>
      <c r="Q2616" s="8">
        <f ca="1">CEILING(R2615*(IF(N2616&lt;=IF($B$2=0,0,OFFSET(Sheet2!$B$1,Sheet1!$B$2-1,0)),$B$1/(365*100),$B$3/(365*100)))*100,1)/100</f>
        <v>-122.21</v>
      </c>
      <c r="R2616" s="9">
        <f t="shared" ca="1" si="137"/>
        <v>-299506.0795029914</v>
      </c>
    </row>
    <row r="2617" spans="7:18" x14ac:dyDescent="0.25">
      <c r="G2617" t="str">
        <f t="shared" si="138"/>
        <v>Insert into BlueCreditTypeRainbow Values (, , , , , )</v>
      </c>
      <c r="N2617" s="4">
        <v>2614</v>
      </c>
      <c r="O2617" s="8">
        <f>$B$7*COUNTIF(Sheet2!$B$1:$B$132,N2617)</f>
        <v>0</v>
      </c>
      <c r="P2617" s="8">
        <f t="shared" ca="1" si="136"/>
        <v>122.26</v>
      </c>
      <c r="Q2617" s="8">
        <f ca="1">CEILING(R2616*(IF(N2617&lt;=IF($B$2=0,0,OFFSET(Sheet2!$B$1,Sheet1!$B$2-1,0)),$B$1/(365*100),$B$3/(365*100)))*100,1)/100</f>
        <v>-122.26</v>
      </c>
      <c r="R2617" s="9">
        <f t="shared" ca="1" si="137"/>
        <v>-299628.33950299141</v>
      </c>
    </row>
    <row r="2618" spans="7:18" x14ac:dyDescent="0.25">
      <c r="G2618" t="str">
        <f t="shared" si="138"/>
        <v>Insert into BlueCreditTypeRainbow Values (, , , , , )</v>
      </c>
      <c r="N2618" s="4">
        <v>2615</v>
      </c>
      <c r="O2618" s="8">
        <f>$B$7*COUNTIF(Sheet2!$B$1:$B$132,N2618)</f>
        <v>0</v>
      </c>
      <c r="P2618" s="8">
        <f t="shared" ca="1" si="136"/>
        <v>122.31</v>
      </c>
      <c r="Q2618" s="8">
        <f ca="1">CEILING(R2617*(IF(N2618&lt;=IF($B$2=0,0,OFFSET(Sheet2!$B$1,Sheet1!$B$2-1,0)),$B$1/(365*100),$B$3/(365*100)))*100,1)/100</f>
        <v>-122.31</v>
      </c>
      <c r="R2618" s="9">
        <f t="shared" ca="1" si="137"/>
        <v>-299750.64950299141</v>
      </c>
    </row>
    <row r="2619" spans="7:18" x14ac:dyDescent="0.25">
      <c r="G2619" t="str">
        <f t="shared" si="138"/>
        <v>Insert into BlueCreditTypeRainbow Values (, , , , , )</v>
      </c>
      <c r="N2619" s="4">
        <v>2616</v>
      </c>
      <c r="O2619" s="8">
        <f>$B$7*COUNTIF(Sheet2!$B$1:$B$132,N2619)</f>
        <v>0</v>
      </c>
      <c r="P2619" s="8">
        <f t="shared" ca="1" si="136"/>
        <v>122.36</v>
      </c>
      <c r="Q2619" s="8">
        <f ca="1">CEILING(R2618*(IF(N2619&lt;=IF($B$2=0,0,OFFSET(Sheet2!$B$1,Sheet1!$B$2-1,0)),$B$1/(365*100),$B$3/(365*100)))*100,1)/100</f>
        <v>-122.36</v>
      </c>
      <c r="R2619" s="9">
        <f t="shared" ca="1" si="137"/>
        <v>-299873.00950299139</v>
      </c>
    </row>
    <row r="2620" spans="7:18" x14ac:dyDescent="0.25">
      <c r="G2620" t="str">
        <f t="shared" si="138"/>
        <v>Insert into BlueCreditTypeRainbow Values (, , , , , )</v>
      </c>
      <c r="N2620" s="4">
        <v>2617</v>
      </c>
      <c r="O2620" s="8">
        <f>$B$7*COUNTIF(Sheet2!$B$1:$B$132,N2620)</f>
        <v>0</v>
      </c>
      <c r="P2620" s="8">
        <f t="shared" ca="1" si="136"/>
        <v>122.41</v>
      </c>
      <c r="Q2620" s="8">
        <f ca="1">CEILING(R2619*(IF(N2620&lt;=IF($B$2=0,0,OFFSET(Sheet2!$B$1,Sheet1!$B$2-1,0)),$B$1/(365*100),$B$3/(365*100)))*100,1)/100</f>
        <v>-122.41</v>
      </c>
      <c r="R2620" s="9">
        <f t="shared" ca="1" si="137"/>
        <v>-299995.41950299137</v>
      </c>
    </row>
    <row r="2621" spans="7:18" x14ac:dyDescent="0.25">
      <c r="G2621" t="str">
        <f t="shared" si="138"/>
        <v>Insert into BlueCreditTypeRainbow Values (, , , , , )</v>
      </c>
      <c r="N2621" s="4">
        <v>2618</v>
      </c>
      <c r="O2621" s="8">
        <f>$B$7*COUNTIF(Sheet2!$B$1:$B$132,N2621)</f>
        <v>0</v>
      </c>
      <c r="P2621" s="8">
        <f t="shared" ca="1" si="136"/>
        <v>122.46</v>
      </c>
      <c r="Q2621" s="8">
        <f ca="1">CEILING(R2620*(IF(N2621&lt;=IF($B$2=0,0,OFFSET(Sheet2!$B$1,Sheet1!$B$2-1,0)),$B$1/(365*100),$B$3/(365*100)))*100,1)/100</f>
        <v>-122.46</v>
      </c>
      <c r="R2621" s="9">
        <f t="shared" ca="1" si="137"/>
        <v>-300117.87950299139</v>
      </c>
    </row>
    <row r="2622" spans="7:18" x14ac:dyDescent="0.25">
      <c r="G2622" t="str">
        <f t="shared" si="138"/>
        <v>Insert into BlueCreditTypeRainbow Values (, , , , , )</v>
      </c>
      <c r="N2622" s="4">
        <v>2619</v>
      </c>
      <c r="O2622" s="8">
        <f>$B$7*COUNTIF(Sheet2!$B$1:$B$132,N2622)</f>
        <v>0</v>
      </c>
      <c r="P2622" s="8">
        <f t="shared" ca="1" si="136"/>
        <v>122.51</v>
      </c>
      <c r="Q2622" s="8">
        <f ca="1">CEILING(R2621*(IF(N2622&lt;=IF($B$2=0,0,OFFSET(Sheet2!$B$1,Sheet1!$B$2-1,0)),$B$1/(365*100),$B$3/(365*100)))*100,1)/100</f>
        <v>-122.51</v>
      </c>
      <c r="R2622" s="9">
        <f t="shared" ca="1" si="137"/>
        <v>-300240.3895029914</v>
      </c>
    </row>
    <row r="2623" spans="7:18" x14ac:dyDescent="0.25">
      <c r="G2623" t="str">
        <f t="shared" si="138"/>
        <v>Insert into BlueCreditTypeRainbow Values (, , , , , )</v>
      </c>
      <c r="N2623" s="4">
        <v>2620</v>
      </c>
      <c r="O2623" s="8">
        <f>$B$7*COUNTIF(Sheet2!$B$1:$B$132,N2623)</f>
        <v>21157.10552356458</v>
      </c>
      <c r="P2623" s="8">
        <f t="shared" ref="P2623:P2686" ca="1" si="139">IF(O2623-Q2623&gt; 0, O2623-Q2623, 0)</f>
        <v>21279.665523564581</v>
      </c>
      <c r="Q2623" s="8">
        <f ca="1">CEILING(R2622*(IF(N2623&lt;=IF($B$2=0,0,OFFSET(Sheet2!$B$1,Sheet1!$B$2-1,0)),$B$1/(365*100),$B$3/(365*100)))*100,1)/100</f>
        <v>-122.56</v>
      </c>
      <c r="R2623" s="9">
        <f t="shared" ref="R2623:R2686" ca="1" si="140">R2622+Q2623-O2623</f>
        <v>-321520.05502655596</v>
      </c>
    </row>
    <row r="2624" spans="7:18" x14ac:dyDescent="0.25">
      <c r="G2624" t="str">
        <f t="shared" si="138"/>
        <v>Insert into BlueCreditTypeRainbow Values (, , , , , )</v>
      </c>
      <c r="N2624" s="4">
        <v>2621</v>
      </c>
      <c r="O2624" s="8">
        <f>$B$7*COUNTIF(Sheet2!$B$1:$B$132,N2624)</f>
        <v>0</v>
      </c>
      <c r="P2624" s="8">
        <f t="shared" ca="1" si="139"/>
        <v>131.25</v>
      </c>
      <c r="Q2624" s="8">
        <f ca="1">CEILING(R2623*(IF(N2624&lt;=IF($B$2=0,0,OFFSET(Sheet2!$B$1,Sheet1!$B$2-1,0)),$B$1/(365*100),$B$3/(365*100)))*100,1)/100</f>
        <v>-131.25</v>
      </c>
      <c r="R2624" s="9">
        <f t="shared" ca="1" si="140"/>
        <v>-321651.30502655596</v>
      </c>
    </row>
    <row r="2625" spans="7:18" x14ac:dyDescent="0.25">
      <c r="G2625" t="str">
        <f t="shared" si="138"/>
        <v>Insert into BlueCreditTypeRainbow Values (, , , , , )</v>
      </c>
      <c r="N2625" s="4">
        <v>2622</v>
      </c>
      <c r="O2625" s="8">
        <f>$B$7*COUNTIF(Sheet2!$B$1:$B$132,N2625)</f>
        <v>0</v>
      </c>
      <c r="P2625" s="8">
        <f t="shared" ca="1" si="139"/>
        <v>131.30000000000001</v>
      </c>
      <c r="Q2625" s="8">
        <f ca="1">CEILING(R2624*(IF(N2625&lt;=IF($B$2=0,0,OFFSET(Sheet2!$B$1,Sheet1!$B$2-1,0)),$B$1/(365*100),$B$3/(365*100)))*100,1)/100</f>
        <v>-131.30000000000001</v>
      </c>
      <c r="R2625" s="9">
        <f t="shared" ca="1" si="140"/>
        <v>-321782.60502655595</v>
      </c>
    </row>
    <row r="2626" spans="7:18" x14ac:dyDescent="0.25">
      <c r="G2626" t="str">
        <f t="shared" si="138"/>
        <v>Insert into BlueCreditTypeRainbow Values (, , , , , )</v>
      </c>
      <c r="N2626" s="4">
        <v>2623</v>
      </c>
      <c r="O2626" s="8">
        <f>$B$7*COUNTIF(Sheet2!$B$1:$B$132,N2626)</f>
        <v>0</v>
      </c>
      <c r="P2626" s="8">
        <f t="shared" ca="1" si="139"/>
        <v>131.35</v>
      </c>
      <c r="Q2626" s="8">
        <f ca="1">CEILING(R2625*(IF(N2626&lt;=IF($B$2=0,0,OFFSET(Sheet2!$B$1,Sheet1!$B$2-1,0)),$B$1/(365*100),$B$3/(365*100)))*100,1)/100</f>
        <v>-131.35</v>
      </c>
      <c r="R2626" s="9">
        <f t="shared" ca="1" si="140"/>
        <v>-321913.95502655592</v>
      </c>
    </row>
    <row r="2627" spans="7:18" x14ac:dyDescent="0.25">
      <c r="G2627" t="str">
        <f t="shared" si="138"/>
        <v>Insert into BlueCreditTypeRainbow Values (, , , , , )</v>
      </c>
      <c r="N2627" s="4">
        <v>2624</v>
      </c>
      <c r="O2627" s="8">
        <f>$B$7*COUNTIF(Sheet2!$B$1:$B$132,N2627)</f>
        <v>0</v>
      </c>
      <c r="P2627" s="8">
        <f t="shared" ca="1" si="139"/>
        <v>131.41</v>
      </c>
      <c r="Q2627" s="8">
        <f ca="1">CEILING(R2626*(IF(N2627&lt;=IF($B$2=0,0,OFFSET(Sheet2!$B$1,Sheet1!$B$2-1,0)),$B$1/(365*100),$B$3/(365*100)))*100,1)/100</f>
        <v>-131.41</v>
      </c>
      <c r="R2627" s="9">
        <f t="shared" ca="1" si="140"/>
        <v>-322045.3650265559</v>
      </c>
    </row>
    <row r="2628" spans="7:18" x14ac:dyDescent="0.25">
      <c r="G2628" t="str">
        <f t="shared" si="138"/>
        <v>Insert into BlueCreditTypeRainbow Values (, , , , , )</v>
      </c>
      <c r="N2628" s="4">
        <v>2625</v>
      </c>
      <c r="O2628" s="8">
        <f>$B$7*COUNTIF(Sheet2!$B$1:$B$132,N2628)</f>
        <v>0</v>
      </c>
      <c r="P2628" s="8">
        <f t="shared" ca="1" si="139"/>
        <v>131.46</v>
      </c>
      <c r="Q2628" s="8">
        <f ca="1">CEILING(R2627*(IF(N2628&lt;=IF($B$2=0,0,OFFSET(Sheet2!$B$1,Sheet1!$B$2-1,0)),$B$1/(365*100),$B$3/(365*100)))*100,1)/100</f>
        <v>-131.46</v>
      </c>
      <c r="R2628" s="9">
        <f t="shared" ca="1" si="140"/>
        <v>-322176.82502655592</v>
      </c>
    </row>
    <row r="2629" spans="7:18" x14ac:dyDescent="0.25">
      <c r="G2629" t="str">
        <f t="shared" si="138"/>
        <v>Insert into BlueCreditTypeRainbow Values (, , , , , )</v>
      </c>
      <c r="N2629" s="4">
        <v>2626</v>
      </c>
      <c r="O2629" s="8">
        <f>$B$7*COUNTIF(Sheet2!$B$1:$B$132,N2629)</f>
        <v>0</v>
      </c>
      <c r="P2629" s="8">
        <f t="shared" ca="1" si="139"/>
        <v>131.51</v>
      </c>
      <c r="Q2629" s="8">
        <f ca="1">CEILING(R2628*(IF(N2629&lt;=IF($B$2=0,0,OFFSET(Sheet2!$B$1,Sheet1!$B$2-1,0)),$B$1/(365*100),$B$3/(365*100)))*100,1)/100</f>
        <v>-131.51</v>
      </c>
      <c r="R2629" s="9">
        <f t="shared" ca="1" si="140"/>
        <v>-322308.33502655593</v>
      </c>
    </row>
    <row r="2630" spans="7:18" x14ac:dyDescent="0.25">
      <c r="G2630" t="str">
        <f t="shared" si="138"/>
        <v>Insert into BlueCreditTypeRainbow Values (, , , , , )</v>
      </c>
      <c r="N2630" s="4">
        <v>2627</v>
      </c>
      <c r="O2630" s="8">
        <f>$B$7*COUNTIF(Sheet2!$B$1:$B$132,N2630)</f>
        <v>0</v>
      </c>
      <c r="P2630" s="8">
        <f t="shared" ca="1" si="139"/>
        <v>131.57</v>
      </c>
      <c r="Q2630" s="8">
        <f ca="1">CEILING(R2629*(IF(N2630&lt;=IF($B$2=0,0,OFFSET(Sheet2!$B$1,Sheet1!$B$2-1,0)),$B$1/(365*100),$B$3/(365*100)))*100,1)/100</f>
        <v>-131.57</v>
      </c>
      <c r="R2630" s="9">
        <f t="shared" ca="1" si="140"/>
        <v>-322439.90502655593</v>
      </c>
    </row>
    <row r="2631" spans="7:18" x14ac:dyDescent="0.25">
      <c r="G2631" t="str">
        <f t="shared" si="138"/>
        <v>Insert into BlueCreditTypeRainbow Values (, , , , , )</v>
      </c>
      <c r="N2631" s="4">
        <v>2628</v>
      </c>
      <c r="O2631" s="8">
        <f>$B$7*COUNTIF(Sheet2!$B$1:$B$132,N2631)</f>
        <v>0</v>
      </c>
      <c r="P2631" s="8">
        <f t="shared" ca="1" si="139"/>
        <v>131.62</v>
      </c>
      <c r="Q2631" s="8">
        <f ca="1">CEILING(R2630*(IF(N2631&lt;=IF($B$2=0,0,OFFSET(Sheet2!$B$1,Sheet1!$B$2-1,0)),$B$1/(365*100),$B$3/(365*100)))*100,1)/100</f>
        <v>-131.62</v>
      </c>
      <c r="R2631" s="9">
        <f t="shared" ca="1" si="140"/>
        <v>-322571.52502655593</v>
      </c>
    </row>
    <row r="2632" spans="7:18" x14ac:dyDescent="0.25">
      <c r="G2632" t="str">
        <f t="shared" si="138"/>
        <v>Insert into BlueCreditTypeRainbow Values (, , , , , )</v>
      </c>
      <c r="N2632" s="4">
        <v>2629</v>
      </c>
      <c r="O2632" s="8">
        <f>$B$7*COUNTIF(Sheet2!$B$1:$B$132,N2632)</f>
        <v>0</v>
      </c>
      <c r="P2632" s="8">
        <f t="shared" ca="1" si="139"/>
        <v>131.66999999999999</v>
      </c>
      <c r="Q2632" s="8">
        <f ca="1">CEILING(R2631*(IF(N2632&lt;=IF($B$2=0,0,OFFSET(Sheet2!$B$1,Sheet1!$B$2-1,0)),$B$1/(365*100),$B$3/(365*100)))*100,1)/100</f>
        <v>-131.66999999999999</v>
      </c>
      <c r="R2632" s="9">
        <f t="shared" ca="1" si="140"/>
        <v>-322703.19502655591</v>
      </c>
    </row>
    <row r="2633" spans="7:18" x14ac:dyDescent="0.25">
      <c r="G2633" t="str">
        <f t="shared" si="138"/>
        <v>Insert into BlueCreditTypeRainbow Values (, , , , , )</v>
      </c>
      <c r="N2633" s="4">
        <v>2630</v>
      </c>
      <c r="O2633" s="8">
        <f>$B$7*COUNTIF(Sheet2!$B$1:$B$132,N2633)</f>
        <v>0</v>
      </c>
      <c r="P2633" s="8">
        <f t="shared" ca="1" si="139"/>
        <v>131.72999999999999</v>
      </c>
      <c r="Q2633" s="8">
        <f ca="1">CEILING(R2632*(IF(N2633&lt;=IF($B$2=0,0,OFFSET(Sheet2!$B$1,Sheet1!$B$2-1,0)),$B$1/(365*100),$B$3/(365*100)))*100,1)/100</f>
        <v>-131.72999999999999</v>
      </c>
      <c r="R2633" s="9">
        <f t="shared" ca="1" si="140"/>
        <v>-322834.92502655589</v>
      </c>
    </row>
    <row r="2634" spans="7:18" x14ac:dyDescent="0.25">
      <c r="G2634" t="str">
        <f t="shared" si="138"/>
        <v>Insert into BlueCreditTypeRainbow Values (, , , , , )</v>
      </c>
      <c r="N2634" s="4">
        <v>2631</v>
      </c>
      <c r="O2634" s="8">
        <f>$B$7*COUNTIF(Sheet2!$B$1:$B$132,N2634)</f>
        <v>0</v>
      </c>
      <c r="P2634" s="8">
        <f t="shared" ca="1" si="139"/>
        <v>131.78</v>
      </c>
      <c r="Q2634" s="8">
        <f ca="1">CEILING(R2633*(IF(N2634&lt;=IF($B$2=0,0,OFFSET(Sheet2!$B$1,Sheet1!$B$2-1,0)),$B$1/(365*100),$B$3/(365*100)))*100,1)/100</f>
        <v>-131.78</v>
      </c>
      <c r="R2634" s="9">
        <f t="shared" ca="1" si="140"/>
        <v>-322966.70502655592</v>
      </c>
    </row>
    <row r="2635" spans="7:18" x14ac:dyDescent="0.25">
      <c r="G2635" t="str">
        <f t="shared" si="138"/>
        <v>Insert into BlueCreditTypeRainbow Values (, , , , , )</v>
      </c>
      <c r="N2635" s="4">
        <v>2632</v>
      </c>
      <c r="O2635" s="8">
        <f>$B$7*COUNTIF(Sheet2!$B$1:$B$132,N2635)</f>
        <v>0</v>
      </c>
      <c r="P2635" s="8">
        <f t="shared" ca="1" si="139"/>
        <v>131.84</v>
      </c>
      <c r="Q2635" s="8">
        <f ca="1">CEILING(R2634*(IF(N2635&lt;=IF($B$2=0,0,OFFSET(Sheet2!$B$1,Sheet1!$B$2-1,0)),$B$1/(365*100),$B$3/(365*100)))*100,1)/100</f>
        <v>-131.84</v>
      </c>
      <c r="R2635" s="9">
        <f t="shared" ca="1" si="140"/>
        <v>-323098.54502655595</v>
      </c>
    </row>
    <row r="2636" spans="7:18" x14ac:dyDescent="0.25">
      <c r="G2636" t="str">
        <f t="shared" si="138"/>
        <v>Insert into BlueCreditTypeRainbow Values (, , , , , )</v>
      </c>
      <c r="N2636" s="4">
        <v>2633</v>
      </c>
      <c r="O2636" s="8">
        <f>$B$7*COUNTIF(Sheet2!$B$1:$B$132,N2636)</f>
        <v>0</v>
      </c>
      <c r="P2636" s="8">
        <f t="shared" ca="1" si="139"/>
        <v>131.88999999999999</v>
      </c>
      <c r="Q2636" s="8">
        <f ca="1">CEILING(R2635*(IF(N2636&lt;=IF($B$2=0,0,OFFSET(Sheet2!$B$1,Sheet1!$B$2-1,0)),$B$1/(365*100),$B$3/(365*100)))*100,1)/100</f>
        <v>-131.88999999999999</v>
      </c>
      <c r="R2636" s="9">
        <f t="shared" ca="1" si="140"/>
        <v>-323230.43502655596</v>
      </c>
    </row>
    <row r="2637" spans="7:18" x14ac:dyDescent="0.25">
      <c r="G2637" t="str">
        <f t="shared" si="138"/>
        <v>Insert into BlueCreditTypeRainbow Values (, , , , , )</v>
      </c>
      <c r="N2637" s="4">
        <v>2634</v>
      </c>
      <c r="O2637" s="8">
        <f>$B$7*COUNTIF(Sheet2!$B$1:$B$132,N2637)</f>
        <v>0</v>
      </c>
      <c r="P2637" s="8">
        <f t="shared" ca="1" si="139"/>
        <v>131.94</v>
      </c>
      <c r="Q2637" s="8">
        <f ca="1">CEILING(R2636*(IF(N2637&lt;=IF($B$2=0,0,OFFSET(Sheet2!$B$1,Sheet1!$B$2-1,0)),$B$1/(365*100),$B$3/(365*100)))*100,1)/100</f>
        <v>-131.94</v>
      </c>
      <c r="R2637" s="9">
        <f t="shared" ca="1" si="140"/>
        <v>-323362.37502655596</v>
      </c>
    </row>
    <row r="2638" spans="7:18" x14ac:dyDescent="0.25">
      <c r="G2638" t="str">
        <f t="shared" si="138"/>
        <v>Insert into BlueCreditTypeRainbow Values (, , , , , )</v>
      </c>
      <c r="N2638" s="4">
        <v>2635</v>
      </c>
      <c r="O2638" s="8">
        <f>$B$7*COUNTIF(Sheet2!$B$1:$B$132,N2638)</f>
        <v>0</v>
      </c>
      <c r="P2638" s="8">
        <f t="shared" ca="1" si="139"/>
        <v>132</v>
      </c>
      <c r="Q2638" s="8">
        <f ca="1">CEILING(R2637*(IF(N2638&lt;=IF($B$2=0,0,OFFSET(Sheet2!$B$1,Sheet1!$B$2-1,0)),$B$1/(365*100),$B$3/(365*100)))*100,1)/100</f>
        <v>-132</v>
      </c>
      <c r="R2638" s="9">
        <f t="shared" ca="1" si="140"/>
        <v>-323494.37502655596</v>
      </c>
    </row>
    <row r="2639" spans="7:18" x14ac:dyDescent="0.25">
      <c r="G2639" t="str">
        <f t="shared" ref="G2639:G2702" si="141">CONCATENATE("Insert into BlueCreditTypeRainbow Values (",A2639,", ",B2639,", ",C2639,", ",D2639,", ",E2639,", ",F2639,")")</f>
        <v>Insert into BlueCreditTypeRainbow Values (, , , , , )</v>
      </c>
      <c r="N2639" s="4">
        <v>2636</v>
      </c>
      <c r="O2639" s="8">
        <f>$B$7*COUNTIF(Sheet2!$B$1:$B$132,N2639)</f>
        <v>0</v>
      </c>
      <c r="P2639" s="8">
        <f t="shared" ca="1" si="139"/>
        <v>132.05000000000001</v>
      </c>
      <c r="Q2639" s="8">
        <f ca="1">CEILING(R2638*(IF(N2639&lt;=IF($B$2=0,0,OFFSET(Sheet2!$B$1,Sheet1!$B$2-1,0)),$B$1/(365*100),$B$3/(365*100)))*100,1)/100</f>
        <v>-132.05000000000001</v>
      </c>
      <c r="R2639" s="9">
        <f t="shared" ca="1" si="140"/>
        <v>-323626.42502655595</v>
      </c>
    </row>
    <row r="2640" spans="7:18" x14ac:dyDescent="0.25">
      <c r="G2640" t="str">
        <f t="shared" si="141"/>
        <v>Insert into BlueCreditTypeRainbow Values (, , , , , )</v>
      </c>
      <c r="N2640" s="4">
        <v>2637</v>
      </c>
      <c r="O2640" s="8">
        <f>$B$7*COUNTIF(Sheet2!$B$1:$B$132,N2640)</f>
        <v>0</v>
      </c>
      <c r="P2640" s="8">
        <f t="shared" ca="1" si="139"/>
        <v>132.11000000000001</v>
      </c>
      <c r="Q2640" s="8">
        <f ca="1">CEILING(R2639*(IF(N2640&lt;=IF($B$2=0,0,OFFSET(Sheet2!$B$1,Sheet1!$B$2-1,0)),$B$1/(365*100),$B$3/(365*100)))*100,1)/100</f>
        <v>-132.11000000000001</v>
      </c>
      <c r="R2640" s="9">
        <f t="shared" ca="1" si="140"/>
        <v>-323758.53502655594</v>
      </c>
    </row>
    <row r="2641" spans="7:18" x14ac:dyDescent="0.25">
      <c r="G2641" t="str">
        <f t="shared" si="141"/>
        <v>Insert into BlueCreditTypeRainbow Values (, , , , , )</v>
      </c>
      <c r="N2641" s="4">
        <v>2638</v>
      </c>
      <c r="O2641" s="8">
        <f>$B$7*COUNTIF(Sheet2!$B$1:$B$132,N2641)</f>
        <v>0</v>
      </c>
      <c r="P2641" s="8">
        <f t="shared" ca="1" si="139"/>
        <v>132.16</v>
      </c>
      <c r="Q2641" s="8">
        <f ca="1">CEILING(R2640*(IF(N2641&lt;=IF($B$2=0,0,OFFSET(Sheet2!$B$1,Sheet1!$B$2-1,0)),$B$1/(365*100),$B$3/(365*100)))*100,1)/100</f>
        <v>-132.16</v>
      </c>
      <c r="R2641" s="9">
        <f t="shared" ca="1" si="140"/>
        <v>-323890.69502655591</v>
      </c>
    </row>
    <row r="2642" spans="7:18" x14ac:dyDescent="0.25">
      <c r="G2642" t="str">
        <f t="shared" si="141"/>
        <v>Insert into BlueCreditTypeRainbow Values (, , , , , )</v>
      </c>
      <c r="N2642" s="4">
        <v>2639</v>
      </c>
      <c r="O2642" s="8">
        <f>$B$7*COUNTIF(Sheet2!$B$1:$B$132,N2642)</f>
        <v>0</v>
      </c>
      <c r="P2642" s="8">
        <f t="shared" ca="1" si="139"/>
        <v>132.21</v>
      </c>
      <c r="Q2642" s="8">
        <f ca="1">CEILING(R2641*(IF(N2642&lt;=IF($B$2=0,0,OFFSET(Sheet2!$B$1,Sheet1!$B$2-1,0)),$B$1/(365*100),$B$3/(365*100)))*100,1)/100</f>
        <v>-132.21</v>
      </c>
      <c r="R2642" s="9">
        <f t="shared" ca="1" si="140"/>
        <v>-324022.90502655593</v>
      </c>
    </row>
    <row r="2643" spans="7:18" x14ac:dyDescent="0.25">
      <c r="G2643" t="str">
        <f t="shared" si="141"/>
        <v>Insert into BlueCreditTypeRainbow Values (, , , , , )</v>
      </c>
      <c r="N2643" s="4">
        <v>2640</v>
      </c>
      <c r="O2643" s="8">
        <f>$B$7*COUNTIF(Sheet2!$B$1:$B$132,N2643)</f>
        <v>0</v>
      </c>
      <c r="P2643" s="8">
        <f t="shared" ca="1" si="139"/>
        <v>132.27000000000001</v>
      </c>
      <c r="Q2643" s="8">
        <f ca="1">CEILING(R2642*(IF(N2643&lt;=IF($B$2=0,0,OFFSET(Sheet2!$B$1,Sheet1!$B$2-1,0)),$B$1/(365*100),$B$3/(365*100)))*100,1)/100</f>
        <v>-132.27000000000001</v>
      </c>
      <c r="R2643" s="9">
        <f t="shared" ca="1" si="140"/>
        <v>-324155.17502655595</v>
      </c>
    </row>
    <row r="2644" spans="7:18" x14ac:dyDescent="0.25">
      <c r="G2644" t="str">
        <f t="shared" si="141"/>
        <v>Insert into BlueCreditTypeRainbow Values (, , , , , )</v>
      </c>
      <c r="N2644" s="4">
        <v>2641</v>
      </c>
      <c r="O2644" s="8">
        <f>$B$7*COUNTIF(Sheet2!$B$1:$B$132,N2644)</f>
        <v>0</v>
      </c>
      <c r="P2644" s="8">
        <f t="shared" ca="1" si="139"/>
        <v>132.32</v>
      </c>
      <c r="Q2644" s="8">
        <f ca="1">CEILING(R2643*(IF(N2644&lt;=IF($B$2=0,0,OFFSET(Sheet2!$B$1,Sheet1!$B$2-1,0)),$B$1/(365*100),$B$3/(365*100)))*100,1)/100</f>
        <v>-132.32</v>
      </c>
      <c r="R2644" s="9">
        <f t="shared" ca="1" si="140"/>
        <v>-324287.49502655596</v>
      </c>
    </row>
    <row r="2645" spans="7:18" x14ac:dyDescent="0.25">
      <c r="G2645" t="str">
        <f t="shared" si="141"/>
        <v>Insert into BlueCreditTypeRainbow Values (, , , , , )</v>
      </c>
      <c r="N2645" s="4">
        <v>2642</v>
      </c>
      <c r="O2645" s="8">
        <f>$B$7*COUNTIF(Sheet2!$B$1:$B$132,N2645)</f>
        <v>0</v>
      </c>
      <c r="P2645" s="8">
        <f t="shared" ca="1" si="139"/>
        <v>132.38</v>
      </c>
      <c r="Q2645" s="8">
        <f ca="1">CEILING(R2644*(IF(N2645&lt;=IF($B$2=0,0,OFFSET(Sheet2!$B$1,Sheet1!$B$2-1,0)),$B$1/(365*100),$B$3/(365*100)))*100,1)/100</f>
        <v>-132.38</v>
      </c>
      <c r="R2645" s="9">
        <f t="shared" ca="1" si="140"/>
        <v>-324419.87502655596</v>
      </c>
    </row>
    <row r="2646" spans="7:18" x14ac:dyDescent="0.25">
      <c r="G2646" t="str">
        <f t="shared" si="141"/>
        <v>Insert into BlueCreditTypeRainbow Values (, , , , , )</v>
      </c>
      <c r="N2646" s="4">
        <v>2643</v>
      </c>
      <c r="O2646" s="8">
        <f>$B$7*COUNTIF(Sheet2!$B$1:$B$132,N2646)</f>
        <v>0</v>
      </c>
      <c r="P2646" s="8">
        <f t="shared" ca="1" si="139"/>
        <v>132.43</v>
      </c>
      <c r="Q2646" s="8">
        <f ca="1">CEILING(R2645*(IF(N2646&lt;=IF($B$2=0,0,OFFSET(Sheet2!$B$1,Sheet1!$B$2-1,0)),$B$1/(365*100),$B$3/(365*100)))*100,1)/100</f>
        <v>-132.43</v>
      </c>
      <c r="R2646" s="9">
        <f t="shared" ca="1" si="140"/>
        <v>-324552.30502655596</v>
      </c>
    </row>
    <row r="2647" spans="7:18" x14ac:dyDescent="0.25">
      <c r="G2647" t="str">
        <f t="shared" si="141"/>
        <v>Insert into BlueCreditTypeRainbow Values (, , , , , )</v>
      </c>
      <c r="N2647" s="4">
        <v>2644</v>
      </c>
      <c r="O2647" s="8">
        <f>$B$7*COUNTIF(Sheet2!$B$1:$B$132,N2647)</f>
        <v>0</v>
      </c>
      <c r="P2647" s="8">
        <f t="shared" ca="1" si="139"/>
        <v>132.47999999999999</v>
      </c>
      <c r="Q2647" s="8">
        <f ca="1">CEILING(R2646*(IF(N2647&lt;=IF($B$2=0,0,OFFSET(Sheet2!$B$1,Sheet1!$B$2-1,0)),$B$1/(365*100),$B$3/(365*100)))*100,1)/100</f>
        <v>-132.47999999999999</v>
      </c>
      <c r="R2647" s="9">
        <f t="shared" ca="1" si="140"/>
        <v>-324684.78502655594</v>
      </c>
    </row>
    <row r="2648" spans="7:18" x14ac:dyDescent="0.25">
      <c r="G2648" t="str">
        <f t="shared" si="141"/>
        <v>Insert into BlueCreditTypeRainbow Values (, , , , , )</v>
      </c>
      <c r="N2648" s="4">
        <v>2645</v>
      </c>
      <c r="O2648" s="8">
        <f>$B$7*COUNTIF(Sheet2!$B$1:$B$132,N2648)</f>
        <v>0</v>
      </c>
      <c r="P2648" s="8">
        <f t="shared" ca="1" si="139"/>
        <v>132.54</v>
      </c>
      <c r="Q2648" s="8">
        <f ca="1">CEILING(R2647*(IF(N2648&lt;=IF($B$2=0,0,OFFSET(Sheet2!$B$1,Sheet1!$B$2-1,0)),$B$1/(365*100),$B$3/(365*100)))*100,1)/100</f>
        <v>-132.54</v>
      </c>
      <c r="R2648" s="9">
        <f t="shared" ca="1" si="140"/>
        <v>-324817.32502655592</v>
      </c>
    </row>
    <row r="2649" spans="7:18" x14ac:dyDescent="0.25">
      <c r="G2649" t="str">
        <f t="shared" si="141"/>
        <v>Insert into BlueCreditTypeRainbow Values (, , , , , )</v>
      </c>
      <c r="N2649" s="4">
        <v>2646</v>
      </c>
      <c r="O2649" s="8">
        <f>$B$7*COUNTIF(Sheet2!$B$1:$B$132,N2649)</f>
        <v>0</v>
      </c>
      <c r="P2649" s="8">
        <f t="shared" ca="1" si="139"/>
        <v>132.59</v>
      </c>
      <c r="Q2649" s="8">
        <f ca="1">CEILING(R2648*(IF(N2649&lt;=IF($B$2=0,0,OFFSET(Sheet2!$B$1,Sheet1!$B$2-1,0)),$B$1/(365*100),$B$3/(365*100)))*100,1)/100</f>
        <v>-132.59</v>
      </c>
      <c r="R2649" s="9">
        <f t="shared" ca="1" si="140"/>
        <v>-324949.91502655594</v>
      </c>
    </row>
    <row r="2650" spans="7:18" x14ac:dyDescent="0.25">
      <c r="G2650" t="str">
        <f t="shared" si="141"/>
        <v>Insert into BlueCreditTypeRainbow Values (, , , , , )</v>
      </c>
      <c r="N2650" s="4">
        <v>2647</v>
      </c>
      <c r="O2650" s="8">
        <f>$B$7*COUNTIF(Sheet2!$B$1:$B$132,N2650)</f>
        <v>0</v>
      </c>
      <c r="P2650" s="8">
        <f t="shared" ca="1" si="139"/>
        <v>132.65</v>
      </c>
      <c r="Q2650" s="8">
        <f ca="1">CEILING(R2649*(IF(N2650&lt;=IF($B$2=0,0,OFFSET(Sheet2!$B$1,Sheet1!$B$2-1,0)),$B$1/(365*100),$B$3/(365*100)))*100,1)/100</f>
        <v>-132.65</v>
      </c>
      <c r="R2650" s="9">
        <f t="shared" ca="1" si="140"/>
        <v>-325082.56502655597</v>
      </c>
    </row>
    <row r="2651" spans="7:18" x14ac:dyDescent="0.25">
      <c r="G2651" t="str">
        <f t="shared" si="141"/>
        <v>Insert into BlueCreditTypeRainbow Values (, , , , , )</v>
      </c>
      <c r="N2651" s="4">
        <v>2648</v>
      </c>
      <c r="O2651" s="8">
        <f>$B$7*COUNTIF(Sheet2!$B$1:$B$132,N2651)</f>
        <v>0</v>
      </c>
      <c r="P2651" s="8">
        <f t="shared" ca="1" si="139"/>
        <v>132.69999999999999</v>
      </c>
      <c r="Q2651" s="8">
        <f ca="1">CEILING(R2650*(IF(N2651&lt;=IF($B$2=0,0,OFFSET(Sheet2!$B$1,Sheet1!$B$2-1,0)),$B$1/(365*100),$B$3/(365*100)))*100,1)/100</f>
        <v>-132.69999999999999</v>
      </c>
      <c r="R2651" s="9">
        <f t="shared" ca="1" si="140"/>
        <v>-325215.26502655598</v>
      </c>
    </row>
    <row r="2652" spans="7:18" x14ac:dyDescent="0.25">
      <c r="G2652" t="str">
        <f t="shared" si="141"/>
        <v>Insert into BlueCreditTypeRainbow Values (, , , , , )</v>
      </c>
      <c r="N2652" s="4">
        <v>2649</v>
      </c>
      <c r="O2652" s="8">
        <f>$B$7*COUNTIF(Sheet2!$B$1:$B$132,N2652)</f>
        <v>0</v>
      </c>
      <c r="P2652" s="8">
        <f t="shared" ca="1" si="139"/>
        <v>132.75</v>
      </c>
      <c r="Q2652" s="8">
        <f ca="1">CEILING(R2651*(IF(N2652&lt;=IF($B$2=0,0,OFFSET(Sheet2!$B$1,Sheet1!$B$2-1,0)),$B$1/(365*100),$B$3/(365*100)))*100,1)/100</f>
        <v>-132.75</v>
      </c>
      <c r="R2652" s="9">
        <f t="shared" ca="1" si="140"/>
        <v>-325348.01502655598</v>
      </c>
    </row>
    <row r="2653" spans="7:18" x14ac:dyDescent="0.25">
      <c r="G2653" t="str">
        <f t="shared" si="141"/>
        <v>Insert into BlueCreditTypeRainbow Values (, , , , , )</v>
      </c>
      <c r="N2653" s="4">
        <v>2650</v>
      </c>
      <c r="O2653" s="8">
        <f>$B$7*COUNTIF(Sheet2!$B$1:$B$132,N2653)</f>
        <v>21157.10552356458</v>
      </c>
      <c r="P2653" s="8">
        <f t="shared" ca="1" si="139"/>
        <v>21289.915523564581</v>
      </c>
      <c r="Q2653" s="8">
        <f ca="1">CEILING(R2652*(IF(N2653&lt;=IF($B$2=0,0,OFFSET(Sheet2!$B$1,Sheet1!$B$2-1,0)),$B$1/(365*100),$B$3/(365*100)))*100,1)/100</f>
        <v>-132.81</v>
      </c>
      <c r="R2653" s="9">
        <f t="shared" ca="1" si="140"/>
        <v>-346637.93055012054</v>
      </c>
    </row>
    <row r="2654" spans="7:18" x14ac:dyDescent="0.25">
      <c r="G2654" t="str">
        <f t="shared" si="141"/>
        <v>Insert into BlueCreditTypeRainbow Values (, , , , , )</v>
      </c>
      <c r="N2654" s="4">
        <v>2651</v>
      </c>
      <c r="O2654" s="8">
        <f>$B$7*COUNTIF(Sheet2!$B$1:$B$132,N2654)</f>
        <v>0</v>
      </c>
      <c r="P2654" s="8">
        <f t="shared" ca="1" si="139"/>
        <v>141.5</v>
      </c>
      <c r="Q2654" s="8">
        <f ca="1">CEILING(R2653*(IF(N2654&lt;=IF($B$2=0,0,OFFSET(Sheet2!$B$1,Sheet1!$B$2-1,0)),$B$1/(365*100),$B$3/(365*100)))*100,1)/100</f>
        <v>-141.5</v>
      </c>
      <c r="R2654" s="9">
        <f t="shared" ca="1" si="140"/>
        <v>-346779.43055012054</v>
      </c>
    </row>
    <row r="2655" spans="7:18" x14ac:dyDescent="0.25">
      <c r="G2655" t="str">
        <f t="shared" si="141"/>
        <v>Insert into BlueCreditTypeRainbow Values (, , , , , )</v>
      </c>
      <c r="N2655" s="4">
        <v>2652</v>
      </c>
      <c r="O2655" s="8">
        <f>$B$7*COUNTIF(Sheet2!$B$1:$B$132,N2655)</f>
        <v>0</v>
      </c>
      <c r="P2655" s="8">
        <f t="shared" ca="1" si="139"/>
        <v>141.56</v>
      </c>
      <c r="Q2655" s="8">
        <f ca="1">CEILING(R2654*(IF(N2655&lt;=IF($B$2=0,0,OFFSET(Sheet2!$B$1,Sheet1!$B$2-1,0)),$B$1/(365*100),$B$3/(365*100)))*100,1)/100</f>
        <v>-141.56</v>
      </c>
      <c r="R2655" s="9">
        <f t="shared" ca="1" si="140"/>
        <v>-346920.99055012054</v>
      </c>
    </row>
    <row r="2656" spans="7:18" x14ac:dyDescent="0.25">
      <c r="G2656" t="str">
        <f t="shared" si="141"/>
        <v>Insert into BlueCreditTypeRainbow Values (, , , , , )</v>
      </c>
      <c r="N2656" s="4">
        <v>2653</v>
      </c>
      <c r="O2656" s="8">
        <f>$B$7*COUNTIF(Sheet2!$B$1:$B$132,N2656)</f>
        <v>0</v>
      </c>
      <c r="P2656" s="8">
        <f t="shared" ca="1" si="139"/>
        <v>141.61000000000001</v>
      </c>
      <c r="Q2656" s="8">
        <f ca="1">CEILING(R2655*(IF(N2656&lt;=IF($B$2=0,0,OFFSET(Sheet2!$B$1,Sheet1!$B$2-1,0)),$B$1/(365*100),$B$3/(365*100)))*100,1)/100</f>
        <v>-141.61000000000001</v>
      </c>
      <c r="R2656" s="9">
        <f t="shared" ca="1" si="140"/>
        <v>-347062.60055012052</v>
      </c>
    </row>
    <row r="2657" spans="7:18" x14ac:dyDescent="0.25">
      <c r="G2657" t="str">
        <f t="shared" si="141"/>
        <v>Insert into BlueCreditTypeRainbow Values (, , , , , )</v>
      </c>
      <c r="N2657" s="4">
        <v>2654</v>
      </c>
      <c r="O2657" s="8">
        <f>$B$7*COUNTIF(Sheet2!$B$1:$B$132,N2657)</f>
        <v>0</v>
      </c>
      <c r="P2657" s="8">
        <f t="shared" ca="1" si="139"/>
        <v>141.66999999999999</v>
      </c>
      <c r="Q2657" s="8">
        <f ca="1">CEILING(R2656*(IF(N2657&lt;=IF($B$2=0,0,OFFSET(Sheet2!$B$1,Sheet1!$B$2-1,0)),$B$1/(365*100),$B$3/(365*100)))*100,1)/100</f>
        <v>-141.66999999999999</v>
      </c>
      <c r="R2657" s="9">
        <f t="shared" ca="1" si="140"/>
        <v>-347204.27055012051</v>
      </c>
    </row>
    <row r="2658" spans="7:18" x14ac:dyDescent="0.25">
      <c r="G2658" t="str">
        <f t="shared" si="141"/>
        <v>Insert into BlueCreditTypeRainbow Values (, , , , , )</v>
      </c>
      <c r="N2658" s="4">
        <v>2655</v>
      </c>
      <c r="O2658" s="8">
        <f>$B$7*COUNTIF(Sheet2!$B$1:$B$132,N2658)</f>
        <v>0</v>
      </c>
      <c r="P2658" s="8">
        <f t="shared" ca="1" si="139"/>
        <v>141.72999999999999</v>
      </c>
      <c r="Q2658" s="8">
        <f ca="1">CEILING(R2657*(IF(N2658&lt;=IF($B$2=0,0,OFFSET(Sheet2!$B$1,Sheet1!$B$2-1,0)),$B$1/(365*100),$B$3/(365*100)))*100,1)/100</f>
        <v>-141.72999999999999</v>
      </c>
      <c r="R2658" s="9">
        <f t="shared" ca="1" si="140"/>
        <v>-347346.00055012049</v>
      </c>
    </row>
    <row r="2659" spans="7:18" x14ac:dyDescent="0.25">
      <c r="G2659" t="str">
        <f t="shared" si="141"/>
        <v>Insert into BlueCreditTypeRainbow Values (, , , , , )</v>
      </c>
      <c r="N2659" s="4">
        <v>2656</v>
      </c>
      <c r="O2659" s="8">
        <f>$B$7*COUNTIF(Sheet2!$B$1:$B$132,N2659)</f>
        <v>0</v>
      </c>
      <c r="P2659" s="8">
        <f t="shared" ca="1" si="139"/>
        <v>141.79</v>
      </c>
      <c r="Q2659" s="8">
        <f ca="1">CEILING(R2658*(IF(N2659&lt;=IF($B$2=0,0,OFFSET(Sheet2!$B$1,Sheet1!$B$2-1,0)),$B$1/(365*100),$B$3/(365*100)))*100,1)/100</f>
        <v>-141.79</v>
      </c>
      <c r="R2659" s="9">
        <f t="shared" ca="1" si="140"/>
        <v>-347487.79055012047</v>
      </c>
    </row>
    <row r="2660" spans="7:18" x14ac:dyDescent="0.25">
      <c r="G2660" t="str">
        <f t="shared" si="141"/>
        <v>Insert into BlueCreditTypeRainbow Values (, , , , , )</v>
      </c>
      <c r="N2660" s="4">
        <v>2657</v>
      </c>
      <c r="O2660" s="8">
        <f>$B$7*COUNTIF(Sheet2!$B$1:$B$132,N2660)</f>
        <v>0</v>
      </c>
      <c r="P2660" s="8">
        <f t="shared" ca="1" si="139"/>
        <v>141.85</v>
      </c>
      <c r="Q2660" s="8">
        <f ca="1">CEILING(R2659*(IF(N2660&lt;=IF($B$2=0,0,OFFSET(Sheet2!$B$1,Sheet1!$B$2-1,0)),$B$1/(365*100),$B$3/(365*100)))*100,1)/100</f>
        <v>-141.85</v>
      </c>
      <c r="R2660" s="9">
        <f t="shared" ca="1" si="140"/>
        <v>-347629.64055012044</v>
      </c>
    </row>
    <row r="2661" spans="7:18" x14ac:dyDescent="0.25">
      <c r="G2661" t="str">
        <f t="shared" si="141"/>
        <v>Insert into BlueCreditTypeRainbow Values (, , , , , )</v>
      </c>
      <c r="N2661" s="4">
        <v>2658</v>
      </c>
      <c r="O2661" s="8">
        <f>$B$7*COUNTIF(Sheet2!$B$1:$B$132,N2661)</f>
        <v>0</v>
      </c>
      <c r="P2661" s="8">
        <f t="shared" ca="1" si="139"/>
        <v>141.9</v>
      </c>
      <c r="Q2661" s="8">
        <f ca="1">CEILING(R2660*(IF(N2661&lt;=IF($B$2=0,0,OFFSET(Sheet2!$B$1,Sheet1!$B$2-1,0)),$B$1/(365*100),$B$3/(365*100)))*100,1)/100</f>
        <v>-141.9</v>
      </c>
      <c r="R2661" s="9">
        <f t="shared" ca="1" si="140"/>
        <v>-347771.54055012047</v>
      </c>
    </row>
    <row r="2662" spans="7:18" x14ac:dyDescent="0.25">
      <c r="G2662" t="str">
        <f t="shared" si="141"/>
        <v>Insert into BlueCreditTypeRainbow Values (, , , , , )</v>
      </c>
      <c r="N2662" s="4">
        <v>2659</v>
      </c>
      <c r="O2662" s="8">
        <f>$B$7*COUNTIF(Sheet2!$B$1:$B$132,N2662)</f>
        <v>0</v>
      </c>
      <c r="P2662" s="8">
        <f t="shared" ca="1" si="139"/>
        <v>141.96</v>
      </c>
      <c r="Q2662" s="8">
        <f ca="1">CEILING(R2661*(IF(N2662&lt;=IF($B$2=0,0,OFFSET(Sheet2!$B$1,Sheet1!$B$2-1,0)),$B$1/(365*100),$B$3/(365*100)))*100,1)/100</f>
        <v>-141.96</v>
      </c>
      <c r="R2662" s="9">
        <f t="shared" ca="1" si="140"/>
        <v>-347913.50055012049</v>
      </c>
    </row>
    <row r="2663" spans="7:18" x14ac:dyDescent="0.25">
      <c r="G2663" t="str">
        <f t="shared" si="141"/>
        <v>Insert into BlueCreditTypeRainbow Values (, , , , , )</v>
      </c>
      <c r="N2663" s="4">
        <v>2660</v>
      </c>
      <c r="O2663" s="8">
        <f>$B$7*COUNTIF(Sheet2!$B$1:$B$132,N2663)</f>
        <v>0</v>
      </c>
      <c r="P2663" s="8">
        <f t="shared" ca="1" si="139"/>
        <v>142.02000000000001</v>
      </c>
      <c r="Q2663" s="8">
        <f ca="1">CEILING(R2662*(IF(N2663&lt;=IF($B$2=0,0,OFFSET(Sheet2!$B$1,Sheet1!$B$2-1,0)),$B$1/(365*100),$B$3/(365*100)))*100,1)/100</f>
        <v>-142.02000000000001</v>
      </c>
      <c r="R2663" s="9">
        <f t="shared" ca="1" si="140"/>
        <v>-348055.52055012051</v>
      </c>
    </row>
    <row r="2664" spans="7:18" x14ac:dyDescent="0.25">
      <c r="G2664" t="str">
        <f t="shared" si="141"/>
        <v>Insert into BlueCreditTypeRainbow Values (, , , , , )</v>
      </c>
      <c r="N2664" s="4">
        <v>2661</v>
      </c>
      <c r="O2664" s="8">
        <f>$B$7*COUNTIF(Sheet2!$B$1:$B$132,N2664)</f>
        <v>0</v>
      </c>
      <c r="P2664" s="8">
        <f t="shared" ca="1" si="139"/>
        <v>142.08000000000001</v>
      </c>
      <c r="Q2664" s="8">
        <f ca="1">CEILING(R2663*(IF(N2664&lt;=IF($B$2=0,0,OFFSET(Sheet2!$B$1,Sheet1!$B$2-1,0)),$B$1/(365*100),$B$3/(365*100)))*100,1)/100</f>
        <v>-142.08000000000001</v>
      </c>
      <c r="R2664" s="9">
        <f t="shared" ca="1" si="140"/>
        <v>-348197.60055012052</v>
      </c>
    </row>
    <row r="2665" spans="7:18" x14ac:dyDescent="0.25">
      <c r="G2665" t="str">
        <f t="shared" si="141"/>
        <v>Insert into BlueCreditTypeRainbow Values (, , , , , )</v>
      </c>
      <c r="N2665" s="4">
        <v>2662</v>
      </c>
      <c r="O2665" s="8">
        <f>$B$7*COUNTIF(Sheet2!$B$1:$B$132,N2665)</f>
        <v>0</v>
      </c>
      <c r="P2665" s="8">
        <f t="shared" ca="1" si="139"/>
        <v>142.13999999999999</v>
      </c>
      <c r="Q2665" s="8">
        <f ca="1">CEILING(R2664*(IF(N2665&lt;=IF($B$2=0,0,OFFSET(Sheet2!$B$1,Sheet1!$B$2-1,0)),$B$1/(365*100),$B$3/(365*100)))*100,1)/100</f>
        <v>-142.13999999999999</v>
      </c>
      <c r="R2665" s="9">
        <f t="shared" ca="1" si="140"/>
        <v>-348339.74055012054</v>
      </c>
    </row>
    <row r="2666" spans="7:18" x14ac:dyDescent="0.25">
      <c r="G2666" t="str">
        <f t="shared" si="141"/>
        <v>Insert into BlueCreditTypeRainbow Values (, , , , , )</v>
      </c>
      <c r="N2666" s="4">
        <v>2663</v>
      </c>
      <c r="O2666" s="8">
        <f>$B$7*COUNTIF(Sheet2!$B$1:$B$132,N2666)</f>
        <v>0</v>
      </c>
      <c r="P2666" s="8">
        <f t="shared" ca="1" si="139"/>
        <v>142.19</v>
      </c>
      <c r="Q2666" s="8">
        <f ca="1">CEILING(R2665*(IF(N2666&lt;=IF($B$2=0,0,OFFSET(Sheet2!$B$1,Sheet1!$B$2-1,0)),$B$1/(365*100),$B$3/(365*100)))*100,1)/100</f>
        <v>-142.19</v>
      </c>
      <c r="R2666" s="9">
        <f t="shared" ca="1" si="140"/>
        <v>-348481.93055012054</v>
      </c>
    </row>
    <row r="2667" spans="7:18" x14ac:dyDescent="0.25">
      <c r="G2667" t="str">
        <f t="shared" si="141"/>
        <v>Insert into BlueCreditTypeRainbow Values (, , , , , )</v>
      </c>
      <c r="N2667" s="4">
        <v>2664</v>
      </c>
      <c r="O2667" s="8">
        <f>$B$7*COUNTIF(Sheet2!$B$1:$B$132,N2667)</f>
        <v>0</v>
      </c>
      <c r="P2667" s="8">
        <f t="shared" ca="1" si="139"/>
        <v>142.25</v>
      </c>
      <c r="Q2667" s="8">
        <f ca="1">CEILING(R2666*(IF(N2667&lt;=IF($B$2=0,0,OFFSET(Sheet2!$B$1,Sheet1!$B$2-1,0)),$B$1/(365*100),$B$3/(365*100)))*100,1)/100</f>
        <v>-142.25</v>
      </c>
      <c r="R2667" s="9">
        <f t="shared" ca="1" si="140"/>
        <v>-348624.18055012054</v>
      </c>
    </row>
    <row r="2668" spans="7:18" x14ac:dyDescent="0.25">
      <c r="G2668" t="str">
        <f t="shared" si="141"/>
        <v>Insert into BlueCreditTypeRainbow Values (, , , , , )</v>
      </c>
      <c r="N2668" s="4">
        <v>2665</v>
      </c>
      <c r="O2668" s="8">
        <f>$B$7*COUNTIF(Sheet2!$B$1:$B$132,N2668)</f>
        <v>0</v>
      </c>
      <c r="P2668" s="8">
        <f t="shared" ca="1" si="139"/>
        <v>142.31</v>
      </c>
      <c r="Q2668" s="8">
        <f ca="1">CEILING(R2667*(IF(N2668&lt;=IF($B$2=0,0,OFFSET(Sheet2!$B$1,Sheet1!$B$2-1,0)),$B$1/(365*100),$B$3/(365*100)))*100,1)/100</f>
        <v>-142.31</v>
      </c>
      <c r="R2668" s="9">
        <f t="shared" ca="1" si="140"/>
        <v>-348766.49055012054</v>
      </c>
    </row>
    <row r="2669" spans="7:18" x14ac:dyDescent="0.25">
      <c r="G2669" t="str">
        <f t="shared" si="141"/>
        <v>Insert into BlueCreditTypeRainbow Values (, , , , , )</v>
      </c>
      <c r="N2669" s="4">
        <v>2666</v>
      </c>
      <c r="O2669" s="8">
        <f>$B$7*COUNTIF(Sheet2!$B$1:$B$132,N2669)</f>
        <v>0</v>
      </c>
      <c r="P2669" s="8">
        <f t="shared" ca="1" si="139"/>
        <v>142.37</v>
      </c>
      <c r="Q2669" s="8">
        <f ca="1">CEILING(R2668*(IF(N2669&lt;=IF($B$2=0,0,OFFSET(Sheet2!$B$1,Sheet1!$B$2-1,0)),$B$1/(365*100),$B$3/(365*100)))*100,1)/100</f>
        <v>-142.37</v>
      </c>
      <c r="R2669" s="9">
        <f t="shared" ca="1" si="140"/>
        <v>-348908.86055012053</v>
      </c>
    </row>
    <row r="2670" spans="7:18" x14ac:dyDescent="0.25">
      <c r="G2670" t="str">
        <f t="shared" si="141"/>
        <v>Insert into BlueCreditTypeRainbow Values (, , , , , )</v>
      </c>
      <c r="N2670" s="4">
        <v>2667</v>
      </c>
      <c r="O2670" s="8">
        <f>$B$7*COUNTIF(Sheet2!$B$1:$B$132,N2670)</f>
        <v>0</v>
      </c>
      <c r="P2670" s="8">
        <f t="shared" ca="1" si="139"/>
        <v>142.43</v>
      </c>
      <c r="Q2670" s="8">
        <f ca="1">CEILING(R2669*(IF(N2670&lt;=IF($B$2=0,0,OFFSET(Sheet2!$B$1,Sheet1!$B$2-1,0)),$B$1/(365*100),$B$3/(365*100)))*100,1)/100</f>
        <v>-142.43</v>
      </c>
      <c r="R2670" s="9">
        <f t="shared" ca="1" si="140"/>
        <v>-349051.29055012052</v>
      </c>
    </row>
    <row r="2671" spans="7:18" x14ac:dyDescent="0.25">
      <c r="G2671" t="str">
        <f t="shared" si="141"/>
        <v>Insert into BlueCreditTypeRainbow Values (, , , , , )</v>
      </c>
      <c r="N2671" s="4">
        <v>2668</v>
      </c>
      <c r="O2671" s="8">
        <f>$B$7*COUNTIF(Sheet2!$B$1:$B$132,N2671)</f>
        <v>0</v>
      </c>
      <c r="P2671" s="8">
        <f t="shared" ca="1" si="139"/>
        <v>142.47999999999999</v>
      </c>
      <c r="Q2671" s="8">
        <f ca="1">CEILING(R2670*(IF(N2671&lt;=IF($B$2=0,0,OFFSET(Sheet2!$B$1,Sheet1!$B$2-1,0)),$B$1/(365*100),$B$3/(365*100)))*100,1)/100</f>
        <v>-142.47999999999999</v>
      </c>
      <c r="R2671" s="9">
        <f t="shared" ca="1" si="140"/>
        <v>-349193.77055012051</v>
      </c>
    </row>
    <row r="2672" spans="7:18" x14ac:dyDescent="0.25">
      <c r="G2672" t="str">
        <f t="shared" si="141"/>
        <v>Insert into BlueCreditTypeRainbow Values (, , , , , )</v>
      </c>
      <c r="N2672" s="4">
        <v>2669</v>
      </c>
      <c r="O2672" s="8">
        <f>$B$7*COUNTIF(Sheet2!$B$1:$B$132,N2672)</f>
        <v>0</v>
      </c>
      <c r="P2672" s="8">
        <f t="shared" ca="1" si="139"/>
        <v>142.54</v>
      </c>
      <c r="Q2672" s="8">
        <f ca="1">CEILING(R2671*(IF(N2672&lt;=IF($B$2=0,0,OFFSET(Sheet2!$B$1,Sheet1!$B$2-1,0)),$B$1/(365*100),$B$3/(365*100)))*100,1)/100</f>
        <v>-142.54</v>
      </c>
      <c r="R2672" s="9">
        <f t="shared" ca="1" si="140"/>
        <v>-349336.31055012048</v>
      </c>
    </row>
    <row r="2673" spans="7:18" x14ac:dyDescent="0.25">
      <c r="G2673" t="str">
        <f t="shared" si="141"/>
        <v>Insert into BlueCreditTypeRainbow Values (, , , , , )</v>
      </c>
      <c r="N2673" s="4">
        <v>2670</v>
      </c>
      <c r="O2673" s="8">
        <f>$B$7*COUNTIF(Sheet2!$B$1:$B$132,N2673)</f>
        <v>0</v>
      </c>
      <c r="P2673" s="8">
        <f t="shared" ca="1" si="139"/>
        <v>142.6</v>
      </c>
      <c r="Q2673" s="8">
        <f ca="1">CEILING(R2672*(IF(N2673&lt;=IF($B$2=0,0,OFFSET(Sheet2!$B$1,Sheet1!$B$2-1,0)),$B$1/(365*100),$B$3/(365*100)))*100,1)/100</f>
        <v>-142.6</v>
      </c>
      <c r="R2673" s="9">
        <f t="shared" ca="1" si="140"/>
        <v>-349478.91055012046</v>
      </c>
    </row>
    <row r="2674" spans="7:18" x14ac:dyDescent="0.25">
      <c r="G2674" t="str">
        <f t="shared" si="141"/>
        <v>Insert into BlueCreditTypeRainbow Values (, , , , , )</v>
      </c>
      <c r="N2674" s="4">
        <v>2671</v>
      </c>
      <c r="O2674" s="8">
        <f>$B$7*COUNTIF(Sheet2!$B$1:$B$132,N2674)</f>
        <v>0</v>
      </c>
      <c r="P2674" s="8">
        <f t="shared" ca="1" si="139"/>
        <v>142.66</v>
      </c>
      <c r="Q2674" s="8">
        <f ca="1">CEILING(R2673*(IF(N2674&lt;=IF($B$2=0,0,OFFSET(Sheet2!$B$1,Sheet1!$B$2-1,0)),$B$1/(365*100),$B$3/(365*100)))*100,1)/100</f>
        <v>-142.66</v>
      </c>
      <c r="R2674" s="9">
        <f t="shared" ca="1" si="140"/>
        <v>-349621.57055012044</v>
      </c>
    </row>
    <row r="2675" spans="7:18" x14ac:dyDescent="0.25">
      <c r="G2675" t="str">
        <f t="shared" si="141"/>
        <v>Insert into BlueCreditTypeRainbow Values (, , , , , )</v>
      </c>
      <c r="N2675" s="4">
        <v>2672</v>
      </c>
      <c r="O2675" s="8">
        <f>$B$7*COUNTIF(Sheet2!$B$1:$B$132,N2675)</f>
        <v>0</v>
      </c>
      <c r="P2675" s="8">
        <f t="shared" ca="1" si="139"/>
        <v>142.72</v>
      </c>
      <c r="Q2675" s="8">
        <f ca="1">CEILING(R2674*(IF(N2675&lt;=IF($B$2=0,0,OFFSET(Sheet2!$B$1,Sheet1!$B$2-1,0)),$B$1/(365*100),$B$3/(365*100)))*100,1)/100</f>
        <v>-142.72</v>
      </c>
      <c r="R2675" s="9">
        <f t="shared" ca="1" si="140"/>
        <v>-349764.29055012041</v>
      </c>
    </row>
    <row r="2676" spans="7:18" x14ac:dyDescent="0.25">
      <c r="G2676" t="str">
        <f t="shared" si="141"/>
        <v>Insert into BlueCreditTypeRainbow Values (, , , , , )</v>
      </c>
      <c r="N2676" s="4">
        <v>2673</v>
      </c>
      <c r="O2676" s="8">
        <f>$B$7*COUNTIF(Sheet2!$B$1:$B$132,N2676)</f>
        <v>0</v>
      </c>
      <c r="P2676" s="8">
        <f t="shared" ca="1" si="139"/>
        <v>142.78</v>
      </c>
      <c r="Q2676" s="8">
        <f ca="1">CEILING(R2675*(IF(N2676&lt;=IF($B$2=0,0,OFFSET(Sheet2!$B$1,Sheet1!$B$2-1,0)),$B$1/(365*100),$B$3/(365*100)))*100,1)/100</f>
        <v>-142.78</v>
      </c>
      <c r="R2676" s="9">
        <f t="shared" ca="1" si="140"/>
        <v>-349907.07055012044</v>
      </c>
    </row>
    <row r="2677" spans="7:18" x14ac:dyDescent="0.25">
      <c r="G2677" t="str">
        <f t="shared" si="141"/>
        <v>Insert into BlueCreditTypeRainbow Values (, , , , , )</v>
      </c>
      <c r="N2677" s="4">
        <v>2674</v>
      </c>
      <c r="O2677" s="8">
        <f>$B$7*COUNTIF(Sheet2!$B$1:$B$132,N2677)</f>
        <v>0</v>
      </c>
      <c r="P2677" s="8">
        <f t="shared" ca="1" si="139"/>
        <v>142.83000000000001</v>
      </c>
      <c r="Q2677" s="8">
        <f ca="1">CEILING(R2676*(IF(N2677&lt;=IF($B$2=0,0,OFFSET(Sheet2!$B$1,Sheet1!$B$2-1,0)),$B$1/(365*100),$B$3/(365*100)))*100,1)/100</f>
        <v>-142.83000000000001</v>
      </c>
      <c r="R2677" s="9">
        <f t="shared" ca="1" si="140"/>
        <v>-350049.90055012045</v>
      </c>
    </row>
    <row r="2678" spans="7:18" x14ac:dyDescent="0.25">
      <c r="G2678" t="str">
        <f t="shared" si="141"/>
        <v>Insert into BlueCreditTypeRainbow Values (, , , , , )</v>
      </c>
      <c r="N2678" s="4">
        <v>2675</v>
      </c>
      <c r="O2678" s="8">
        <f>$B$7*COUNTIF(Sheet2!$B$1:$B$132,N2678)</f>
        <v>0</v>
      </c>
      <c r="P2678" s="8">
        <f t="shared" ca="1" si="139"/>
        <v>142.88999999999999</v>
      </c>
      <c r="Q2678" s="8">
        <f ca="1">CEILING(R2677*(IF(N2678&lt;=IF($B$2=0,0,OFFSET(Sheet2!$B$1,Sheet1!$B$2-1,0)),$B$1/(365*100),$B$3/(365*100)))*100,1)/100</f>
        <v>-142.88999999999999</v>
      </c>
      <c r="R2678" s="9">
        <f t="shared" ca="1" si="140"/>
        <v>-350192.79055012047</v>
      </c>
    </row>
    <row r="2679" spans="7:18" x14ac:dyDescent="0.25">
      <c r="G2679" t="str">
        <f t="shared" si="141"/>
        <v>Insert into BlueCreditTypeRainbow Values (, , , , , )</v>
      </c>
      <c r="N2679" s="4">
        <v>2676</v>
      </c>
      <c r="O2679" s="8">
        <f>$B$7*COUNTIF(Sheet2!$B$1:$B$132,N2679)</f>
        <v>0</v>
      </c>
      <c r="P2679" s="8">
        <f t="shared" ca="1" si="139"/>
        <v>142.94999999999999</v>
      </c>
      <c r="Q2679" s="8">
        <f ca="1">CEILING(R2678*(IF(N2679&lt;=IF($B$2=0,0,OFFSET(Sheet2!$B$1,Sheet1!$B$2-1,0)),$B$1/(365*100),$B$3/(365*100)))*100,1)/100</f>
        <v>-142.94999999999999</v>
      </c>
      <c r="R2679" s="9">
        <f t="shared" ca="1" si="140"/>
        <v>-350335.74055012048</v>
      </c>
    </row>
    <row r="2680" spans="7:18" x14ac:dyDescent="0.25">
      <c r="G2680" t="str">
        <f t="shared" si="141"/>
        <v>Insert into BlueCreditTypeRainbow Values (, , , , , )</v>
      </c>
      <c r="N2680" s="4">
        <v>2677</v>
      </c>
      <c r="O2680" s="8">
        <f>$B$7*COUNTIF(Sheet2!$B$1:$B$132,N2680)</f>
        <v>0</v>
      </c>
      <c r="P2680" s="8">
        <f t="shared" ca="1" si="139"/>
        <v>143.01</v>
      </c>
      <c r="Q2680" s="8">
        <f ca="1">CEILING(R2679*(IF(N2680&lt;=IF($B$2=0,0,OFFSET(Sheet2!$B$1,Sheet1!$B$2-1,0)),$B$1/(365*100),$B$3/(365*100)))*100,1)/100</f>
        <v>-143.01</v>
      </c>
      <c r="R2680" s="9">
        <f t="shared" ca="1" si="140"/>
        <v>-350478.75055012049</v>
      </c>
    </row>
    <row r="2681" spans="7:18" x14ac:dyDescent="0.25">
      <c r="G2681" t="str">
        <f t="shared" si="141"/>
        <v>Insert into BlueCreditTypeRainbow Values (, , , , , )</v>
      </c>
      <c r="N2681" s="4">
        <v>2678</v>
      </c>
      <c r="O2681" s="8">
        <f>$B$7*COUNTIF(Sheet2!$B$1:$B$132,N2681)</f>
        <v>0</v>
      </c>
      <c r="P2681" s="8">
        <f t="shared" ca="1" si="139"/>
        <v>143.07</v>
      </c>
      <c r="Q2681" s="8">
        <f ca="1">CEILING(R2680*(IF(N2681&lt;=IF($B$2=0,0,OFFSET(Sheet2!$B$1,Sheet1!$B$2-1,0)),$B$1/(365*100),$B$3/(365*100)))*100,1)/100</f>
        <v>-143.07</v>
      </c>
      <c r="R2681" s="9">
        <f t="shared" ca="1" si="140"/>
        <v>-350621.82055012049</v>
      </c>
    </row>
    <row r="2682" spans="7:18" x14ac:dyDescent="0.25">
      <c r="G2682" t="str">
        <f t="shared" si="141"/>
        <v>Insert into BlueCreditTypeRainbow Values (, , , , , )</v>
      </c>
      <c r="N2682" s="4">
        <v>2679</v>
      </c>
      <c r="O2682" s="8">
        <f>$B$7*COUNTIF(Sheet2!$B$1:$B$132,N2682)</f>
        <v>0</v>
      </c>
      <c r="P2682" s="8">
        <f t="shared" ca="1" si="139"/>
        <v>143.13</v>
      </c>
      <c r="Q2682" s="8">
        <f ca="1">CEILING(R2681*(IF(N2682&lt;=IF($B$2=0,0,OFFSET(Sheet2!$B$1,Sheet1!$B$2-1,0)),$B$1/(365*100),$B$3/(365*100)))*100,1)/100</f>
        <v>-143.13</v>
      </c>
      <c r="R2682" s="9">
        <f t="shared" ca="1" si="140"/>
        <v>-350764.9505501205</v>
      </c>
    </row>
    <row r="2683" spans="7:18" x14ac:dyDescent="0.25">
      <c r="G2683" t="str">
        <f t="shared" si="141"/>
        <v>Insert into BlueCreditTypeRainbow Values (, , , , , )</v>
      </c>
      <c r="N2683" s="4">
        <v>2680</v>
      </c>
      <c r="O2683" s="8">
        <f>$B$7*COUNTIF(Sheet2!$B$1:$B$132,N2683)</f>
        <v>0</v>
      </c>
      <c r="P2683" s="8">
        <f t="shared" ca="1" si="139"/>
        <v>143.18</v>
      </c>
      <c r="Q2683" s="8">
        <f ca="1">CEILING(R2682*(IF(N2683&lt;=IF($B$2=0,0,OFFSET(Sheet2!$B$1,Sheet1!$B$2-1,0)),$B$1/(365*100),$B$3/(365*100)))*100,1)/100</f>
        <v>-143.18</v>
      </c>
      <c r="R2683" s="9">
        <f t="shared" ca="1" si="140"/>
        <v>-350908.13055012049</v>
      </c>
    </row>
    <row r="2684" spans="7:18" x14ac:dyDescent="0.25">
      <c r="G2684" t="str">
        <f t="shared" si="141"/>
        <v>Insert into BlueCreditTypeRainbow Values (, , , , , )</v>
      </c>
      <c r="N2684" s="4">
        <v>2681</v>
      </c>
      <c r="O2684" s="8">
        <f>$B$7*COUNTIF(Sheet2!$B$1:$B$132,N2684)</f>
        <v>21157.10552356458</v>
      </c>
      <c r="P2684" s="8">
        <f t="shared" ca="1" si="139"/>
        <v>21300.345523564582</v>
      </c>
      <c r="Q2684" s="8">
        <f ca="1">CEILING(R2683*(IF(N2684&lt;=IF($B$2=0,0,OFFSET(Sheet2!$B$1,Sheet1!$B$2-1,0)),$B$1/(365*100),$B$3/(365*100)))*100,1)/100</f>
        <v>-143.24</v>
      </c>
      <c r="R2684" s="9">
        <f t="shared" ca="1" si="140"/>
        <v>-372208.47607368504</v>
      </c>
    </row>
    <row r="2685" spans="7:18" x14ac:dyDescent="0.25">
      <c r="G2685" t="str">
        <f t="shared" si="141"/>
        <v>Insert into BlueCreditTypeRainbow Values (, , , , , )</v>
      </c>
      <c r="N2685" s="4">
        <v>2682</v>
      </c>
      <c r="O2685" s="8">
        <f>$B$7*COUNTIF(Sheet2!$B$1:$B$132,N2685)</f>
        <v>0</v>
      </c>
      <c r="P2685" s="8">
        <f t="shared" ca="1" si="139"/>
        <v>151.94</v>
      </c>
      <c r="Q2685" s="8">
        <f ca="1">CEILING(R2684*(IF(N2685&lt;=IF($B$2=0,0,OFFSET(Sheet2!$B$1,Sheet1!$B$2-1,0)),$B$1/(365*100),$B$3/(365*100)))*100,1)/100</f>
        <v>-151.94</v>
      </c>
      <c r="R2685" s="9">
        <f t="shared" ca="1" si="140"/>
        <v>-372360.41607368505</v>
      </c>
    </row>
    <row r="2686" spans="7:18" x14ac:dyDescent="0.25">
      <c r="G2686" t="str">
        <f t="shared" si="141"/>
        <v>Insert into BlueCreditTypeRainbow Values (, , , , , )</v>
      </c>
      <c r="N2686" s="4">
        <v>2683</v>
      </c>
      <c r="O2686" s="8">
        <f>$B$7*COUNTIF(Sheet2!$B$1:$B$132,N2686)</f>
        <v>0</v>
      </c>
      <c r="P2686" s="8">
        <f t="shared" ca="1" si="139"/>
        <v>152</v>
      </c>
      <c r="Q2686" s="8">
        <f ca="1">CEILING(R2685*(IF(N2686&lt;=IF($B$2=0,0,OFFSET(Sheet2!$B$1,Sheet1!$B$2-1,0)),$B$1/(365*100),$B$3/(365*100)))*100,1)/100</f>
        <v>-152</v>
      </c>
      <c r="R2686" s="9">
        <f t="shared" ca="1" si="140"/>
        <v>-372512.41607368505</v>
      </c>
    </row>
    <row r="2687" spans="7:18" x14ac:dyDescent="0.25">
      <c r="G2687" t="str">
        <f t="shared" si="141"/>
        <v>Insert into BlueCreditTypeRainbow Values (, , , , , )</v>
      </c>
      <c r="N2687" s="4">
        <v>2684</v>
      </c>
      <c r="O2687" s="8">
        <f>$B$7*COUNTIF(Sheet2!$B$1:$B$132,N2687)</f>
        <v>0</v>
      </c>
      <c r="P2687" s="8">
        <f t="shared" ref="P2687:P2728" ca="1" si="142">IF(O2687-Q2687&gt; 0, O2687-Q2687, 0)</f>
        <v>152.06</v>
      </c>
      <c r="Q2687" s="8">
        <f ca="1">CEILING(R2686*(IF(N2687&lt;=IF($B$2=0,0,OFFSET(Sheet2!$B$1,Sheet1!$B$2-1,0)),$B$1/(365*100),$B$3/(365*100)))*100,1)/100</f>
        <v>-152.06</v>
      </c>
      <c r="R2687" s="9">
        <f t="shared" ref="R2687:R2728" ca="1" si="143">R2686+Q2687-O2687</f>
        <v>-372664.47607368504</v>
      </c>
    </row>
    <row r="2688" spans="7:18" x14ac:dyDescent="0.25">
      <c r="G2688" t="str">
        <f t="shared" si="141"/>
        <v>Insert into BlueCreditTypeRainbow Values (, , , , , )</v>
      </c>
      <c r="N2688" s="4">
        <v>2685</v>
      </c>
      <c r="O2688" s="8">
        <f>$B$7*COUNTIF(Sheet2!$B$1:$B$132,N2688)</f>
        <v>0</v>
      </c>
      <c r="P2688" s="8">
        <f t="shared" ca="1" si="142"/>
        <v>152.12</v>
      </c>
      <c r="Q2688" s="8">
        <f ca="1">CEILING(R2687*(IF(N2688&lt;=IF($B$2=0,0,OFFSET(Sheet2!$B$1,Sheet1!$B$2-1,0)),$B$1/(365*100),$B$3/(365*100)))*100,1)/100</f>
        <v>-152.12</v>
      </c>
      <c r="R2688" s="9">
        <f t="shared" ca="1" si="143"/>
        <v>-372816.59607368504</v>
      </c>
    </row>
    <row r="2689" spans="7:18" x14ac:dyDescent="0.25">
      <c r="G2689" t="str">
        <f t="shared" si="141"/>
        <v>Insert into BlueCreditTypeRainbow Values (, , , , , )</v>
      </c>
      <c r="N2689" s="4">
        <v>2686</v>
      </c>
      <c r="O2689" s="8">
        <f>$B$7*COUNTIF(Sheet2!$B$1:$B$132,N2689)</f>
        <v>0</v>
      </c>
      <c r="P2689" s="8">
        <f t="shared" ca="1" si="142"/>
        <v>152.19</v>
      </c>
      <c r="Q2689" s="8">
        <f ca="1">CEILING(R2688*(IF(N2689&lt;=IF($B$2=0,0,OFFSET(Sheet2!$B$1,Sheet1!$B$2-1,0)),$B$1/(365*100),$B$3/(365*100)))*100,1)/100</f>
        <v>-152.19</v>
      </c>
      <c r="R2689" s="9">
        <f t="shared" ca="1" si="143"/>
        <v>-372968.78607368504</v>
      </c>
    </row>
    <row r="2690" spans="7:18" x14ac:dyDescent="0.25">
      <c r="G2690" t="str">
        <f t="shared" si="141"/>
        <v>Insert into BlueCreditTypeRainbow Values (, , , , , )</v>
      </c>
      <c r="N2690" s="4">
        <v>2687</v>
      </c>
      <c r="O2690" s="8">
        <f>$B$7*COUNTIF(Sheet2!$B$1:$B$132,N2690)</f>
        <v>0</v>
      </c>
      <c r="P2690" s="8">
        <f t="shared" ca="1" si="142"/>
        <v>152.25</v>
      </c>
      <c r="Q2690" s="8">
        <f ca="1">CEILING(R2689*(IF(N2690&lt;=IF($B$2=0,0,OFFSET(Sheet2!$B$1,Sheet1!$B$2-1,0)),$B$1/(365*100),$B$3/(365*100)))*100,1)/100</f>
        <v>-152.25</v>
      </c>
      <c r="R2690" s="9">
        <f t="shared" ca="1" si="143"/>
        <v>-373121.03607368504</v>
      </c>
    </row>
    <row r="2691" spans="7:18" x14ac:dyDescent="0.25">
      <c r="G2691" t="str">
        <f t="shared" si="141"/>
        <v>Insert into BlueCreditTypeRainbow Values (, , , , , )</v>
      </c>
      <c r="N2691" s="4">
        <v>2688</v>
      </c>
      <c r="O2691" s="8">
        <f>$B$7*COUNTIF(Sheet2!$B$1:$B$132,N2691)</f>
        <v>0</v>
      </c>
      <c r="P2691" s="8">
        <f t="shared" ca="1" si="142"/>
        <v>152.31</v>
      </c>
      <c r="Q2691" s="8">
        <f ca="1">CEILING(R2690*(IF(N2691&lt;=IF($B$2=0,0,OFFSET(Sheet2!$B$1,Sheet1!$B$2-1,0)),$B$1/(365*100),$B$3/(365*100)))*100,1)/100</f>
        <v>-152.31</v>
      </c>
      <c r="R2691" s="9">
        <f t="shared" ca="1" si="143"/>
        <v>-373273.34607368504</v>
      </c>
    </row>
    <row r="2692" spans="7:18" x14ac:dyDescent="0.25">
      <c r="G2692" t="str">
        <f t="shared" si="141"/>
        <v>Insert into BlueCreditTypeRainbow Values (, , , , , )</v>
      </c>
      <c r="N2692" s="4">
        <v>2689</v>
      </c>
      <c r="O2692" s="8">
        <f>$B$7*COUNTIF(Sheet2!$B$1:$B$132,N2692)</f>
        <v>0</v>
      </c>
      <c r="P2692" s="8">
        <f t="shared" ca="1" si="142"/>
        <v>152.37</v>
      </c>
      <c r="Q2692" s="8">
        <f ca="1">CEILING(R2691*(IF(N2692&lt;=IF($B$2=0,0,OFFSET(Sheet2!$B$1,Sheet1!$B$2-1,0)),$B$1/(365*100),$B$3/(365*100)))*100,1)/100</f>
        <v>-152.37</v>
      </c>
      <c r="R2692" s="9">
        <f t="shared" ca="1" si="143"/>
        <v>-373425.71607368503</v>
      </c>
    </row>
    <row r="2693" spans="7:18" x14ac:dyDescent="0.25">
      <c r="G2693" t="str">
        <f t="shared" si="141"/>
        <v>Insert into BlueCreditTypeRainbow Values (, , , , , )</v>
      </c>
      <c r="N2693" s="4">
        <v>2690</v>
      </c>
      <c r="O2693" s="8">
        <f>$B$7*COUNTIF(Sheet2!$B$1:$B$132,N2693)</f>
        <v>0</v>
      </c>
      <c r="P2693" s="8">
        <f t="shared" ca="1" si="142"/>
        <v>152.43</v>
      </c>
      <c r="Q2693" s="8">
        <f ca="1">CEILING(R2692*(IF(N2693&lt;=IF($B$2=0,0,OFFSET(Sheet2!$B$1,Sheet1!$B$2-1,0)),$B$1/(365*100),$B$3/(365*100)))*100,1)/100</f>
        <v>-152.43</v>
      </c>
      <c r="R2693" s="9">
        <f t="shared" ca="1" si="143"/>
        <v>-373578.14607368503</v>
      </c>
    </row>
    <row r="2694" spans="7:18" x14ac:dyDescent="0.25">
      <c r="G2694" t="str">
        <f t="shared" si="141"/>
        <v>Insert into BlueCreditTypeRainbow Values (, , , , , )</v>
      </c>
      <c r="N2694" s="4">
        <v>2691</v>
      </c>
      <c r="O2694" s="8">
        <f>$B$7*COUNTIF(Sheet2!$B$1:$B$132,N2694)</f>
        <v>0</v>
      </c>
      <c r="P2694" s="8">
        <f t="shared" ca="1" si="142"/>
        <v>152.5</v>
      </c>
      <c r="Q2694" s="8">
        <f ca="1">CEILING(R2693*(IF(N2694&lt;=IF($B$2=0,0,OFFSET(Sheet2!$B$1,Sheet1!$B$2-1,0)),$B$1/(365*100),$B$3/(365*100)))*100,1)/100</f>
        <v>-152.5</v>
      </c>
      <c r="R2694" s="9">
        <f t="shared" ca="1" si="143"/>
        <v>-373730.64607368503</v>
      </c>
    </row>
    <row r="2695" spans="7:18" x14ac:dyDescent="0.25">
      <c r="G2695" t="str">
        <f t="shared" si="141"/>
        <v>Insert into BlueCreditTypeRainbow Values (, , , , , )</v>
      </c>
      <c r="N2695" s="4">
        <v>2692</v>
      </c>
      <c r="O2695" s="8">
        <f>$B$7*COUNTIF(Sheet2!$B$1:$B$132,N2695)</f>
        <v>0</v>
      </c>
      <c r="P2695" s="8">
        <f t="shared" ca="1" si="142"/>
        <v>152.56</v>
      </c>
      <c r="Q2695" s="8">
        <f ca="1">CEILING(R2694*(IF(N2695&lt;=IF($B$2=0,0,OFFSET(Sheet2!$B$1,Sheet1!$B$2-1,0)),$B$1/(365*100),$B$3/(365*100)))*100,1)/100</f>
        <v>-152.56</v>
      </c>
      <c r="R2695" s="9">
        <f t="shared" ca="1" si="143"/>
        <v>-373883.20607368503</v>
      </c>
    </row>
    <row r="2696" spans="7:18" x14ac:dyDescent="0.25">
      <c r="G2696" t="str">
        <f t="shared" si="141"/>
        <v>Insert into BlueCreditTypeRainbow Values (, , , , , )</v>
      </c>
      <c r="N2696" s="4">
        <v>2693</v>
      </c>
      <c r="O2696" s="8">
        <f>$B$7*COUNTIF(Sheet2!$B$1:$B$132,N2696)</f>
        <v>0</v>
      </c>
      <c r="P2696" s="8">
        <f t="shared" ca="1" si="142"/>
        <v>152.62</v>
      </c>
      <c r="Q2696" s="8">
        <f ca="1">CEILING(R2695*(IF(N2696&lt;=IF($B$2=0,0,OFFSET(Sheet2!$B$1,Sheet1!$B$2-1,0)),$B$1/(365*100),$B$3/(365*100)))*100,1)/100</f>
        <v>-152.62</v>
      </c>
      <c r="R2696" s="9">
        <f t="shared" ca="1" si="143"/>
        <v>-374035.82607368502</v>
      </c>
    </row>
    <row r="2697" spans="7:18" x14ac:dyDescent="0.25">
      <c r="G2697" t="str">
        <f t="shared" si="141"/>
        <v>Insert into BlueCreditTypeRainbow Values (, , , , , )</v>
      </c>
      <c r="N2697" s="4">
        <v>2694</v>
      </c>
      <c r="O2697" s="8">
        <f>$B$7*COUNTIF(Sheet2!$B$1:$B$132,N2697)</f>
        <v>0</v>
      </c>
      <c r="P2697" s="8">
        <f t="shared" ca="1" si="142"/>
        <v>152.68</v>
      </c>
      <c r="Q2697" s="8">
        <f ca="1">CEILING(R2696*(IF(N2697&lt;=IF($B$2=0,0,OFFSET(Sheet2!$B$1,Sheet1!$B$2-1,0)),$B$1/(365*100),$B$3/(365*100)))*100,1)/100</f>
        <v>-152.68</v>
      </c>
      <c r="R2697" s="9">
        <f t="shared" ca="1" si="143"/>
        <v>-374188.50607368501</v>
      </c>
    </row>
    <row r="2698" spans="7:18" x14ac:dyDescent="0.25">
      <c r="G2698" t="str">
        <f t="shared" si="141"/>
        <v>Insert into BlueCreditTypeRainbow Values (, , , , , )</v>
      </c>
      <c r="N2698" s="4">
        <v>2695</v>
      </c>
      <c r="O2698" s="8">
        <f>$B$7*COUNTIF(Sheet2!$B$1:$B$132,N2698)</f>
        <v>0</v>
      </c>
      <c r="P2698" s="8">
        <f t="shared" ca="1" si="142"/>
        <v>152.75</v>
      </c>
      <c r="Q2698" s="8">
        <f ca="1">CEILING(R2697*(IF(N2698&lt;=IF($B$2=0,0,OFFSET(Sheet2!$B$1,Sheet1!$B$2-1,0)),$B$1/(365*100),$B$3/(365*100)))*100,1)/100</f>
        <v>-152.75</v>
      </c>
      <c r="R2698" s="9">
        <f t="shared" ca="1" si="143"/>
        <v>-374341.25607368501</v>
      </c>
    </row>
    <row r="2699" spans="7:18" x14ac:dyDescent="0.25">
      <c r="G2699" t="str">
        <f t="shared" si="141"/>
        <v>Insert into BlueCreditTypeRainbow Values (, , , , , )</v>
      </c>
      <c r="N2699" s="4">
        <v>2696</v>
      </c>
      <c r="O2699" s="8">
        <f>$B$7*COUNTIF(Sheet2!$B$1:$B$132,N2699)</f>
        <v>0</v>
      </c>
      <c r="P2699" s="8">
        <f t="shared" ca="1" si="142"/>
        <v>152.81</v>
      </c>
      <c r="Q2699" s="8">
        <f ca="1">CEILING(R2698*(IF(N2699&lt;=IF($B$2=0,0,OFFSET(Sheet2!$B$1,Sheet1!$B$2-1,0)),$B$1/(365*100),$B$3/(365*100)))*100,1)/100</f>
        <v>-152.81</v>
      </c>
      <c r="R2699" s="9">
        <f t="shared" ca="1" si="143"/>
        <v>-374494.06607368501</v>
      </c>
    </row>
    <row r="2700" spans="7:18" x14ac:dyDescent="0.25">
      <c r="G2700" t="str">
        <f t="shared" si="141"/>
        <v>Insert into BlueCreditTypeRainbow Values (, , , , , )</v>
      </c>
      <c r="N2700" s="4">
        <v>2697</v>
      </c>
      <c r="O2700" s="8">
        <f>$B$7*COUNTIF(Sheet2!$B$1:$B$132,N2700)</f>
        <v>0</v>
      </c>
      <c r="P2700" s="8">
        <f t="shared" ca="1" si="142"/>
        <v>152.87</v>
      </c>
      <c r="Q2700" s="8">
        <f ca="1">CEILING(R2699*(IF(N2700&lt;=IF($B$2=0,0,OFFSET(Sheet2!$B$1,Sheet1!$B$2-1,0)),$B$1/(365*100),$B$3/(365*100)))*100,1)/100</f>
        <v>-152.87</v>
      </c>
      <c r="R2700" s="9">
        <f t="shared" ca="1" si="143"/>
        <v>-374646.93607368501</v>
      </c>
    </row>
    <row r="2701" spans="7:18" x14ac:dyDescent="0.25">
      <c r="G2701" t="str">
        <f t="shared" si="141"/>
        <v>Insert into BlueCreditTypeRainbow Values (, , , , , )</v>
      </c>
      <c r="N2701" s="4">
        <v>2698</v>
      </c>
      <c r="O2701" s="8">
        <f>$B$7*COUNTIF(Sheet2!$B$1:$B$132,N2701)</f>
        <v>0</v>
      </c>
      <c r="P2701" s="8">
        <f t="shared" ca="1" si="142"/>
        <v>152.93</v>
      </c>
      <c r="Q2701" s="8">
        <f ca="1">CEILING(R2700*(IF(N2701&lt;=IF($B$2=0,0,OFFSET(Sheet2!$B$1,Sheet1!$B$2-1,0)),$B$1/(365*100),$B$3/(365*100)))*100,1)/100</f>
        <v>-152.93</v>
      </c>
      <c r="R2701" s="9">
        <f t="shared" ca="1" si="143"/>
        <v>-374799.866073685</v>
      </c>
    </row>
    <row r="2702" spans="7:18" x14ac:dyDescent="0.25">
      <c r="G2702" t="str">
        <f t="shared" si="141"/>
        <v>Insert into BlueCreditTypeRainbow Values (, , , , , )</v>
      </c>
      <c r="N2702" s="4">
        <v>2699</v>
      </c>
      <c r="O2702" s="8">
        <f>$B$7*COUNTIF(Sheet2!$B$1:$B$132,N2702)</f>
        <v>0</v>
      </c>
      <c r="P2702" s="8">
        <f t="shared" ca="1" si="142"/>
        <v>153</v>
      </c>
      <c r="Q2702" s="8">
        <f ca="1">CEILING(R2701*(IF(N2702&lt;=IF($B$2=0,0,OFFSET(Sheet2!$B$1,Sheet1!$B$2-1,0)),$B$1/(365*100),$B$3/(365*100)))*100,1)/100</f>
        <v>-153</v>
      </c>
      <c r="R2702" s="9">
        <f t="shared" ca="1" si="143"/>
        <v>-374952.866073685</v>
      </c>
    </row>
    <row r="2703" spans="7:18" x14ac:dyDescent="0.25">
      <c r="G2703" t="str">
        <f t="shared" ref="G2703:G2766" si="144">CONCATENATE("Insert into BlueCreditTypeRainbow Values (",A2703,", ",B2703,", ",C2703,", ",D2703,", ",E2703,", ",F2703,")")</f>
        <v>Insert into BlueCreditTypeRainbow Values (, , , , , )</v>
      </c>
      <c r="N2703" s="4">
        <v>2700</v>
      </c>
      <c r="O2703" s="8">
        <f>$B$7*COUNTIF(Sheet2!$B$1:$B$132,N2703)</f>
        <v>0</v>
      </c>
      <c r="P2703" s="8">
        <f t="shared" ca="1" si="142"/>
        <v>153.06</v>
      </c>
      <c r="Q2703" s="8">
        <f ca="1">CEILING(R2702*(IF(N2703&lt;=IF($B$2=0,0,OFFSET(Sheet2!$B$1,Sheet1!$B$2-1,0)),$B$1/(365*100),$B$3/(365*100)))*100,1)/100</f>
        <v>-153.06</v>
      </c>
      <c r="R2703" s="9">
        <f t="shared" ca="1" si="143"/>
        <v>-375105.926073685</v>
      </c>
    </row>
    <row r="2704" spans="7:18" x14ac:dyDescent="0.25">
      <c r="G2704" t="str">
        <f t="shared" si="144"/>
        <v>Insert into BlueCreditTypeRainbow Values (, , , , , )</v>
      </c>
      <c r="N2704" s="4">
        <v>2701</v>
      </c>
      <c r="O2704" s="8">
        <f>$B$7*COUNTIF(Sheet2!$B$1:$B$132,N2704)</f>
        <v>0</v>
      </c>
      <c r="P2704" s="8">
        <f t="shared" ca="1" si="142"/>
        <v>153.12</v>
      </c>
      <c r="Q2704" s="8">
        <f ca="1">CEILING(R2703*(IF(N2704&lt;=IF($B$2=0,0,OFFSET(Sheet2!$B$1,Sheet1!$B$2-1,0)),$B$1/(365*100),$B$3/(365*100)))*100,1)/100</f>
        <v>-153.12</v>
      </c>
      <c r="R2704" s="9">
        <f t="shared" ca="1" si="143"/>
        <v>-375259.04607368499</v>
      </c>
    </row>
    <row r="2705" spans="7:18" x14ac:dyDescent="0.25">
      <c r="G2705" t="str">
        <f t="shared" si="144"/>
        <v>Insert into BlueCreditTypeRainbow Values (, , , , , )</v>
      </c>
      <c r="N2705" s="4">
        <v>2702</v>
      </c>
      <c r="O2705" s="8">
        <f>$B$7*COUNTIF(Sheet2!$B$1:$B$132,N2705)</f>
        <v>0</v>
      </c>
      <c r="P2705" s="8">
        <f t="shared" ca="1" si="142"/>
        <v>153.18</v>
      </c>
      <c r="Q2705" s="8">
        <f ca="1">CEILING(R2704*(IF(N2705&lt;=IF($B$2=0,0,OFFSET(Sheet2!$B$1,Sheet1!$B$2-1,0)),$B$1/(365*100),$B$3/(365*100)))*100,1)/100</f>
        <v>-153.18</v>
      </c>
      <c r="R2705" s="9">
        <f t="shared" ca="1" si="143"/>
        <v>-375412.22607368499</v>
      </c>
    </row>
    <row r="2706" spans="7:18" x14ac:dyDescent="0.25">
      <c r="G2706" t="str">
        <f t="shared" si="144"/>
        <v>Insert into BlueCreditTypeRainbow Values (, , , , , )</v>
      </c>
      <c r="N2706" s="4">
        <v>2703</v>
      </c>
      <c r="O2706" s="8">
        <f>$B$7*COUNTIF(Sheet2!$B$1:$B$132,N2706)</f>
        <v>0</v>
      </c>
      <c r="P2706" s="8">
        <f t="shared" ca="1" si="142"/>
        <v>153.25</v>
      </c>
      <c r="Q2706" s="8">
        <f ca="1">CEILING(R2705*(IF(N2706&lt;=IF($B$2=0,0,OFFSET(Sheet2!$B$1,Sheet1!$B$2-1,0)),$B$1/(365*100),$B$3/(365*100)))*100,1)/100</f>
        <v>-153.25</v>
      </c>
      <c r="R2706" s="9">
        <f t="shared" ca="1" si="143"/>
        <v>-375565.47607368499</v>
      </c>
    </row>
    <row r="2707" spans="7:18" x14ac:dyDescent="0.25">
      <c r="G2707" t="str">
        <f t="shared" si="144"/>
        <v>Insert into BlueCreditTypeRainbow Values (, , , , , )</v>
      </c>
      <c r="N2707" s="4">
        <v>2704</v>
      </c>
      <c r="O2707" s="8">
        <f>$B$7*COUNTIF(Sheet2!$B$1:$B$132,N2707)</f>
        <v>0</v>
      </c>
      <c r="P2707" s="8">
        <f t="shared" ca="1" si="142"/>
        <v>153.31</v>
      </c>
      <c r="Q2707" s="8">
        <f ca="1">CEILING(R2706*(IF(N2707&lt;=IF($B$2=0,0,OFFSET(Sheet2!$B$1,Sheet1!$B$2-1,0)),$B$1/(365*100),$B$3/(365*100)))*100,1)/100</f>
        <v>-153.31</v>
      </c>
      <c r="R2707" s="9">
        <f t="shared" ca="1" si="143"/>
        <v>-375718.78607368498</v>
      </c>
    </row>
    <row r="2708" spans="7:18" x14ac:dyDescent="0.25">
      <c r="G2708" t="str">
        <f t="shared" si="144"/>
        <v>Insert into BlueCreditTypeRainbow Values (, , , , , )</v>
      </c>
      <c r="N2708" s="4">
        <v>2705</v>
      </c>
      <c r="O2708" s="8">
        <f>$B$7*COUNTIF(Sheet2!$B$1:$B$132,N2708)</f>
        <v>0</v>
      </c>
      <c r="P2708" s="8">
        <f t="shared" ca="1" si="142"/>
        <v>153.37</v>
      </c>
      <c r="Q2708" s="8">
        <f ca="1">CEILING(R2707*(IF(N2708&lt;=IF($B$2=0,0,OFFSET(Sheet2!$B$1,Sheet1!$B$2-1,0)),$B$1/(365*100),$B$3/(365*100)))*100,1)/100</f>
        <v>-153.37</v>
      </c>
      <c r="R2708" s="9">
        <f t="shared" ca="1" si="143"/>
        <v>-375872.15607368498</v>
      </c>
    </row>
    <row r="2709" spans="7:18" x14ac:dyDescent="0.25">
      <c r="G2709" t="str">
        <f t="shared" si="144"/>
        <v>Insert into BlueCreditTypeRainbow Values (, , , , , )</v>
      </c>
      <c r="N2709" s="4">
        <v>2706</v>
      </c>
      <c r="O2709" s="8">
        <f>$B$7*COUNTIF(Sheet2!$B$1:$B$132,N2709)</f>
        <v>0</v>
      </c>
      <c r="P2709" s="8">
        <f t="shared" ca="1" si="142"/>
        <v>153.43</v>
      </c>
      <c r="Q2709" s="8">
        <f ca="1">CEILING(R2708*(IF(N2709&lt;=IF($B$2=0,0,OFFSET(Sheet2!$B$1,Sheet1!$B$2-1,0)),$B$1/(365*100),$B$3/(365*100)))*100,1)/100</f>
        <v>-153.43</v>
      </c>
      <c r="R2709" s="9">
        <f t="shared" ca="1" si="143"/>
        <v>-376025.58607368497</v>
      </c>
    </row>
    <row r="2710" spans="7:18" x14ac:dyDescent="0.25">
      <c r="G2710" t="str">
        <f t="shared" si="144"/>
        <v>Insert into BlueCreditTypeRainbow Values (, , , , , )</v>
      </c>
      <c r="N2710" s="4">
        <v>2707</v>
      </c>
      <c r="O2710" s="8">
        <f>$B$7*COUNTIF(Sheet2!$B$1:$B$132,N2710)</f>
        <v>0</v>
      </c>
      <c r="P2710" s="8">
        <f t="shared" ca="1" si="142"/>
        <v>153.5</v>
      </c>
      <c r="Q2710" s="8">
        <f ca="1">CEILING(R2709*(IF(N2710&lt;=IF($B$2=0,0,OFFSET(Sheet2!$B$1,Sheet1!$B$2-1,0)),$B$1/(365*100),$B$3/(365*100)))*100,1)/100</f>
        <v>-153.5</v>
      </c>
      <c r="R2710" s="9">
        <f t="shared" ca="1" si="143"/>
        <v>-376179.08607368497</v>
      </c>
    </row>
    <row r="2711" spans="7:18" x14ac:dyDescent="0.25">
      <c r="G2711" t="str">
        <f t="shared" si="144"/>
        <v>Insert into BlueCreditTypeRainbow Values (, , , , , )</v>
      </c>
      <c r="N2711" s="4">
        <v>2708</v>
      </c>
      <c r="O2711" s="8">
        <f>$B$7*COUNTIF(Sheet2!$B$1:$B$132,N2711)</f>
        <v>0</v>
      </c>
      <c r="P2711" s="8">
        <f t="shared" ca="1" si="142"/>
        <v>153.56</v>
      </c>
      <c r="Q2711" s="8">
        <f ca="1">CEILING(R2710*(IF(N2711&lt;=IF($B$2=0,0,OFFSET(Sheet2!$B$1,Sheet1!$B$2-1,0)),$B$1/(365*100),$B$3/(365*100)))*100,1)/100</f>
        <v>-153.56</v>
      </c>
      <c r="R2711" s="9">
        <f t="shared" ca="1" si="143"/>
        <v>-376332.64607368497</v>
      </c>
    </row>
    <row r="2712" spans="7:18" x14ac:dyDescent="0.25">
      <c r="G2712" t="str">
        <f t="shared" si="144"/>
        <v>Insert into BlueCreditTypeRainbow Values (, , , , , )</v>
      </c>
      <c r="N2712" s="4">
        <v>2709</v>
      </c>
      <c r="O2712" s="8">
        <f>$B$7*COUNTIF(Sheet2!$B$1:$B$132,N2712)</f>
        <v>0</v>
      </c>
      <c r="P2712" s="8">
        <f t="shared" ca="1" si="142"/>
        <v>153.62</v>
      </c>
      <c r="Q2712" s="8">
        <f ca="1">CEILING(R2711*(IF(N2712&lt;=IF($B$2=0,0,OFFSET(Sheet2!$B$1,Sheet1!$B$2-1,0)),$B$1/(365*100),$B$3/(365*100)))*100,1)/100</f>
        <v>-153.62</v>
      </c>
      <c r="R2712" s="9">
        <f t="shared" ca="1" si="143"/>
        <v>-376486.26607368496</v>
      </c>
    </row>
    <row r="2713" spans="7:18" x14ac:dyDescent="0.25">
      <c r="G2713" t="str">
        <f t="shared" si="144"/>
        <v>Insert into BlueCreditTypeRainbow Values (, , , , , )</v>
      </c>
      <c r="N2713" s="4">
        <v>2710</v>
      </c>
      <c r="O2713" s="8">
        <f>$B$7*COUNTIF(Sheet2!$B$1:$B$132,N2713)</f>
        <v>0</v>
      </c>
      <c r="P2713" s="8">
        <f t="shared" ca="1" si="142"/>
        <v>153.68</v>
      </c>
      <c r="Q2713" s="8">
        <f ca="1">CEILING(R2712*(IF(N2713&lt;=IF($B$2=0,0,OFFSET(Sheet2!$B$1,Sheet1!$B$2-1,0)),$B$1/(365*100),$B$3/(365*100)))*100,1)/100</f>
        <v>-153.68</v>
      </c>
      <c r="R2713" s="9">
        <f t="shared" ca="1" si="143"/>
        <v>-376639.94607368496</v>
      </c>
    </row>
    <row r="2714" spans="7:18" x14ac:dyDescent="0.25">
      <c r="G2714" t="str">
        <f t="shared" si="144"/>
        <v>Insert into BlueCreditTypeRainbow Values (, , , , , )</v>
      </c>
      <c r="N2714" s="4">
        <v>2711</v>
      </c>
      <c r="O2714" s="8">
        <f>$B$7*COUNTIF(Sheet2!$B$1:$B$132,N2714)</f>
        <v>21157.10552356458</v>
      </c>
      <c r="P2714" s="8">
        <f t="shared" ca="1" si="142"/>
        <v>21310.85552356458</v>
      </c>
      <c r="Q2714" s="8">
        <f ca="1">CEILING(R2713*(IF(N2714&lt;=IF($B$2=0,0,OFFSET(Sheet2!$B$1,Sheet1!$B$2-1,0)),$B$1/(365*100),$B$3/(365*100)))*100,1)/100</f>
        <v>-153.75</v>
      </c>
      <c r="R2714" s="9">
        <f t="shared" ca="1" si="143"/>
        <v>-397950.80159724952</v>
      </c>
    </row>
    <row r="2715" spans="7:18" x14ac:dyDescent="0.25">
      <c r="G2715" t="str">
        <f t="shared" si="144"/>
        <v>Insert into BlueCreditTypeRainbow Values (, , , , , )</v>
      </c>
      <c r="N2715" s="4">
        <v>2712</v>
      </c>
      <c r="O2715" s="8">
        <f>$B$7*COUNTIF(Sheet2!$B$1:$B$132,N2715)</f>
        <v>0</v>
      </c>
      <c r="P2715" s="8">
        <f t="shared" ca="1" si="142"/>
        <v>162.44999999999999</v>
      </c>
      <c r="Q2715" s="8">
        <f ca="1">CEILING(R2714*(IF(N2715&lt;=IF($B$2=0,0,OFFSET(Sheet2!$B$1,Sheet1!$B$2-1,0)),$B$1/(365*100),$B$3/(365*100)))*100,1)/100</f>
        <v>-162.44999999999999</v>
      </c>
      <c r="R2715" s="9">
        <f t="shared" ca="1" si="143"/>
        <v>-398113.25159724953</v>
      </c>
    </row>
    <row r="2716" spans="7:18" x14ac:dyDescent="0.25">
      <c r="G2716" t="str">
        <f t="shared" si="144"/>
        <v>Insert into BlueCreditTypeRainbow Values (, , , , , )</v>
      </c>
      <c r="N2716" s="4">
        <v>2713</v>
      </c>
      <c r="O2716" s="8">
        <f>$B$7*COUNTIF(Sheet2!$B$1:$B$132,N2716)</f>
        <v>0</v>
      </c>
      <c r="P2716" s="8">
        <f t="shared" ca="1" si="142"/>
        <v>162.51</v>
      </c>
      <c r="Q2716" s="8">
        <f ca="1">CEILING(R2715*(IF(N2716&lt;=IF($B$2=0,0,OFFSET(Sheet2!$B$1,Sheet1!$B$2-1,0)),$B$1/(365*100),$B$3/(365*100)))*100,1)/100</f>
        <v>-162.51</v>
      </c>
      <c r="R2716" s="9">
        <f t="shared" ca="1" si="143"/>
        <v>-398275.76159724954</v>
      </c>
    </row>
    <row r="2717" spans="7:18" x14ac:dyDescent="0.25">
      <c r="G2717" t="str">
        <f t="shared" si="144"/>
        <v>Insert into BlueCreditTypeRainbow Values (, , , , , )</v>
      </c>
      <c r="N2717" s="4">
        <v>2714</v>
      </c>
      <c r="O2717" s="8">
        <f>$B$7*COUNTIF(Sheet2!$B$1:$B$132,N2717)</f>
        <v>0</v>
      </c>
      <c r="P2717" s="8">
        <f t="shared" ca="1" si="142"/>
        <v>162.58000000000001</v>
      </c>
      <c r="Q2717" s="8">
        <f ca="1">CEILING(R2716*(IF(N2717&lt;=IF($B$2=0,0,OFFSET(Sheet2!$B$1,Sheet1!$B$2-1,0)),$B$1/(365*100),$B$3/(365*100)))*100,1)/100</f>
        <v>-162.58000000000001</v>
      </c>
      <c r="R2717" s="9">
        <f t="shared" ca="1" si="143"/>
        <v>-398438.34159724956</v>
      </c>
    </row>
    <row r="2718" spans="7:18" x14ac:dyDescent="0.25">
      <c r="G2718" t="str">
        <f t="shared" si="144"/>
        <v>Insert into BlueCreditTypeRainbow Values (, , , , , )</v>
      </c>
      <c r="N2718" s="4">
        <v>2715</v>
      </c>
      <c r="O2718" s="8">
        <f>$B$7*COUNTIF(Sheet2!$B$1:$B$132,N2718)</f>
        <v>0</v>
      </c>
      <c r="P2718" s="8">
        <f t="shared" ca="1" si="142"/>
        <v>162.65</v>
      </c>
      <c r="Q2718" s="8">
        <f ca="1">CEILING(R2717*(IF(N2718&lt;=IF($B$2=0,0,OFFSET(Sheet2!$B$1,Sheet1!$B$2-1,0)),$B$1/(365*100),$B$3/(365*100)))*100,1)/100</f>
        <v>-162.65</v>
      </c>
      <c r="R2718" s="9">
        <f t="shared" ca="1" si="143"/>
        <v>-398600.99159724958</v>
      </c>
    </row>
    <row r="2719" spans="7:18" x14ac:dyDescent="0.25">
      <c r="G2719" t="str">
        <f t="shared" si="144"/>
        <v>Insert into BlueCreditTypeRainbow Values (, , , , , )</v>
      </c>
      <c r="N2719" s="4">
        <v>2716</v>
      </c>
      <c r="O2719" s="8">
        <f>$B$7*COUNTIF(Sheet2!$B$1:$B$132,N2719)</f>
        <v>0</v>
      </c>
      <c r="P2719" s="8">
        <f t="shared" ca="1" si="142"/>
        <v>162.71</v>
      </c>
      <c r="Q2719" s="8">
        <f ca="1">CEILING(R2718*(IF(N2719&lt;=IF($B$2=0,0,OFFSET(Sheet2!$B$1,Sheet1!$B$2-1,0)),$B$1/(365*100),$B$3/(365*100)))*100,1)/100</f>
        <v>-162.71</v>
      </c>
      <c r="R2719" s="9">
        <f t="shared" ca="1" si="143"/>
        <v>-398763.7015972496</v>
      </c>
    </row>
    <row r="2720" spans="7:18" x14ac:dyDescent="0.25">
      <c r="G2720" t="str">
        <f t="shared" si="144"/>
        <v>Insert into BlueCreditTypeRainbow Values (, , , , , )</v>
      </c>
      <c r="N2720" s="4">
        <v>2717</v>
      </c>
      <c r="O2720" s="8">
        <f>$B$7*COUNTIF(Sheet2!$B$1:$B$132,N2720)</f>
        <v>0</v>
      </c>
      <c r="P2720" s="8">
        <f t="shared" ca="1" si="142"/>
        <v>162.78</v>
      </c>
      <c r="Q2720" s="8">
        <f ca="1">CEILING(R2719*(IF(N2720&lt;=IF($B$2=0,0,OFFSET(Sheet2!$B$1,Sheet1!$B$2-1,0)),$B$1/(365*100),$B$3/(365*100)))*100,1)/100</f>
        <v>-162.78</v>
      </c>
      <c r="R2720" s="9">
        <f t="shared" ca="1" si="143"/>
        <v>-398926.48159724963</v>
      </c>
    </row>
    <row r="2721" spans="7:18" x14ac:dyDescent="0.25">
      <c r="G2721" t="str">
        <f t="shared" si="144"/>
        <v>Insert into BlueCreditTypeRainbow Values (, , , , , )</v>
      </c>
      <c r="N2721" s="4">
        <v>2718</v>
      </c>
      <c r="O2721" s="8">
        <f>$B$7*COUNTIF(Sheet2!$B$1:$B$132,N2721)</f>
        <v>0</v>
      </c>
      <c r="P2721" s="8">
        <f t="shared" ca="1" si="142"/>
        <v>162.84</v>
      </c>
      <c r="Q2721" s="8">
        <f ca="1">CEILING(R2720*(IF(N2721&lt;=IF($B$2=0,0,OFFSET(Sheet2!$B$1,Sheet1!$B$2-1,0)),$B$1/(365*100),$B$3/(365*100)))*100,1)/100</f>
        <v>-162.84</v>
      </c>
      <c r="R2721" s="9">
        <f t="shared" ca="1" si="143"/>
        <v>-399089.32159724965</v>
      </c>
    </row>
    <row r="2722" spans="7:18" x14ac:dyDescent="0.25">
      <c r="G2722" t="str">
        <f t="shared" si="144"/>
        <v>Insert into BlueCreditTypeRainbow Values (, , , , , )</v>
      </c>
      <c r="N2722" s="4">
        <v>2719</v>
      </c>
      <c r="O2722" s="8">
        <f>$B$7*COUNTIF(Sheet2!$B$1:$B$132,N2722)</f>
        <v>0</v>
      </c>
      <c r="P2722" s="8">
        <f t="shared" ca="1" si="142"/>
        <v>162.91</v>
      </c>
      <c r="Q2722" s="8">
        <f ca="1">CEILING(R2721*(IF(N2722&lt;=IF($B$2=0,0,OFFSET(Sheet2!$B$1,Sheet1!$B$2-1,0)),$B$1/(365*100),$B$3/(365*100)))*100,1)/100</f>
        <v>-162.91</v>
      </c>
      <c r="R2722" s="9">
        <f t="shared" ca="1" si="143"/>
        <v>-399252.23159724963</v>
      </c>
    </row>
    <row r="2723" spans="7:18" x14ac:dyDescent="0.25">
      <c r="G2723" t="str">
        <f t="shared" si="144"/>
        <v>Insert into BlueCreditTypeRainbow Values (, , , , , )</v>
      </c>
      <c r="N2723" s="4">
        <v>2720</v>
      </c>
      <c r="O2723" s="8">
        <f>$B$7*COUNTIF(Sheet2!$B$1:$B$132,N2723)</f>
        <v>0</v>
      </c>
      <c r="P2723" s="8">
        <f t="shared" ca="1" si="142"/>
        <v>162.97999999999999</v>
      </c>
      <c r="Q2723" s="8">
        <f ca="1">CEILING(R2722*(IF(N2723&lt;=IF($B$2=0,0,OFFSET(Sheet2!$B$1,Sheet1!$B$2-1,0)),$B$1/(365*100),$B$3/(365*100)))*100,1)/100</f>
        <v>-162.97999999999999</v>
      </c>
      <c r="R2723" s="9">
        <f t="shared" ca="1" si="143"/>
        <v>-399415.21159724961</v>
      </c>
    </row>
    <row r="2724" spans="7:18" x14ac:dyDescent="0.25">
      <c r="G2724" t="str">
        <f t="shared" si="144"/>
        <v>Insert into BlueCreditTypeRainbow Values (, , , , , )</v>
      </c>
      <c r="N2724" s="4">
        <v>2721</v>
      </c>
      <c r="O2724" s="8">
        <f>$B$7*COUNTIF(Sheet2!$B$1:$B$132,N2724)</f>
        <v>0</v>
      </c>
      <c r="P2724" s="8">
        <f t="shared" ca="1" si="142"/>
        <v>163.04</v>
      </c>
      <c r="Q2724" s="8">
        <f ca="1">CEILING(R2723*(IF(N2724&lt;=IF($B$2=0,0,OFFSET(Sheet2!$B$1,Sheet1!$B$2-1,0)),$B$1/(365*100),$B$3/(365*100)))*100,1)/100</f>
        <v>-163.04</v>
      </c>
      <c r="R2724" s="9">
        <f t="shared" ca="1" si="143"/>
        <v>-399578.25159724959</v>
      </c>
    </row>
    <row r="2725" spans="7:18" x14ac:dyDescent="0.25">
      <c r="G2725" t="str">
        <f t="shared" si="144"/>
        <v>Insert into BlueCreditTypeRainbow Values (, , , , , )</v>
      </c>
      <c r="N2725" s="4">
        <v>2722</v>
      </c>
      <c r="O2725" s="8">
        <f>$B$7*COUNTIF(Sheet2!$B$1:$B$132,N2725)</f>
        <v>0</v>
      </c>
      <c r="P2725" s="8">
        <f t="shared" ca="1" si="142"/>
        <v>163.11000000000001</v>
      </c>
      <c r="Q2725" s="8">
        <f ca="1">CEILING(R2724*(IF(N2725&lt;=IF($B$2=0,0,OFFSET(Sheet2!$B$1,Sheet1!$B$2-1,0)),$B$1/(365*100),$B$3/(365*100)))*100,1)/100</f>
        <v>-163.11000000000001</v>
      </c>
      <c r="R2725" s="9">
        <f t="shared" ca="1" si="143"/>
        <v>-399741.36159724958</v>
      </c>
    </row>
    <row r="2726" spans="7:18" x14ac:dyDescent="0.25">
      <c r="G2726" t="str">
        <f t="shared" si="144"/>
        <v>Insert into BlueCreditTypeRainbow Values (, , , , , )</v>
      </c>
      <c r="N2726" s="4">
        <v>2723</v>
      </c>
      <c r="O2726" s="8">
        <f>$B$7*COUNTIF(Sheet2!$B$1:$B$132,N2726)</f>
        <v>0</v>
      </c>
      <c r="P2726" s="8">
        <f t="shared" ca="1" si="142"/>
        <v>163.18</v>
      </c>
      <c r="Q2726" s="8">
        <f ca="1">CEILING(R2725*(IF(N2726&lt;=IF($B$2=0,0,OFFSET(Sheet2!$B$1,Sheet1!$B$2-1,0)),$B$1/(365*100),$B$3/(365*100)))*100,1)/100</f>
        <v>-163.18</v>
      </c>
      <c r="R2726" s="9">
        <f t="shared" ca="1" si="143"/>
        <v>-399904.54159724957</v>
      </c>
    </row>
    <row r="2727" spans="7:18" x14ac:dyDescent="0.25">
      <c r="G2727" t="str">
        <f t="shared" si="144"/>
        <v>Insert into BlueCreditTypeRainbow Values (, , , , , )</v>
      </c>
      <c r="N2727" s="4">
        <v>2724</v>
      </c>
      <c r="O2727" s="8">
        <f>$B$7*COUNTIF(Sheet2!$B$1:$B$132,N2727)</f>
        <v>0</v>
      </c>
      <c r="P2727" s="8">
        <f t="shared" ca="1" si="142"/>
        <v>163.24</v>
      </c>
      <c r="Q2727" s="8">
        <f ca="1">CEILING(R2726*(IF(N2727&lt;=IF($B$2=0,0,OFFSET(Sheet2!$B$1,Sheet1!$B$2-1,0)),$B$1/(365*100),$B$3/(365*100)))*100,1)/100</f>
        <v>-163.24</v>
      </c>
      <c r="R2727" s="9">
        <f t="shared" ca="1" si="143"/>
        <v>-400067.78159724956</v>
      </c>
    </row>
    <row r="2728" spans="7:18" x14ac:dyDescent="0.25">
      <c r="G2728" t="str">
        <f t="shared" si="144"/>
        <v>Insert into BlueCreditTypeRainbow Values (, , , , , )</v>
      </c>
      <c r="N2728" s="4">
        <v>2725</v>
      </c>
      <c r="O2728" s="8">
        <f>$B$7*COUNTIF(Sheet2!$B$1:$B$132,N2728)</f>
        <v>0</v>
      </c>
      <c r="P2728" s="8">
        <f t="shared" ca="1" si="142"/>
        <v>163.31</v>
      </c>
      <c r="Q2728" s="8">
        <f ca="1">CEILING(R2727*(IF(N2728&lt;=IF($B$2=0,0,OFFSET(Sheet2!$B$1,Sheet1!$B$2-1,0)),$B$1/(365*100),$B$3/(365*100)))*100,1)/100</f>
        <v>-163.31</v>
      </c>
      <c r="R2728" s="9">
        <f t="shared" ca="1" si="143"/>
        <v>-400231.09159724956</v>
      </c>
    </row>
    <row r="2729" spans="7:18" x14ac:dyDescent="0.25">
      <c r="G2729" t="str">
        <f t="shared" si="144"/>
        <v>Insert into BlueCreditTypeRainbow Values (, , , , , )</v>
      </c>
    </row>
    <row r="2730" spans="7:18" x14ac:dyDescent="0.25">
      <c r="G2730" t="str">
        <f t="shared" si="144"/>
        <v>Insert into BlueCreditTypeRainbow Values (, , , , , )</v>
      </c>
    </row>
    <row r="2731" spans="7:18" x14ac:dyDescent="0.25">
      <c r="G2731" t="str">
        <f t="shared" si="144"/>
        <v>Insert into BlueCreditTypeRainbow Values (, , , , , )</v>
      </c>
    </row>
    <row r="2732" spans="7:18" x14ac:dyDescent="0.25">
      <c r="G2732" t="str">
        <f t="shared" si="144"/>
        <v>Insert into BlueCreditTypeRainbow Values (, , , , , )</v>
      </c>
    </row>
    <row r="2733" spans="7:18" x14ac:dyDescent="0.25">
      <c r="G2733" t="str">
        <f t="shared" si="144"/>
        <v>Insert into BlueCreditTypeRainbow Values (, , , , , )</v>
      </c>
    </row>
    <row r="2734" spans="7:18" x14ac:dyDescent="0.25">
      <c r="G2734" t="str">
        <f t="shared" si="144"/>
        <v>Insert into BlueCreditTypeRainbow Values (, , , , , )</v>
      </c>
    </row>
    <row r="2735" spans="7:18" x14ac:dyDescent="0.25">
      <c r="G2735" t="str">
        <f t="shared" si="144"/>
        <v>Insert into BlueCreditTypeRainbow Values (, , , , , )</v>
      </c>
    </row>
    <row r="2736" spans="7:18" x14ac:dyDescent="0.25">
      <c r="G2736" t="str">
        <f t="shared" si="144"/>
        <v>Insert into BlueCreditTypeRainbow Values (, , , , , )</v>
      </c>
    </row>
    <row r="2737" spans="7:7" x14ac:dyDescent="0.25">
      <c r="G2737" t="str">
        <f t="shared" si="144"/>
        <v>Insert into BlueCreditTypeRainbow Values (, , , , , )</v>
      </c>
    </row>
    <row r="2738" spans="7:7" x14ac:dyDescent="0.25">
      <c r="G2738" t="str">
        <f t="shared" si="144"/>
        <v>Insert into BlueCreditTypeRainbow Values (, , , , , )</v>
      </c>
    </row>
    <row r="2739" spans="7:7" x14ac:dyDescent="0.25">
      <c r="G2739" t="str">
        <f t="shared" si="144"/>
        <v>Insert into BlueCreditTypeRainbow Values (, , , , , )</v>
      </c>
    </row>
    <row r="2740" spans="7:7" x14ac:dyDescent="0.25">
      <c r="G2740" t="str">
        <f t="shared" si="144"/>
        <v>Insert into BlueCreditTypeRainbow Values (, , , , , )</v>
      </c>
    </row>
    <row r="2741" spans="7:7" x14ac:dyDescent="0.25">
      <c r="G2741" t="str">
        <f t="shared" si="144"/>
        <v>Insert into BlueCreditTypeRainbow Values (, , , , , )</v>
      </c>
    </row>
    <row r="2742" spans="7:7" x14ac:dyDescent="0.25">
      <c r="G2742" t="str">
        <f t="shared" si="144"/>
        <v>Insert into BlueCreditTypeRainbow Values (, , , , , )</v>
      </c>
    </row>
    <row r="2743" spans="7:7" x14ac:dyDescent="0.25">
      <c r="G2743" t="str">
        <f t="shared" si="144"/>
        <v>Insert into BlueCreditTypeRainbow Values (, , , , , )</v>
      </c>
    </row>
    <row r="2744" spans="7:7" x14ac:dyDescent="0.25">
      <c r="G2744" t="str">
        <f t="shared" si="144"/>
        <v>Insert into BlueCreditTypeRainbow Values (, , , , , )</v>
      </c>
    </row>
    <row r="2745" spans="7:7" x14ac:dyDescent="0.25">
      <c r="G2745" t="str">
        <f t="shared" si="144"/>
        <v>Insert into BlueCreditTypeRainbow Values (, , , , , )</v>
      </c>
    </row>
    <row r="2746" spans="7:7" x14ac:dyDescent="0.25">
      <c r="G2746" t="str">
        <f t="shared" si="144"/>
        <v>Insert into BlueCreditTypeRainbow Values (, , , , , )</v>
      </c>
    </row>
    <row r="2747" spans="7:7" x14ac:dyDescent="0.25">
      <c r="G2747" t="str">
        <f t="shared" si="144"/>
        <v>Insert into BlueCreditTypeRainbow Values (, , , , , )</v>
      </c>
    </row>
    <row r="2748" spans="7:7" x14ac:dyDescent="0.25">
      <c r="G2748" t="str">
        <f t="shared" si="144"/>
        <v>Insert into BlueCreditTypeRainbow Values (, , , , , )</v>
      </c>
    </row>
    <row r="2749" spans="7:7" x14ac:dyDescent="0.25">
      <c r="G2749" t="str">
        <f t="shared" si="144"/>
        <v>Insert into BlueCreditTypeRainbow Values (, , , , , )</v>
      </c>
    </row>
    <row r="2750" spans="7:7" x14ac:dyDescent="0.25">
      <c r="G2750" t="str">
        <f t="shared" si="144"/>
        <v>Insert into BlueCreditTypeRainbow Values (, , , , , )</v>
      </c>
    </row>
    <row r="2751" spans="7:7" x14ac:dyDescent="0.25">
      <c r="G2751" t="str">
        <f t="shared" si="144"/>
        <v>Insert into BlueCreditTypeRainbow Values (, , , , , )</v>
      </c>
    </row>
    <row r="2752" spans="7:7" x14ac:dyDescent="0.25">
      <c r="G2752" t="str">
        <f t="shared" si="144"/>
        <v>Insert into BlueCreditTypeRainbow Values (, , , , , )</v>
      </c>
    </row>
    <row r="2753" spans="7:7" x14ac:dyDescent="0.25">
      <c r="G2753" t="str">
        <f t="shared" si="144"/>
        <v>Insert into BlueCreditTypeRainbow Values (, , , , , )</v>
      </c>
    </row>
    <row r="2754" spans="7:7" x14ac:dyDescent="0.25">
      <c r="G2754" t="str">
        <f t="shared" si="144"/>
        <v>Insert into BlueCreditTypeRainbow Values (, , , , , )</v>
      </c>
    </row>
    <row r="2755" spans="7:7" x14ac:dyDescent="0.25">
      <c r="G2755" t="str">
        <f t="shared" si="144"/>
        <v>Insert into BlueCreditTypeRainbow Values (, , , , , )</v>
      </c>
    </row>
    <row r="2756" spans="7:7" x14ac:dyDescent="0.25">
      <c r="G2756" t="str">
        <f t="shared" si="144"/>
        <v>Insert into BlueCreditTypeRainbow Values (, , , , , )</v>
      </c>
    </row>
    <row r="2757" spans="7:7" x14ac:dyDescent="0.25">
      <c r="G2757" t="str">
        <f t="shared" si="144"/>
        <v>Insert into BlueCreditTypeRainbow Values (, , , , , )</v>
      </c>
    </row>
    <row r="2758" spans="7:7" x14ac:dyDescent="0.25">
      <c r="G2758" t="str">
        <f t="shared" si="144"/>
        <v>Insert into BlueCreditTypeRainbow Values (, , , , , )</v>
      </c>
    </row>
    <row r="2759" spans="7:7" x14ac:dyDescent="0.25">
      <c r="G2759" t="str">
        <f t="shared" si="144"/>
        <v>Insert into BlueCreditTypeRainbow Values (, , , , , )</v>
      </c>
    </row>
    <row r="2760" spans="7:7" x14ac:dyDescent="0.25">
      <c r="G2760" t="str">
        <f t="shared" si="144"/>
        <v>Insert into BlueCreditTypeRainbow Values (, , , , , )</v>
      </c>
    </row>
    <row r="2761" spans="7:7" x14ac:dyDescent="0.25">
      <c r="G2761" t="str">
        <f t="shared" si="144"/>
        <v>Insert into BlueCreditTypeRainbow Values (, , , , , )</v>
      </c>
    </row>
    <row r="2762" spans="7:7" x14ac:dyDescent="0.25">
      <c r="G2762" t="str">
        <f t="shared" si="144"/>
        <v>Insert into BlueCreditTypeRainbow Values (, , , , , )</v>
      </c>
    </row>
    <row r="2763" spans="7:7" x14ac:dyDescent="0.25">
      <c r="G2763" t="str">
        <f t="shared" si="144"/>
        <v>Insert into BlueCreditTypeRainbow Values (, , , , , )</v>
      </c>
    </row>
    <row r="2764" spans="7:7" x14ac:dyDescent="0.25">
      <c r="G2764" t="str">
        <f t="shared" si="144"/>
        <v>Insert into BlueCreditTypeRainbow Values (, , , , , )</v>
      </c>
    </row>
    <row r="2765" spans="7:7" x14ac:dyDescent="0.25">
      <c r="G2765" t="str">
        <f t="shared" si="144"/>
        <v>Insert into BlueCreditTypeRainbow Values (, , , , , )</v>
      </c>
    </row>
    <row r="2766" spans="7:7" x14ac:dyDescent="0.25">
      <c r="G2766" t="str">
        <f t="shared" si="144"/>
        <v>Insert into BlueCreditTypeRainbow Values (, , , , , )</v>
      </c>
    </row>
    <row r="2767" spans="7:7" x14ac:dyDescent="0.25">
      <c r="G2767" t="str">
        <f t="shared" ref="G2767:G2830" si="145">CONCATENATE("Insert into BlueCreditTypeRainbow Values (",A2767,", ",B2767,", ",C2767,", ",D2767,", ",E2767,", ",F2767,")")</f>
        <v>Insert into BlueCreditTypeRainbow Values (, , , , , )</v>
      </c>
    </row>
    <row r="2768" spans="7:7" x14ac:dyDescent="0.25">
      <c r="G2768" t="str">
        <f t="shared" si="145"/>
        <v>Insert into BlueCreditTypeRainbow Values (, , , , , )</v>
      </c>
    </row>
    <row r="2769" spans="7:7" x14ac:dyDescent="0.25">
      <c r="G2769" t="str">
        <f t="shared" si="145"/>
        <v>Insert into BlueCreditTypeRainbow Values (, , , , , )</v>
      </c>
    </row>
    <row r="2770" spans="7:7" x14ac:dyDescent="0.25">
      <c r="G2770" t="str">
        <f t="shared" si="145"/>
        <v>Insert into BlueCreditTypeRainbow Values (, , , , , )</v>
      </c>
    </row>
    <row r="2771" spans="7:7" x14ac:dyDescent="0.25">
      <c r="G2771" t="str">
        <f t="shared" si="145"/>
        <v>Insert into BlueCreditTypeRainbow Values (, , , , , )</v>
      </c>
    </row>
    <row r="2772" spans="7:7" x14ac:dyDescent="0.25">
      <c r="G2772" t="str">
        <f t="shared" si="145"/>
        <v>Insert into BlueCreditTypeRainbow Values (, , , , , )</v>
      </c>
    </row>
    <row r="2773" spans="7:7" x14ac:dyDescent="0.25">
      <c r="G2773" t="str">
        <f t="shared" si="145"/>
        <v>Insert into BlueCreditTypeRainbow Values (, , , , , )</v>
      </c>
    </row>
    <row r="2774" spans="7:7" x14ac:dyDescent="0.25">
      <c r="G2774" t="str">
        <f t="shared" si="145"/>
        <v>Insert into BlueCreditTypeRainbow Values (, , , , , )</v>
      </c>
    </row>
    <row r="2775" spans="7:7" x14ac:dyDescent="0.25">
      <c r="G2775" t="str">
        <f t="shared" si="145"/>
        <v>Insert into BlueCreditTypeRainbow Values (, , , , , )</v>
      </c>
    </row>
    <row r="2776" spans="7:7" x14ac:dyDescent="0.25">
      <c r="G2776" t="str">
        <f t="shared" si="145"/>
        <v>Insert into BlueCreditTypeRainbow Values (, , , , , )</v>
      </c>
    </row>
    <row r="2777" spans="7:7" x14ac:dyDescent="0.25">
      <c r="G2777" t="str">
        <f t="shared" si="145"/>
        <v>Insert into BlueCreditTypeRainbow Values (, , , , , )</v>
      </c>
    </row>
    <row r="2778" spans="7:7" x14ac:dyDescent="0.25">
      <c r="G2778" t="str">
        <f t="shared" si="145"/>
        <v>Insert into BlueCreditTypeRainbow Values (, , , , , )</v>
      </c>
    </row>
    <row r="2779" spans="7:7" x14ac:dyDescent="0.25">
      <c r="G2779" t="str">
        <f t="shared" si="145"/>
        <v>Insert into BlueCreditTypeRainbow Values (, , , , , )</v>
      </c>
    </row>
    <row r="2780" spans="7:7" x14ac:dyDescent="0.25">
      <c r="G2780" t="str">
        <f t="shared" si="145"/>
        <v>Insert into BlueCreditTypeRainbow Values (, , , , , )</v>
      </c>
    </row>
    <row r="2781" spans="7:7" x14ac:dyDescent="0.25">
      <c r="G2781" t="str">
        <f t="shared" si="145"/>
        <v>Insert into BlueCreditTypeRainbow Values (, , , , , )</v>
      </c>
    </row>
    <row r="2782" spans="7:7" x14ac:dyDescent="0.25">
      <c r="G2782" t="str">
        <f t="shared" si="145"/>
        <v>Insert into BlueCreditTypeRainbow Values (, , , , , )</v>
      </c>
    </row>
    <row r="2783" spans="7:7" x14ac:dyDescent="0.25">
      <c r="G2783" t="str">
        <f t="shared" si="145"/>
        <v>Insert into BlueCreditTypeRainbow Values (, , , , , )</v>
      </c>
    </row>
    <row r="2784" spans="7:7" x14ac:dyDescent="0.25">
      <c r="G2784" t="str">
        <f t="shared" si="145"/>
        <v>Insert into BlueCreditTypeRainbow Values (, , , , , )</v>
      </c>
    </row>
    <row r="2785" spans="7:7" x14ac:dyDescent="0.25">
      <c r="G2785" t="str">
        <f t="shared" si="145"/>
        <v>Insert into BlueCreditTypeRainbow Values (, , , , , )</v>
      </c>
    </row>
    <row r="2786" spans="7:7" x14ac:dyDescent="0.25">
      <c r="G2786" t="str">
        <f t="shared" si="145"/>
        <v>Insert into BlueCreditTypeRainbow Values (, , , , , )</v>
      </c>
    </row>
    <row r="2787" spans="7:7" x14ac:dyDescent="0.25">
      <c r="G2787" t="str">
        <f t="shared" si="145"/>
        <v>Insert into BlueCreditTypeRainbow Values (, , , , , )</v>
      </c>
    </row>
    <row r="2788" spans="7:7" x14ac:dyDescent="0.25">
      <c r="G2788" t="str">
        <f t="shared" si="145"/>
        <v>Insert into BlueCreditTypeRainbow Values (, , , , , )</v>
      </c>
    </row>
    <row r="2789" spans="7:7" x14ac:dyDescent="0.25">
      <c r="G2789" t="str">
        <f t="shared" si="145"/>
        <v>Insert into BlueCreditTypeRainbow Values (, , , , , )</v>
      </c>
    </row>
    <row r="2790" spans="7:7" x14ac:dyDescent="0.25">
      <c r="G2790" t="str">
        <f t="shared" si="145"/>
        <v>Insert into BlueCreditTypeRainbow Values (, , , , , )</v>
      </c>
    </row>
    <row r="2791" spans="7:7" x14ac:dyDescent="0.25">
      <c r="G2791" t="str">
        <f t="shared" si="145"/>
        <v>Insert into BlueCreditTypeRainbow Values (, , , , , )</v>
      </c>
    </row>
    <row r="2792" spans="7:7" x14ac:dyDescent="0.25">
      <c r="G2792" t="str">
        <f t="shared" si="145"/>
        <v>Insert into BlueCreditTypeRainbow Values (, , , , , )</v>
      </c>
    </row>
    <row r="2793" spans="7:7" x14ac:dyDescent="0.25">
      <c r="G2793" t="str">
        <f t="shared" si="145"/>
        <v>Insert into BlueCreditTypeRainbow Values (, , , , , )</v>
      </c>
    </row>
    <row r="2794" spans="7:7" x14ac:dyDescent="0.25">
      <c r="G2794" t="str">
        <f t="shared" si="145"/>
        <v>Insert into BlueCreditTypeRainbow Values (, , , , , )</v>
      </c>
    </row>
    <row r="2795" spans="7:7" x14ac:dyDescent="0.25">
      <c r="G2795" t="str">
        <f t="shared" si="145"/>
        <v>Insert into BlueCreditTypeRainbow Values (, , , , , )</v>
      </c>
    </row>
    <row r="2796" spans="7:7" x14ac:dyDescent="0.25">
      <c r="G2796" t="str">
        <f t="shared" si="145"/>
        <v>Insert into BlueCreditTypeRainbow Values (, , , , , )</v>
      </c>
    </row>
    <row r="2797" spans="7:7" x14ac:dyDescent="0.25">
      <c r="G2797" t="str">
        <f t="shared" si="145"/>
        <v>Insert into BlueCreditTypeRainbow Values (, , , , , )</v>
      </c>
    </row>
    <row r="2798" spans="7:7" x14ac:dyDescent="0.25">
      <c r="G2798" t="str">
        <f t="shared" si="145"/>
        <v>Insert into BlueCreditTypeRainbow Values (, , , , , )</v>
      </c>
    </row>
    <row r="2799" spans="7:7" x14ac:dyDescent="0.25">
      <c r="G2799" t="str">
        <f t="shared" si="145"/>
        <v>Insert into BlueCreditTypeRainbow Values (, , , , , )</v>
      </c>
    </row>
    <row r="2800" spans="7:7" x14ac:dyDescent="0.25">
      <c r="G2800" t="str">
        <f t="shared" si="145"/>
        <v>Insert into BlueCreditTypeRainbow Values (, , , , , )</v>
      </c>
    </row>
    <row r="2801" spans="7:7" x14ac:dyDescent="0.25">
      <c r="G2801" t="str">
        <f t="shared" si="145"/>
        <v>Insert into BlueCreditTypeRainbow Values (, , , , , )</v>
      </c>
    </row>
    <row r="2802" spans="7:7" x14ac:dyDescent="0.25">
      <c r="G2802" t="str">
        <f t="shared" si="145"/>
        <v>Insert into BlueCreditTypeRainbow Values (, , , , , )</v>
      </c>
    </row>
    <row r="2803" spans="7:7" x14ac:dyDescent="0.25">
      <c r="G2803" t="str">
        <f t="shared" si="145"/>
        <v>Insert into BlueCreditTypeRainbow Values (, , , , , )</v>
      </c>
    </row>
    <row r="2804" spans="7:7" x14ac:dyDescent="0.25">
      <c r="G2804" t="str">
        <f t="shared" si="145"/>
        <v>Insert into BlueCreditTypeRainbow Values (, , , , , )</v>
      </c>
    </row>
    <row r="2805" spans="7:7" x14ac:dyDescent="0.25">
      <c r="G2805" t="str">
        <f t="shared" si="145"/>
        <v>Insert into BlueCreditTypeRainbow Values (, , , , , )</v>
      </c>
    </row>
    <row r="2806" spans="7:7" x14ac:dyDescent="0.25">
      <c r="G2806" t="str">
        <f t="shared" si="145"/>
        <v>Insert into BlueCreditTypeRainbow Values (, , , , , )</v>
      </c>
    </row>
    <row r="2807" spans="7:7" x14ac:dyDescent="0.25">
      <c r="G2807" t="str">
        <f t="shared" si="145"/>
        <v>Insert into BlueCreditTypeRainbow Values (, , , , , )</v>
      </c>
    </row>
    <row r="2808" spans="7:7" x14ac:dyDescent="0.25">
      <c r="G2808" t="str">
        <f t="shared" si="145"/>
        <v>Insert into BlueCreditTypeRainbow Values (, , , , , )</v>
      </c>
    </row>
    <row r="2809" spans="7:7" x14ac:dyDescent="0.25">
      <c r="G2809" t="str">
        <f t="shared" si="145"/>
        <v>Insert into BlueCreditTypeRainbow Values (, , , , , )</v>
      </c>
    </row>
    <row r="2810" spans="7:7" x14ac:dyDescent="0.25">
      <c r="G2810" t="str">
        <f t="shared" si="145"/>
        <v>Insert into BlueCreditTypeRainbow Values (, , , , , )</v>
      </c>
    </row>
    <row r="2811" spans="7:7" x14ac:dyDescent="0.25">
      <c r="G2811" t="str">
        <f t="shared" si="145"/>
        <v>Insert into BlueCreditTypeRainbow Values (, , , , , )</v>
      </c>
    </row>
    <row r="2812" spans="7:7" x14ac:dyDescent="0.25">
      <c r="G2812" t="str">
        <f t="shared" si="145"/>
        <v>Insert into BlueCreditTypeRainbow Values (, , , , , )</v>
      </c>
    </row>
    <row r="2813" spans="7:7" x14ac:dyDescent="0.25">
      <c r="G2813" t="str">
        <f t="shared" si="145"/>
        <v>Insert into BlueCreditTypeRainbow Values (, , , , , )</v>
      </c>
    </row>
    <row r="2814" spans="7:7" x14ac:dyDescent="0.25">
      <c r="G2814" t="str">
        <f t="shared" si="145"/>
        <v>Insert into BlueCreditTypeRainbow Values (, , , , , )</v>
      </c>
    </row>
    <row r="2815" spans="7:7" x14ac:dyDescent="0.25">
      <c r="G2815" t="str">
        <f t="shared" si="145"/>
        <v>Insert into BlueCreditTypeRainbow Values (, , , , , )</v>
      </c>
    </row>
    <row r="2816" spans="7:7" x14ac:dyDescent="0.25">
      <c r="G2816" t="str">
        <f t="shared" si="145"/>
        <v>Insert into BlueCreditTypeRainbow Values (, , , , , )</v>
      </c>
    </row>
    <row r="2817" spans="7:7" x14ac:dyDescent="0.25">
      <c r="G2817" t="str">
        <f t="shared" si="145"/>
        <v>Insert into BlueCreditTypeRainbow Values (, , , , , )</v>
      </c>
    </row>
    <row r="2818" spans="7:7" x14ac:dyDescent="0.25">
      <c r="G2818" t="str">
        <f t="shared" si="145"/>
        <v>Insert into BlueCreditTypeRainbow Values (, , , , , )</v>
      </c>
    </row>
    <row r="2819" spans="7:7" x14ac:dyDescent="0.25">
      <c r="G2819" t="str">
        <f t="shared" si="145"/>
        <v>Insert into BlueCreditTypeRainbow Values (, , , , , )</v>
      </c>
    </row>
    <row r="2820" spans="7:7" x14ac:dyDescent="0.25">
      <c r="G2820" t="str">
        <f t="shared" si="145"/>
        <v>Insert into BlueCreditTypeRainbow Values (, , , , , )</v>
      </c>
    </row>
    <row r="2821" spans="7:7" x14ac:dyDescent="0.25">
      <c r="G2821" t="str">
        <f t="shared" si="145"/>
        <v>Insert into BlueCreditTypeRainbow Values (, , , , , )</v>
      </c>
    </row>
    <row r="2822" spans="7:7" x14ac:dyDescent="0.25">
      <c r="G2822" t="str">
        <f t="shared" si="145"/>
        <v>Insert into BlueCreditTypeRainbow Values (, , , , , )</v>
      </c>
    </row>
    <row r="2823" spans="7:7" x14ac:dyDescent="0.25">
      <c r="G2823" t="str">
        <f t="shared" si="145"/>
        <v>Insert into BlueCreditTypeRainbow Values (, , , , , )</v>
      </c>
    </row>
    <row r="2824" spans="7:7" x14ac:dyDescent="0.25">
      <c r="G2824" t="str">
        <f t="shared" si="145"/>
        <v>Insert into BlueCreditTypeRainbow Values (, , , , , )</v>
      </c>
    </row>
    <row r="2825" spans="7:7" x14ac:dyDescent="0.25">
      <c r="G2825" t="str">
        <f t="shared" si="145"/>
        <v>Insert into BlueCreditTypeRainbow Values (, , , , , )</v>
      </c>
    </row>
    <row r="2826" spans="7:7" x14ac:dyDescent="0.25">
      <c r="G2826" t="str">
        <f t="shared" si="145"/>
        <v>Insert into BlueCreditTypeRainbow Values (, , , , , )</v>
      </c>
    </row>
    <row r="2827" spans="7:7" x14ac:dyDescent="0.25">
      <c r="G2827" t="str">
        <f t="shared" si="145"/>
        <v>Insert into BlueCreditTypeRainbow Values (, , , , , )</v>
      </c>
    </row>
    <row r="2828" spans="7:7" x14ac:dyDescent="0.25">
      <c r="G2828" t="str">
        <f t="shared" si="145"/>
        <v>Insert into BlueCreditTypeRainbow Values (, , , , , )</v>
      </c>
    </row>
    <row r="2829" spans="7:7" x14ac:dyDescent="0.25">
      <c r="G2829" t="str">
        <f t="shared" si="145"/>
        <v>Insert into BlueCreditTypeRainbow Values (, , , , , )</v>
      </c>
    </row>
    <row r="2830" spans="7:7" x14ac:dyDescent="0.25">
      <c r="G2830" t="str">
        <f t="shared" si="145"/>
        <v>Insert into BlueCreditTypeRainbow Values (, , , , , )</v>
      </c>
    </row>
    <row r="2831" spans="7:7" x14ac:dyDescent="0.25">
      <c r="G2831" t="str">
        <f t="shared" ref="G2831:G2894" si="146">CONCATENATE("Insert into BlueCreditTypeRainbow Values (",A2831,", ",B2831,", ",C2831,", ",D2831,", ",E2831,", ",F2831,")")</f>
        <v>Insert into BlueCreditTypeRainbow Values (, , , , , )</v>
      </c>
    </row>
    <row r="2832" spans="7:7" x14ac:dyDescent="0.25">
      <c r="G2832" t="str">
        <f t="shared" si="146"/>
        <v>Insert into BlueCreditTypeRainbow Values (, , , , , )</v>
      </c>
    </row>
    <row r="2833" spans="7:7" x14ac:dyDescent="0.25">
      <c r="G2833" t="str">
        <f t="shared" si="146"/>
        <v>Insert into BlueCreditTypeRainbow Values (, , , , , )</v>
      </c>
    </row>
    <row r="2834" spans="7:7" x14ac:dyDescent="0.25">
      <c r="G2834" t="str">
        <f t="shared" si="146"/>
        <v>Insert into BlueCreditTypeRainbow Values (, , , , , )</v>
      </c>
    </row>
    <row r="2835" spans="7:7" x14ac:dyDescent="0.25">
      <c r="G2835" t="str">
        <f t="shared" si="146"/>
        <v>Insert into BlueCreditTypeRainbow Values (, , , , , )</v>
      </c>
    </row>
    <row r="2836" spans="7:7" x14ac:dyDescent="0.25">
      <c r="G2836" t="str">
        <f t="shared" si="146"/>
        <v>Insert into BlueCreditTypeRainbow Values (, , , , , )</v>
      </c>
    </row>
    <row r="2837" spans="7:7" x14ac:dyDescent="0.25">
      <c r="G2837" t="str">
        <f t="shared" si="146"/>
        <v>Insert into BlueCreditTypeRainbow Values (, , , , , )</v>
      </c>
    </row>
    <row r="2838" spans="7:7" x14ac:dyDescent="0.25">
      <c r="G2838" t="str">
        <f t="shared" si="146"/>
        <v>Insert into BlueCreditTypeRainbow Values (, , , , , )</v>
      </c>
    </row>
    <row r="2839" spans="7:7" x14ac:dyDescent="0.25">
      <c r="G2839" t="str">
        <f t="shared" si="146"/>
        <v>Insert into BlueCreditTypeRainbow Values (, , , , , )</v>
      </c>
    </row>
    <row r="2840" spans="7:7" x14ac:dyDescent="0.25">
      <c r="G2840" t="str">
        <f t="shared" si="146"/>
        <v>Insert into BlueCreditTypeRainbow Values (, , , , , )</v>
      </c>
    </row>
    <row r="2841" spans="7:7" x14ac:dyDescent="0.25">
      <c r="G2841" t="str">
        <f t="shared" si="146"/>
        <v>Insert into BlueCreditTypeRainbow Values (, , , , , )</v>
      </c>
    </row>
    <row r="2842" spans="7:7" x14ac:dyDescent="0.25">
      <c r="G2842" t="str">
        <f t="shared" si="146"/>
        <v>Insert into BlueCreditTypeRainbow Values (, , , , , )</v>
      </c>
    </row>
    <row r="2843" spans="7:7" x14ac:dyDescent="0.25">
      <c r="G2843" t="str">
        <f t="shared" si="146"/>
        <v>Insert into BlueCreditTypeRainbow Values (, , , , , )</v>
      </c>
    </row>
    <row r="2844" spans="7:7" x14ac:dyDescent="0.25">
      <c r="G2844" t="str">
        <f t="shared" si="146"/>
        <v>Insert into BlueCreditTypeRainbow Values (, , , , , )</v>
      </c>
    </row>
    <row r="2845" spans="7:7" x14ac:dyDescent="0.25">
      <c r="G2845" t="str">
        <f t="shared" si="146"/>
        <v>Insert into BlueCreditTypeRainbow Values (, , , , , )</v>
      </c>
    </row>
    <row r="2846" spans="7:7" x14ac:dyDescent="0.25">
      <c r="G2846" t="str">
        <f t="shared" si="146"/>
        <v>Insert into BlueCreditTypeRainbow Values (, , , , , )</v>
      </c>
    </row>
    <row r="2847" spans="7:7" x14ac:dyDescent="0.25">
      <c r="G2847" t="str">
        <f t="shared" si="146"/>
        <v>Insert into BlueCreditTypeRainbow Values (, , , , , )</v>
      </c>
    </row>
    <row r="2848" spans="7:7" x14ac:dyDescent="0.25">
      <c r="G2848" t="str">
        <f t="shared" si="146"/>
        <v>Insert into BlueCreditTypeRainbow Values (, , , , , )</v>
      </c>
    </row>
    <row r="2849" spans="7:7" x14ac:dyDescent="0.25">
      <c r="G2849" t="str">
        <f t="shared" si="146"/>
        <v>Insert into BlueCreditTypeRainbow Values (, , , , , )</v>
      </c>
    </row>
    <row r="2850" spans="7:7" x14ac:dyDescent="0.25">
      <c r="G2850" t="str">
        <f t="shared" si="146"/>
        <v>Insert into BlueCreditTypeRainbow Values (, , , , , )</v>
      </c>
    </row>
    <row r="2851" spans="7:7" x14ac:dyDescent="0.25">
      <c r="G2851" t="str">
        <f t="shared" si="146"/>
        <v>Insert into BlueCreditTypeRainbow Values (, , , , , )</v>
      </c>
    </row>
    <row r="2852" spans="7:7" x14ac:dyDescent="0.25">
      <c r="G2852" t="str">
        <f t="shared" si="146"/>
        <v>Insert into BlueCreditTypeRainbow Values (, , , , , )</v>
      </c>
    </row>
    <row r="2853" spans="7:7" x14ac:dyDescent="0.25">
      <c r="G2853" t="str">
        <f t="shared" si="146"/>
        <v>Insert into BlueCreditTypeRainbow Values (, , , , , )</v>
      </c>
    </row>
    <row r="2854" spans="7:7" x14ac:dyDescent="0.25">
      <c r="G2854" t="str">
        <f t="shared" si="146"/>
        <v>Insert into BlueCreditTypeRainbow Values (, , , , , )</v>
      </c>
    </row>
    <row r="2855" spans="7:7" x14ac:dyDescent="0.25">
      <c r="G2855" t="str">
        <f t="shared" si="146"/>
        <v>Insert into BlueCreditTypeRainbow Values (, , , , , )</v>
      </c>
    </row>
    <row r="2856" spans="7:7" x14ac:dyDescent="0.25">
      <c r="G2856" t="str">
        <f t="shared" si="146"/>
        <v>Insert into BlueCreditTypeRainbow Values (, , , , , )</v>
      </c>
    </row>
    <row r="2857" spans="7:7" x14ac:dyDescent="0.25">
      <c r="G2857" t="str">
        <f t="shared" si="146"/>
        <v>Insert into BlueCreditTypeRainbow Values (, , , , , )</v>
      </c>
    </row>
    <row r="2858" spans="7:7" x14ac:dyDescent="0.25">
      <c r="G2858" t="str">
        <f t="shared" si="146"/>
        <v>Insert into BlueCreditTypeRainbow Values (, , , , , )</v>
      </c>
    </row>
    <row r="2859" spans="7:7" x14ac:dyDescent="0.25">
      <c r="G2859" t="str">
        <f t="shared" si="146"/>
        <v>Insert into BlueCreditTypeRainbow Values (, , , , , )</v>
      </c>
    </row>
    <row r="2860" spans="7:7" x14ac:dyDescent="0.25">
      <c r="G2860" t="str">
        <f t="shared" si="146"/>
        <v>Insert into BlueCreditTypeRainbow Values (, , , , , )</v>
      </c>
    </row>
    <row r="2861" spans="7:7" x14ac:dyDescent="0.25">
      <c r="G2861" t="str">
        <f t="shared" si="146"/>
        <v>Insert into BlueCreditTypeRainbow Values (, , , , , )</v>
      </c>
    </row>
    <row r="2862" spans="7:7" x14ac:dyDescent="0.25">
      <c r="G2862" t="str">
        <f t="shared" si="146"/>
        <v>Insert into BlueCreditTypeRainbow Values (, , , , , )</v>
      </c>
    </row>
    <row r="2863" spans="7:7" x14ac:dyDescent="0.25">
      <c r="G2863" t="str">
        <f t="shared" si="146"/>
        <v>Insert into BlueCreditTypeRainbow Values (, , , , , )</v>
      </c>
    </row>
    <row r="2864" spans="7:7" x14ac:dyDescent="0.25">
      <c r="G2864" t="str">
        <f t="shared" si="146"/>
        <v>Insert into BlueCreditTypeRainbow Values (, , , , , )</v>
      </c>
    </row>
    <row r="2865" spans="7:7" x14ac:dyDescent="0.25">
      <c r="G2865" t="str">
        <f t="shared" si="146"/>
        <v>Insert into BlueCreditTypeRainbow Values (, , , , , )</v>
      </c>
    </row>
    <row r="2866" spans="7:7" x14ac:dyDescent="0.25">
      <c r="G2866" t="str">
        <f t="shared" si="146"/>
        <v>Insert into BlueCreditTypeRainbow Values (, , , , , )</v>
      </c>
    </row>
    <row r="2867" spans="7:7" x14ac:dyDescent="0.25">
      <c r="G2867" t="str">
        <f t="shared" si="146"/>
        <v>Insert into BlueCreditTypeRainbow Values (, , , , , )</v>
      </c>
    </row>
    <row r="2868" spans="7:7" x14ac:dyDescent="0.25">
      <c r="G2868" t="str">
        <f t="shared" si="146"/>
        <v>Insert into BlueCreditTypeRainbow Values (, , , , , )</v>
      </c>
    </row>
    <row r="2869" spans="7:7" x14ac:dyDescent="0.25">
      <c r="G2869" t="str">
        <f t="shared" si="146"/>
        <v>Insert into BlueCreditTypeRainbow Values (, , , , , )</v>
      </c>
    </row>
    <row r="2870" spans="7:7" x14ac:dyDescent="0.25">
      <c r="G2870" t="str">
        <f t="shared" si="146"/>
        <v>Insert into BlueCreditTypeRainbow Values (, , , , , )</v>
      </c>
    </row>
    <row r="2871" spans="7:7" x14ac:dyDescent="0.25">
      <c r="G2871" t="str">
        <f t="shared" si="146"/>
        <v>Insert into BlueCreditTypeRainbow Values (, , , , , )</v>
      </c>
    </row>
    <row r="2872" spans="7:7" x14ac:dyDescent="0.25">
      <c r="G2872" t="str">
        <f t="shared" si="146"/>
        <v>Insert into BlueCreditTypeRainbow Values (, , , , , )</v>
      </c>
    </row>
    <row r="2873" spans="7:7" x14ac:dyDescent="0.25">
      <c r="G2873" t="str">
        <f t="shared" si="146"/>
        <v>Insert into BlueCreditTypeRainbow Values (, , , , , )</v>
      </c>
    </row>
    <row r="2874" spans="7:7" x14ac:dyDescent="0.25">
      <c r="G2874" t="str">
        <f t="shared" si="146"/>
        <v>Insert into BlueCreditTypeRainbow Values (, , , , , )</v>
      </c>
    </row>
    <row r="2875" spans="7:7" x14ac:dyDescent="0.25">
      <c r="G2875" t="str">
        <f t="shared" si="146"/>
        <v>Insert into BlueCreditTypeRainbow Values (, , , , , )</v>
      </c>
    </row>
    <row r="2876" spans="7:7" x14ac:dyDescent="0.25">
      <c r="G2876" t="str">
        <f t="shared" si="146"/>
        <v>Insert into BlueCreditTypeRainbow Values (, , , , , )</v>
      </c>
    </row>
    <row r="2877" spans="7:7" x14ac:dyDescent="0.25">
      <c r="G2877" t="str">
        <f t="shared" si="146"/>
        <v>Insert into BlueCreditTypeRainbow Values (, , , , , )</v>
      </c>
    </row>
    <row r="2878" spans="7:7" x14ac:dyDescent="0.25">
      <c r="G2878" t="str">
        <f t="shared" si="146"/>
        <v>Insert into BlueCreditTypeRainbow Values (, , , , , )</v>
      </c>
    </row>
    <row r="2879" spans="7:7" x14ac:dyDescent="0.25">
      <c r="G2879" t="str">
        <f t="shared" si="146"/>
        <v>Insert into BlueCreditTypeRainbow Values (, , , , , )</v>
      </c>
    </row>
    <row r="2880" spans="7:7" x14ac:dyDescent="0.25">
      <c r="G2880" t="str">
        <f t="shared" si="146"/>
        <v>Insert into BlueCreditTypeRainbow Values (, , , , , )</v>
      </c>
    </row>
    <row r="2881" spans="7:7" x14ac:dyDescent="0.25">
      <c r="G2881" t="str">
        <f t="shared" si="146"/>
        <v>Insert into BlueCreditTypeRainbow Values (, , , , , )</v>
      </c>
    </row>
    <row r="2882" spans="7:7" x14ac:dyDescent="0.25">
      <c r="G2882" t="str">
        <f t="shared" si="146"/>
        <v>Insert into BlueCreditTypeRainbow Values (, , , , , )</v>
      </c>
    </row>
    <row r="2883" spans="7:7" x14ac:dyDescent="0.25">
      <c r="G2883" t="str">
        <f t="shared" si="146"/>
        <v>Insert into BlueCreditTypeRainbow Values (, , , , , )</v>
      </c>
    </row>
    <row r="2884" spans="7:7" x14ac:dyDescent="0.25">
      <c r="G2884" t="str">
        <f t="shared" si="146"/>
        <v>Insert into BlueCreditTypeRainbow Values (, , , , , )</v>
      </c>
    </row>
    <row r="2885" spans="7:7" x14ac:dyDescent="0.25">
      <c r="G2885" t="str">
        <f t="shared" si="146"/>
        <v>Insert into BlueCreditTypeRainbow Values (, , , , , )</v>
      </c>
    </row>
    <row r="2886" spans="7:7" x14ac:dyDescent="0.25">
      <c r="G2886" t="str">
        <f t="shared" si="146"/>
        <v>Insert into BlueCreditTypeRainbow Values (, , , , , )</v>
      </c>
    </row>
    <row r="2887" spans="7:7" x14ac:dyDescent="0.25">
      <c r="G2887" t="str">
        <f t="shared" si="146"/>
        <v>Insert into BlueCreditTypeRainbow Values (, , , , , )</v>
      </c>
    </row>
    <row r="2888" spans="7:7" x14ac:dyDescent="0.25">
      <c r="G2888" t="str">
        <f t="shared" si="146"/>
        <v>Insert into BlueCreditTypeRainbow Values (, , , , , )</v>
      </c>
    </row>
    <row r="2889" spans="7:7" x14ac:dyDescent="0.25">
      <c r="G2889" t="str">
        <f t="shared" si="146"/>
        <v>Insert into BlueCreditTypeRainbow Values (, , , , , )</v>
      </c>
    </row>
    <row r="2890" spans="7:7" x14ac:dyDescent="0.25">
      <c r="G2890" t="str">
        <f t="shared" si="146"/>
        <v>Insert into BlueCreditTypeRainbow Values (, , , , , )</v>
      </c>
    </row>
    <row r="2891" spans="7:7" x14ac:dyDescent="0.25">
      <c r="G2891" t="str">
        <f t="shared" si="146"/>
        <v>Insert into BlueCreditTypeRainbow Values (, , , , , )</v>
      </c>
    </row>
    <row r="2892" spans="7:7" x14ac:dyDescent="0.25">
      <c r="G2892" t="str">
        <f t="shared" si="146"/>
        <v>Insert into BlueCreditTypeRainbow Values (, , , , , )</v>
      </c>
    </row>
    <row r="2893" spans="7:7" x14ac:dyDescent="0.25">
      <c r="G2893" t="str">
        <f t="shared" si="146"/>
        <v>Insert into BlueCreditTypeRainbow Values (, , , , , )</v>
      </c>
    </row>
    <row r="2894" spans="7:7" x14ac:dyDescent="0.25">
      <c r="G2894" t="str">
        <f t="shared" si="146"/>
        <v>Insert into BlueCreditTypeRainbow Values (, , , , , )</v>
      </c>
    </row>
    <row r="2895" spans="7:7" x14ac:dyDescent="0.25">
      <c r="G2895" t="str">
        <f t="shared" ref="G2895:G2958" si="147">CONCATENATE("Insert into BlueCreditTypeRainbow Values (",A2895,", ",B2895,", ",C2895,", ",D2895,", ",E2895,", ",F2895,")")</f>
        <v>Insert into BlueCreditTypeRainbow Values (, , , , , )</v>
      </c>
    </row>
    <row r="2896" spans="7:7" x14ac:dyDescent="0.25">
      <c r="G2896" t="str">
        <f t="shared" si="147"/>
        <v>Insert into BlueCreditTypeRainbow Values (, , , , , )</v>
      </c>
    </row>
    <row r="2897" spans="7:7" x14ac:dyDescent="0.25">
      <c r="G2897" t="str">
        <f t="shared" si="147"/>
        <v>Insert into BlueCreditTypeRainbow Values (, , , , , )</v>
      </c>
    </row>
    <row r="2898" spans="7:7" x14ac:dyDescent="0.25">
      <c r="G2898" t="str">
        <f t="shared" si="147"/>
        <v>Insert into BlueCreditTypeRainbow Values (, , , , , )</v>
      </c>
    </row>
    <row r="2899" spans="7:7" x14ac:dyDescent="0.25">
      <c r="G2899" t="str">
        <f t="shared" si="147"/>
        <v>Insert into BlueCreditTypeRainbow Values (, , , , , )</v>
      </c>
    </row>
    <row r="2900" spans="7:7" x14ac:dyDescent="0.25">
      <c r="G2900" t="str">
        <f t="shared" si="147"/>
        <v>Insert into BlueCreditTypeRainbow Values (, , , , , )</v>
      </c>
    </row>
    <row r="2901" spans="7:7" x14ac:dyDescent="0.25">
      <c r="G2901" t="str">
        <f t="shared" si="147"/>
        <v>Insert into BlueCreditTypeRainbow Values (, , , , , )</v>
      </c>
    </row>
    <row r="2902" spans="7:7" x14ac:dyDescent="0.25">
      <c r="G2902" t="str">
        <f t="shared" si="147"/>
        <v>Insert into BlueCreditTypeRainbow Values (, , , , , )</v>
      </c>
    </row>
    <row r="2903" spans="7:7" x14ac:dyDescent="0.25">
      <c r="G2903" t="str">
        <f t="shared" si="147"/>
        <v>Insert into BlueCreditTypeRainbow Values (, , , , , )</v>
      </c>
    </row>
    <row r="2904" spans="7:7" x14ac:dyDescent="0.25">
      <c r="G2904" t="str">
        <f t="shared" si="147"/>
        <v>Insert into BlueCreditTypeRainbow Values (, , , , , )</v>
      </c>
    </row>
    <row r="2905" spans="7:7" x14ac:dyDescent="0.25">
      <c r="G2905" t="str">
        <f t="shared" si="147"/>
        <v>Insert into BlueCreditTypeRainbow Values (, , , , , )</v>
      </c>
    </row>
    <row r="2906" spans="7:7" x14ac:dyDescent="0.25">
      <c r="G2906" t="str">
        <f t="shared" si="147"/>
        <v>Insert into BlueCreditTypeRainbow Values (, , , , , )</v>
      </c>
    </row>
    <row r="2907" spans="7:7" x14ac:dyDescent="0.25">
      <c r="G2907" t="str">
        <f t="shared" si="147"/>
        <v>Insert into BlueCreditTypeRainbow Values (, , , , , )</v>
      </c>
    </row>
    <row r="2908" spans="7:7" x14ac:dyDescent="0.25">
      <c r="G2908" t="str">
        <f t="shared" si="147"/>
        <v>Insert into BlueCreditTypeRainbow Values (, , , , , )</v>
      </c>
    </row>
    <row r="2909" spans="7:7" x14ac:dyDescent="0.25">
      <c r="G2909" t="str">
        <f t="shared" si="147"/>
        <v>Insert into BlueCreditTypeRainbow Values (, , , , , )</v>
      </c>
    </row>
    <row r="2910" spans="7:7" x14ac:dyDescent="0.25">
      <c r="G2910" t="str">
        <f t="shared" si="147"/>
        <v>Insert into BlueCreditTypeRainbow Values (, , , , , )</v>
      </c>
    </row>
    <row r="2911" spans="7:7" x14ac:dyDescent="0.25">
      <c r="G2911" t="str">
        <f t="shared" si="147"/>
        <v>Insert into BlueCreditTypeRainbow Values (, , , , , )</v>
      </c>
    </row>
    <row r="2912" spans="7:7" x14ac:dyDescent="0.25">
      <c r="G2912" t="str">
        <f t="shared" si="147"/>
        <v>Insert into BlueCreditTypeRainbow Values (, , , , , )</v>
      </c>
    </row>
    <row r="2913" spans="7:7" x14ac:dyDescent="0.25">
      <c r="G2913" t="str">
        <f t="shared" si="147"/>
        <v>Insert into BlueCreditTypeRainbow Values (, , , , , )</v>
      </c>
    </row>
    <row r="2914" spans="7:7" x14ac:dyDescent="0.25">
      <c r="G2914" t="str">
        <f t="shared" si="147"/>
        <v>Insert into BlueCreditTypeRainbow Values (, , , , , )</v>
      </c>
    </row>
    <row r="2915" spans="7:7" x14ac:dyDescent="0.25">
      <c r="G2915" t="str">
        <f t="shared" si="147"/>
        <v>Insert into BlueCreditTypeRainbow Values (, , , , , )</v>
      </c>
    </row>
    <row r="2916" spans="7:7" x14ac:dyDescent="0.25">
      <c r="G2916" t="str">
        <f t="shared" si="147"/>
        <v>Insert into BlueCreditTypeRainbow Values (, , , , , )</v>
      </c>
    </row>
    <row r="2917" spans="7:7" x14ac:dyDescent="0.25">
      <c r="G2917" t="str">
        <f t="shared" si="147"/>
        <v>Insert into BlueCreditTypeRainbow Values (, , , , , )</v>
      </c>
    </row>
    <row r="2918" spans="7:7" x14ac:dyDescent="0.25">
      <c r="G2918" t="str">
        <f t="shared" si="147"/>
        <v>Insert into BlueCreditTypeRainbow Values (, , , , , )</v>
      </c>
    </row>
    <row r="2919" spans="7:7" x14ac:dyDescent="0.25">
      <c r="G2919" t="str">
        <f t="shared" si="147"/>
        <v>Insert into BlueCreditTypeRainbow Values (, , , , , )</v>
      </c>
    </row>
    <row r="2920" spans="7:7" x14ac:dyDescent="0.25">
      <c r="G2920" t="str">
        <f t="shared" si="147"/>
        <v>Insert into BlueCreditTypeRainbow Values (, , , , , )</v>
      </c>
    </row>
    <row r="2921" spans="7:7" x14ac:dyDescent="0.25">
      <c r="G2921" t="str">
        <f t="shared" si="147"/>
        <v>Insert into BlueCreditTypeRainbow Values (, , , , , )</v>
      </c>
    </row>
    <row r="2922" spans="7:7" x14ac:dyDescent="0.25">
      <c r="G2922" t="str">
        <f t="shared" si="147"/>
        <v>Insert into BlueCreditTypeRainbow Values (, , , , , )</v>
      </c>
    </row>
    <row r="2923" spans="7:7" x14ac:dyDescent="0.25">
      <c r="G2923" t="str">
        <f t="shared" si="147"/>
        <v>Insert into BlueCreditTypeRainbow Values (, , , , , )</v>
      </c>
    </row>
    <row r="2924" spans="7:7" x14ac:dyDescent="0.25">
      <c r="G2924" t="str">
        <f t="shared" si="147"/>
        <v>Insert into BlueCreditTypeRainbow Values (, , , , , )</v>
      </c>
    </row>
    <row r="2925" spans="7:7" x14ac:dyDescent="0.25">
      <c r="G2925" t="str">
        <f t="shared" si="147"/>
        <v>Insert into BlueCreditTypeRainbow Values (, , , , , )</v>
      </c>
    </row>
    <row r="2926" spans="7:7" x14ac:dyDescent="0.25">
      <c r="G2926" t="str">
        <f t="shared" si="147"/>
        <v>Insert into BlueCreditTypeRainbow Values (, , , , , )</v>
      </c>
    </row>
    <row r="2927" spans="7:7" x14ac:dyDescent="0.25">
      <c r="G2927" t="str">
        <f t="shared" si="147"/>
        <v>Insert into BlueCreditTypeRainbow Values (, , , , , )</v>
      </c>
    </row>
    <row r="2928" spans="7:7" x14ac:dyDescent="0.25">
      <c r="G2928" t="str">
        <f t="shared" si="147"/>
        <v>Insert into BlueCreditTypeRainbow Values (, , , , , )</v>
      </c>
    </row>
    <row r="2929" spans="7:7" x14ac:dyDescent="0.25">
      <c r="G2929" t="str">
        <f t="shared" si="147"/>
        <v>Insert into BlueCreditTypeRainbow Values (, , , , , )</v>
      </c>
    </row>
    <row r="2930" spans="7:7" x14ac:dyDescent="0.25">
      <c r="G2930" t="str">
        <f t="shared" si="147"/>
        <v>Insert into BlueCreditTypeRainbow Values (, , , , , )</v>
      </c>
    </row>
    <row r="2931" spans="7:7" x14ac:dyDescent="0.25">
      <c r="G2931" t="str">
        <f t="shared" si="147"/>
        <v>Insert into BlueCreditTypeRainbow Values (, , , , , )</v>
      </c>
    </row>
    <row r="2932" spans="7:7" x14ac:dyDescent="0.25">
      <c r="G2932" t="str">
        <f t="shared" si="147"/>
        <v>Insert into BlueCreditTypeRainbow Values (, , , , , )</v>
      </c>
    </row>
    <row r="2933" spans="7:7" x14ac:dyDescent="0.25">
      <c r="G2933" t="str">
        <f t="shared" si="147"/>
        <v>Insert into BlueCreditTypeRainbow Values (, , , , , )</v>
      </c>
    </row>
    <row r="2934" spans="7:7" x14ac:dyDescent="0.25">
      <c r="G2934" t="str">
        <f t="shared" si="147"/>
        <v>Insert into BlueCreditTypeRainbow Values (, , , , , )</v>
      </c>
    </row>
    <row r="2935" spans="7:7" x14ac:dyDescent="0.25">
      <c r="G2935" t="str">
        <f t="shared" si="147"/>
        <v>Insert into BlueCreditTypeRainbow Values (, , , , , )</v>
      </c>
    </row>
    <row r="2936" spans="7:7" x14ac:dyDescent="0.25">
      <c r="G2936" t="str">
        <f t="shared" si="147"/>
        <v>Insert into BlueCreditTypeRainbow Values (, , , , , )</v>
      </c>
    </row>
    <row r="2937" spans="7:7" x14ac:dyDescent="0.25">
      <c r="G2937" t="str">
        <f t="shared" si="147"/>
        <v>Insert into BlueCreditTypeRainbow Values (, , , , , )</v>
      </c>
    </row>
    <row r="2938" spans="7:7" x14ac:dyDescent="0.25">
      <c r="G2938" t="str">
        <f t="shared" si="147"/>
        <v>Insert into BlueCreditTypeRainbow Values (, , , , , )</v>
      </c>
    </row>
    <row r="2939" spans="7:7" x14ac:dyDescent="0.25">
      <c r="G2939" t="str">
        <f t="shared" si="147"/>
        <v>Insert into BlueCreditTypeRainbow Values (, , , , , )</v>
      </c>
    </row>
    <row r="2940" spans="7:7" x14ac:dyDescent="0.25">
      <c r="G2940" t="str">
        <f t="shared" si="147"/>
        <v>Insert into BlueCreditTypeRainbow Values (, , , , , )</v>
      </c>
    </row>
    <row r="2941" spans="7:7" x14ac:dyDescent="0.25">
      <c r="G2941" t="str">
        <f t="shared" si="147"/>
        <v>Insert into BlueCreditTypeRainbow Values (, , , , , )</v>
      </c>
    </row>
    <row r="2942" spans="7:7" x14ac:dyDescent="0.25">
      <c r="G2942" t="str">
        <f t="shared" si="147"/>
        <v>Insert into BlueCreditTypeRainbow Values (, , , , , )</v>
      </c>
    </row>
    <row r="2943" spans="7:7" x14ac:dyDescent="0.25">
      <c r="G2943" t="str">
        <f t="shared" si="147"/>
        <v>Insert into BlueCreditTypeRainbow Values (, , , , , )</v>
      </c>
    </row>
    <row r="2944" spans="7:7" x14ac:dyDescent="0.25">
      <c r="G2944" t="str">
        <f t="shared" si="147"/>
        <v>Insert into BlueCreditTypeRainbow Values (, , , , , )</v>
      </c>
    </row>
    <row r="2945" spans="7:7" x14ac:dyDescent="0.25">
      <c r="G2945" t="str">
        <f t="shared" si="147"/>
        <v>Insert into BlueCreditTypeRainbow Values (, , , , , )</v>
      </c>
    </row>
    <row r="2946" spans="7:7" x14ac:dyDescent="0.25">
      <c r="G2946" t="str">
        <f t="shared" si="147"/>
        <v>Insert into BlueCreditTypeRainbow Values (, , , , , )</v>
      </c>
    </row>
    <row r="2947" spans="7:7" x14ac:dyDescent="0.25">
      <c r="G2947" t="str">
        <f t="shared" si="147"/>
        <v>Insert into BlueCreditTypeRainbow Values (, , , , , )</v>
      </c>
    </row>
    <row r="2948" spans="7:7" x14ac:dyDescent="0.25">
      <c r="G2948" t="str">
        <f t="shared" si="147"/>
        <v>Insert into BlueCreditTypeRainbow Values (, , , , , )</v>
      </c>
    </row>
    <row r="2949" spans="7:7" x14ac:dyDescent="0.25">
      <c r="G2949" t="str">
        <f t="shared" si="147"/>
        <v>Insert into BlueCreditTypeRainbow Values (, , , , , )</v>
      </c>
    </row>
    <row r="2950" spans="7:7" x14ac:dyDescent="0.25">
      <c r="G2950" t="str">
        <f t="shared" si="147"/>
        <v>Insert into BlueCreditTypeRainbow Values (, , , , , )</v>
      </c>
    </row>
    <row r="2951" spans="7:7" x14ac:dyDescent="0.25">
      <c r="G2951" t="str">
        <f t="shared" si="147"/>
        <v>Insert into BlueCreditTypeRainbow Values (, , , , , )</v>
      </c>
    </row>
    <row r="2952" spans="7:7" x14ac:dyDescent="0.25">
      <c r="G2952" t="str">
        <f t="shared" si="147"/>
        <v>Insert into BlueCreditTypeRainbow Values (, , , , , )</v>
      </c>
    </row>
    <row r="2953" spans="7:7" x14ac:dyDescent="0.25">
      <c r="G2953" t="str">
        <f t="shared" si="147"/>
        <v>Insert into BlueCreditTypeRainbow Values (, , , , , )</v>
      </c>
    </row>
    <row r="2954" spans="7:7" x14ac:dyDescent="0.25">
      <c r="G2954" t="str">
        <f t="shared" si="147"/>
        <v>Insert into BlueCreditTypeRainbow Values (, , , , , )</v>
      </c>
    </row>
    <row r="2955" spans="7:7" x14ac:dyDescent="0.25">
      <c r="G2955" t="str">
        <f t="shared" si="147"/>
        <v>Insert into BlueCreditTypeRainbow Values (, , , , , )</v>
      </c>
    </row>
    <row r="2956" spans="7:7" x14ac:dyDescent="0.25">
      <c r="G2956" t="str">
        <f t="shared" si="147"/>
        <v>Insert into BlueCreditTypeRainbow Values (, , , , , )</v>
      </c>
    </row>
    <row r="2957" spans="7:7" x14ac:dyDescent="0.25">
      <c r="G2957" t="str">
        <f t="shared" si="147"/>
        <v>Insert into BlueCreditTypeRainbow Values (, , , , , )</v>
      </c>
    </row>
    <row r="2958" spans="7:7" x14ac:dyDescent="0.25">
      <c r="G2958" t="str">
        <f t="shared" si="147"/>
        <v>Insert into BlueCreditTypeRainbow Values (, , , , , )</v>
      </c>
    </row>
    <row r="2959" spans="7:7" x14ac:dyDescent="0.25">
      <c r="G2959" t="str">
        <f t="shared" ref="G2959:G3022" si="148">CONCATENATE("Insert into BlueCreditTypeRainbow Values (",A2959,", ",B2959,", ",C2959,", ",D2959,", ",E2959,", ",F2959,")")</f>
        <v>Insert into BlueCreditTypeRainbow Values (, , , , , )</v>
      </c>
    </row>
    <row r="2960" spans="7:7" x14ac:dyDescent="0.25">
      <c r="G2960" t="str">
        <f t="shared" si="148"/>
        <v>Insert into BlueCreditTypeRainbow Values (, , , , , )</v>
      </c>
    </row>
    <row r="2961" spans="7:7" x14ac:dyDescent="0.25">
      <c r="G2961" t="str">
        <f t="shared" si="148"/>
        <v>Insert into BlueCreditTypeRainbow Values (, , , , , )</v>
      </c>
    </row>
    <row r="2962" spans="7:7" x14ac:dyDescent="0.25">
      <c r="G2962" t="str">
        <f t="shared" si="148"/>
        <v>Insert into BlueCreditTypeRainbow Values (, , , , , )</v>
      </c>
    </row>
    <row r="2963" spans="7:7" x14ac:dyDescent="0.25">
      <c r="G2963" t="str">
        <f t="shared" si="148"/>
        <v>Insert into BlueCreditTypeRainbow Values (, , , , , )</v>
      </c>
    </row>
    <row r="2964" spans="7:7" x14ac:dyDescent="0.25">
      <c r="G2964" t="str">
        <f t="shared" si="148"/>
        <v>Insert into BlueCreditTypeRainbow Values (, , , , , )</v>
      </c>
    </row>
    <row r="2965" spans="7:7" x14ac:dyDescent="0.25">
      <c r="G2965" t="str">
        <f t="shared" si="148"/>
        <v>Insert into BlueCreditTypeRainbow Values (, , , , , )</v>
      </c>
    </row>
    <row r="2966" spans="7:7" x14ac:dyDescent="0.25">
      <c r="G2966" t="str">
        <f t="shared" si="148"/>
        <v>Insert into BlueCreditTypeRainbow Values (, , , , , )</v>
      </c>
    </row>
    <row r="2967" spans="7:7" x14ac:dyDescent="0.25">
      <c r="G2967" t="str">
        <f t="shared" si="148"/>
        <v>Insert into BlueCreditTypeRainbow Values (, , , , , )</v>
      </c>
    </row>
    <row r="2968" spans="7:7" x14ac:dyDescent="0.25">
      <c r="G2968" t="str">
        <f t="shared" si="148"/>
        <v>Insert into BlueCreditTypeRainbow Values (, , , , , )</v>
      </c>
    </row>
    <row r="2969" spans="7:7" x14ac:dyDescent="0.25">
      <c r="G2969" t="str">
        <f t="shared" si="148"/>
        <v>Insert into BlueCreditTypeRainbow Values (, , , , , )</v>
      </c>
    </row>
    <row r="2970" spans="7:7" x14ac:dyDescent="0.25">
      <c r="G2970" t="str">
        <f t="shared" si="148"/>
        <v>Insert into BlueCreditTypeRainbow Values (, , , , , )</v>
      </c>
    </row>
    <row r="2971" spans="7:7" x14ac:dyDescent="0.25">
      <c r="G2971" t="str">
        <f t="shared" si="148"/>
        <v>Insert into BlueCreditTypeRainbow Values (, , , , , )</v>
      </c>
    </row>
    <row r="2972" spans="7:7" x14ac:dyDescent="0.25">
      <c r="G2972" t="str">
        <f t="shared" si="148"/>
        <v>Insert into BlueCreditTypeRainbow Values (, , , , , )</v>
      </c>
    </row>
    <row r="2973" spans="7:7" x14ac:dyDescent="0.25">
      <c r="G2973" t="str">
        <f t="shared" si="148"/>
        <v>Insert into BlueCreditTypeRainbow Values (, , , , , )</v>
      </c>
    </row>
    <row r="2974" spans="7:7" x14ac:dyDescent="0.25">
      <c r="G2974" t="str">
        <f t="shared" si="148"/>
        <v>Insert into BlueCreditTypeRainbow Values (, , , , , )</v>
      </c>
    </row>
    <row r="2975" spans="7:7" x14ac:dyDescent="0.25">
      <c r="G2975" t="str">
        <f t="shared" si="148"/>
        <v>Insert into BlueCreditTypeRainbow Values (, , , , , )</v>
      </c>
    </row>
    <row r="2976" spans="7:7" x14ac:dyDescent="0.25">
      <c r="G2976" t="str">
        <f t="shared" si="148"/>
        <v>Insert into BlueCreditTypeRainbow Values (, , , , , )</v>
      </c>
    </row>
    <row r="2977" spans="7:7" x14ac:dyDescent="0.25">
      <c r="G2977" t="str">
        <f t="shared" si="148"/>
        <v>Insert into BlueCreditTypeRainbow Values (, , , , , )</v>
      </c>
    </row>
    <row r="2978" spans="7:7" x14ac:dyDescent="0.25">
      <c r="G2978" t="str">
        <f t="shared" si="148"/>
        <v>Insert into BlueCreditTypeRainbow Values (, , , , , )</v>
      </c>
    </row>
    <row r="2979" spans="7:7" x14ac:dyDescent="0.25">
      <c r="G2979" t="str">
        <f t="shared" si="148"/>
        <v>Insert into BlueCreditTypeRainbow Values (, , , , , )</v>
      </c>
    </row>
    <row r="2980" spans="7:7" x14ac:dyDescent="0.25">
      <c r="G2980" t="str">
        <f t="shared" si="148"/>
        <v>Insert into BlueCreditTypeRainbow Values (, , , , , )</v>
      </c>
    </row>
    <row r="2981" spans="7:7" x14ac:dyDescent="0.25">
      <c r="G2981" t="str">
        <f t="shared" si="148"/>
        <v>Insert into BlueCreditTypeRainbow Values (, , , , , )</v>
      </c>
    </row>
    <row r="2982" spans="7:7" x14ac:dyDescent="0.25">
      <c r="G2982" t="str">
        <f t="shared" si="148"/>
        <v>Insert into BlueCreditTypeRainbow Values (, , , , , )</v>
      </c>
    </row>
    <row r="2983" spans="7:7" x14ac:dyDescent="0.25">
      <c r="G2983" t="str">
        <f t="shared" si="148"/>
        <v>Insert into BlueCreditTypeRainbow Values (, , , , , )</v>
      </c>
    </row>
    <row r="2984" spans="7:7" x14ac:dyDescent="0.25">
      <c r="G2984" t="str">
        <f t="shared" si="148"/>
        <v>Insert into BlueCreditTypeRainbow Values (, , , , , )</v>
      </c>
    </row>
    <row r="2985" spans="7:7" x14ac:dyDescent="0.25">
      <c r="G2985" t="str">
        <f t="shared" si="148"/>
        <v>Insert into BlueCreditTypeRainbow Values (, , , , , )</v>
      </c>
    </row>
    <row r="2986" spans="7:7" x14ac:dyDescent="0.25">
      <c r="G2986" t="str">
        <f t="shared" si="148"/>
        <v>Insert into BlueCreditTypeRainbow Values (, , , , , )</v>
      </c>
    </row>
    <row r="2987" spans="7:7" x14ac:dyDescent="0.25">
      <c r="G2987" t="str">
        <f t="shared" si="148"/>
        <v>Insert into BlueCreditTypeRainbow Values (, , , , , )</v>
      </c>
    </row>
    <row r="2988" spans="7:7" x14ac:dyDescent="0.25">
      <c r="G2988" t="str">
        <f t="shared" si="148"/>
        <v>Insert into BlueCreditTypeRainbow Values (, , , , , )</v>
      </c>
    </row>
    <row r="2989" spans="7:7" x14ac:dyDescent="0.25">
      <c r="G2989" t="str">
        <f t="shared" si="148"/>
        <v>Insert into BlueCreditTypeRainbow Values (, , , , , )</v>
      </c>
    </row>
    <row r="2990" spans="7:7" x14ac:dyDescent="0.25">
      <c r="G2990" t="str">
        <f t="shared" si="148"/>
        <v>Insert into BlueCreditTypeRainbow Values (, , , , , )</v>
      </c>
    </row>
    <row r="2991" spans="7:7" x14ac:dyDescent="0.25">
      <c r="G2991" t="str">
        <f t="shared" si="148"/>
        <v>Insert into BlueCreditTypeRainbow Values (, , , , , )</v>
      </c>
    </row>
    <row r="2992" spans="7:7" x14ac:dyDescent="0.25">
      <c r="G2992" t="str">
        <f t="shared" si="148"/>
        <v>Insert into BlueCreditTypeRainbow Values (, , , , , )</v>
      </c>
    </row>
    <row r="2993" spans="7:7" x14ac:dyDescent="0.25">
      <c r="G2993" t="str">
        <f t="shared" si="148"/>
        <v>Insert into BlueCreditTypeRainbow Values (, , , , , )</v>
      </c>
    </row>
    <row r="2994" spans="7:7" x14ac:dyDescent="0.25">
      <c r="G2994" t="str">
        <f t="shared" si="148"/>
        <v>Insert into BlueCreditTypeRainbow Values (, , , , , )</v>
      </c>
    </row>
    <row r="2995" spans="7:7" x14ac:dyDescent="0.25">
      <c r="G2995" t="str">
        <f t="shared" si="148"/>
        <v>Insert into BlueCreditTypeRainbow Values (, , , , , )</v>
      </c>
    </row>
    <row r="2996" spans="7:7" x14ac:dyDescent="0.25">
      <c r="G2996" t="str">
        <f t="shared" si="148"/>
        <v>Insert into BlueCreditTypeRainbow Values (, , , , , )</v>
      </c>
    </row>
    <row r="2997" spans="7:7" x14ac:dyDescent="0.25">
      <c r="G2997" t="str">
        <f t="shared" si="148"/>
        <v>Insert into BlueCreditTypeRainbow Values (, , , , , )</v>
      </c>
    </row>
    <row r="2998" spans="7:7" x14ac:dyDescent="0.25">
      <c r="G2998" t="str">
        <f t="shared" si="148"/>
        <v>Insert into BlueCreditTypeRainbow Values (, , , , , )</v>
      </c>
    </row>
    <row r="2999" spans="7:7" x14ac:dyDescent="0.25">
      <c r="G2999" t="str">
        <f t="shared" si="148"/>
        <v>Insert into BlueCreditTypeRainbow Values (, , , , , )</v>
      </c>
    </row>
    <row r="3000" spans="7:7" x14ac:dyDescent="0.25">
      <c r="G3000" t="str">
        <f t="shared" si="148"/>
        <v>Insert into BlueCreditTypeRainbow Values (, , , , , )</v>
      </c>
    </row>
    <row r="3001" spans="7:7" x14ac:dyDescent="0.25">
      <c r="G3001" t="str">
        <f t="shared" si="148"/>
        <v>Insert into BlueCreditTypeRainbow Values (, , , , , )</v>
      </c>
    </row>
    <row r="3002" spans="7:7" x14ac:dyDescent="0.25">
      <c r="G3002" t="str">
        <f t="shared" si="148"/>
        <v>Insert into BlueCreditTypeRainbow Values (, , , , , )</v>
      </c>
    </row>
    <row r="3003" spans="7:7" x14ac:dyDescent="0.25">
      <c r="G3003" t="str">
        <f t="shared" si="148"/>
        <v>Insert into BlueCreditTypeRainbow Values (, , , , , )</v>
      </c>
    </row>
    <row r="3004" spans="7:7" x14ac:dyDescent="0.25">
      <c r="G3004" t="str">
        <f t="shared" si="148"/>
        <v>Insert into BlueCreditTypeRainbow Values (, , , , , )</v>
      </c>
    </row>
    <row r="3005" spans="7:7" x14ac:dyDescent="0.25">
      <c r="G3005" t="str">
        <f t="shared" si="148"/>
        <v>Insert into BlueCreditTypeRainbow Values (, , , , , )</v>
      </c>
    </row>
    <row r="3006" spans="7:7" x14ac:dyDescent="0.25">
      <c r="G3006" t="str">
        <f t="shared" si="148"/>
        <v>Insert into BlueCreditTypeRainbow Values (, , , , , )</v>
      </c>
    </row>
    <row r="3007" spans="7:7" x14ac:dyDescent="0.25">
      <c r="G3007" t="str">
        <f t="shared" si="148"/>
        <v>Insert into BlueCreditTypeRainbow Values (, , , , , )</v>
      </c>
    </row>
    <row r="3008" spans="7:7" x14ac:dyDescent="0.25">
      <c r="G3008" t="str">
        <f t="shared" si="148"/>
        <v>Insert into BlueCreditTypeRainbow Values (, , , , , )</v>
      </c>
    </row>
    <row r="3009" spans="7:7" x14ac:dyDescent="0.25">
      <c r="G3009" t="str">
        <f t="shared" si="148"/>
        <v>Insert into BlueCreditTypeRainbow Values (, , , , , )</v>
      </c>
    </row>
    <row r="3010" spans="7:7" x14ac:dyDescent="0.25">
      <c r="G3010" t="str">
        <f t="shared" si="148"/>
        <v>Insert into BlueCreditTypeRainbow Values (, , , , , )</v>
      </c>
    </row>
    <row r="3011" spans="7:7" x14ac:dyDescent="0.25">
      <c r="G3011" t="str">
        <f t="shared" si="148"/>
        <v>Insert into BlueCreditTypeRainbow Values (, , , , , )</v>
      </c>
    </row>
    <row r="3012" spans="7:7" x14ac:dyDescent="0.25">
      <c r="G3012" t="str">
        <f t="shared" si="148"/>
        <v>Insert into BlueCreditTypeRainbow Values (, , , , , )</v>
      </c>
    </row>
    <row r="3013" spans="7:7" x14ac:dyDescent="0.25">
      <c r="G3013" t="str">
        <f t="shared" si="148"/>
        <v>Insert into BlueCreditTypeRainbow Values (, , , , , )</v>
      </c>
    </row>
    <row r="3014" spans="7:7" x14ac:dyDescent="0.25">
      <c r="G3014" t="str">
        <f t="shared" si="148"/>
        <v>Insert into BlueCreditTypeRainbow Values (, , , , , )</v>
      </c>
    </row>
    <row r="3015" spans="7:7" x14ac:dyDescent="0.25">
      <c r="G3015" t="str">
        <f t="shared" si="148"/>
        <v>Insert into BlueCreditTypeRainbow Values (, , , , , )</v>
      </c>
    </row>
    <row r="3016" spans="7:7" x14ac:dyDescent="0.25">
      <c r="G3016" t="str">
        <f t="shared" si="148"/>
        <v>Insert into BlueCreditTypeRainbow Values (, , , , , )</v>
      </c>
    </row>
    <row r="3017" spans="7:7" x14ac:dyDescent="0.25">
      <c r="G3017" t="str">
        <f t="shared" si="148"/>
        <v>Insert into BlueCreditTypeRainbow Values (, , , , , )</v>
      </c>
    </row>
    <row r="3018" spans="7:7" x14ac:dyDescent="0.25">
      <c r="G3018" t="str">
        <f t="shared" si="148"/>
        <v>Insert into BlueCreditTypeRainbow Values (, , , , , )</v>
      </c>
    </row>
    <row r="3019" spans="7:7" x14ac:dyDescent="0.25">
      <c r="G3019" t="str">
        <f t="shared" si="148"/>
        <v>Insert into BlueCreditTypeRainbow Values (, , , , , )</v>
      </c>
    </row>
    <row r="3020" spans="7:7" x14ac:dyDescent="0.25">
      <c r="G3020" t="str">
        <f t="shared" si="148"/>
        <v>Insert into BlueCreditTypeRainbow Values (, , , , , )</v>
      </c>
    </row>
    <row r="3021" spans="7:7" x14ac:dyDescent="0.25">
      <c r="G3021" t="str">
        <f t="shared" si="148"/>
        <v>Insert into BlueCreditTypeRainbow Values (, , , , , )</v>
      </c>
    </row>
    <row r="3022" spans="7:7" x14ac:dyDescent="0.25">
      <c r="G3022" t="str">
        <f t="shared" si="148"/>
        <v>Insert into BlueCreditTypeRainbow Values (, , , , , )</v>
      </c>
    </row>
    <row r="3023" spans="7:7" x14ac:dyDescent="0.25">
      <c r="G3023" t="str">
        <f t="shared" ref="G3023:G3086" si="149">CONCATENATE("Insert into BlueCreditTypeRainbow Values (",A3023,", ",B3023,", ",C3023,", ",D3023,", ",E3023,", ",F3023,")")</f>
        <v>Insert into BlueCreditTypeRainbow Values (, , , , , )</v>
      </c>
    </row>
    <row r="3024" spans="7:7" x14ac:dyDescent="0.25">
      <c r="G3024" t="str">
        <f t="shared" si="149"/>
        <v>Insert into BlueCreditTypeRainbow Values (, , , , , )</v>
      </c>
    </row>
    <row r="3025" spans="7:7" x14ac:dyDescent="0.25">
      <c r="G3025" t="str">
        <f t="shared" si="149"/>
        <v>Insert into BlueCreditTypeRainbow Values (, , , , , )</v>
      </c>
    </row>
    <row r="3026" spans="7:7" x14ac:dyDescent="0.25">
      <c r="G3026" t="str">
        <f t="shared" si="149"/>
        <v>Insert into BlueCreditTypeRainbow Values (, , , , , )</v>
      </c>
    </row>
    <row r="3027" spans="7:7" x14ac:dyDescent="0.25">
      <c r="G3027" t="str">
        <f t="shared" si="149"/>
        <v>Insert into BlueCreditTypeRainbow Values (, , , , , )</v>
      </c>
    </row>
    <row r="3028" spans="7:7" x14ac:dyDescent="0.25">
      <c r="G3028" t="str">
        <f t="shared" si="149"/>
        <v>Insert into BlueCreditTypeRainbow Values (, , , , , )</v>
      </c>
    </row>
    <row r="3029" spans="7:7" x14ac:dyDescent="0.25">
      <c r="G3029" t="str">
        <f t="shared" si="149"/>
        <v>Insert into BlueCreditTypeRainbow Values (, , , , , )</v>
      </c>
    </row>
    <row r="3030" spans="7:7" x14ac:dyDescent="0.25">
      <c r="G3030" t="str">
        <f t="shared" si="149"/>
        <v>Insert into BlueCreditTypeRainbow Values (, , , , , )</v>
      </c>
    </row>
    <row r="3031" spans="7:7" x14ac:dyDescent="0.25">
      <c r="G3031" t="str">
        <f t="shared" si="149"/>
        <v>Insert into BlueCreditTypeRainbow Values (, , , , , )</v>
      </c>
    </row>
    <row r="3032" spans="7:7" x14ac:dyDescent="0.25">
      <c r="G3032" t="str">
        <f t="shared" si="149"/>
        <v>Insert into BlueCreditTypeRainbow Values (, , , , , )</v>
      </c>
    </row>
    <row r="3033" spans="7:7" x14ac:dyDescent="0.25">
      <c r="G3033" t="str">
        <f t="shared" si="149"/>
        <v>Insert into BlueCreditTypeRainbow Values (, , , , , )</v>
      </c>
    </row>
    <row r="3034" spans="7:7" x14ac:dyDescent="0.25">
      <c r="G3034" t="str">
        <f t="shared" si="149"/>
        <v>Insert into BlueCreditTypeRainbow Values (, , , , , )</v>
      </c>
    </row>
    <row r="3035" spans="7:7" x14ac:dyDescent="0.25">
      <c r="G3035" t="str">
        <f t="shared" si="149"/>
        <v>Insert into BlueCreditTypeRainbow Values (, , , , , )</v>
      </c>
    </row>
    <row r="3036" spans="7:7" x14ac:dyDescent="0.25">
      <c r="G3036" t="str">
        <f t="shared" si="149"/>
        <v>Insert into BlueCreditTypeRainbow Values (, , , , , )</v>
      </c>
    </row>
    <row r="3037" spans="7:7" x14ac:dyDescent="0.25">
      <c r="G3037" t="str">
        <f t="shared" si="149"/>
        <v>Insert into BlueCreditTypeRainbow Values (, , , , , )</v>
      </c>
    </row>
    <row r="3038" spans="7:7" x14ac:dyDescent="0.25">
      <c r="G3038" t="str">
        <f t="shared" si="149"/>
        <v>Insert into BlueCreditTypeRainbow Values (, , , , , )</v>
      </c>
    </row>
    <row r="3039" spans="7:7" x14ac:dyDescent="0.25">
      <c r="G3039" t="str">
        <f t="shared" si="149"/>
        <v>Insert into BlueCreditTypeRainbow Values (, , , , , )</v>
      </c>
    </row>
    <row r="3040" spans="7:7" x14ac:dyDescent="0.25">
      <c r="G3040" t="str">
        <f t="shared" si="149"/>
        <v>Insert into BlueCreditTypeRainbow Values (, , , , , )</v>
      </c>
    </row>
    <row r="3041" spans="7:7" x14ac:dyDescent="0.25">
      <c r="G3041" t="str">
        <f t="shared" si="149"/>
        <v>Insert into BlueCreditTypeRainbow Values (, , , , , )</v>
      </c>
    </row>
    <row r="3042" spans="7:7" x14ac:dyDescent="0.25">
      <c r="G3042" t="str">
        <f t="shared" si="149"/>
        <v>Insert into BlueCreditTypeRainbow Values (, , , , , )</v>
      </c>
    </row>
    <row r="3043" spans="7:7" x14ac:dyDescent="0.25">
      <c r="G3043" t="str">
        <f t="shared" si="149"/>
        <v>Insert into BlueCreditTypeRainbow Values (, , , , , )</v>
      </c>
    </row>
    <row r="3044" spans="7:7" x14ac:dyDescent="0.25">
      <c r="G3044" t="str">
        <f t="shared" si="149"/>
        <v>Insert into BlueCreditTypeRainbow Values (, , , , , )</v>
      </c>
    </row>
    <row r="3045" spans="7:7" x14ac:dyDescent="0.25">
      <c r="G3045" t="str">
        <f t="shared" si="149"/>
        <v>Insert into BlueCreditTypeRainbow Values (, , , , , )</v>
      </c>
    </row>
    <row r="3046" spans="7:7" x14ac:dyDescent="0.25">
      <c r="G3046" t="str">
        <f t="shared" si="149"/>
        <v>Insert into BlueCreditTypeRainbow Values (, , , , , )</v>
      </c>
    </row>
    <row r="3047" spans="7:7" x14ac:dyDescent="0.25">
      <c r="G3047" t="str">
        <f t="shared" si="149"/>
        <v>Insert into BlueCreditTypeRainbow Values (, , , , , )</v>
      </c>
    </row>
    <row r="3048" spans="7:7" x14ac:dyDescent="0.25">
      <c r="G3048" t="str">
        <f t="shared" si="149"/>
        <v>Insert into BlueCreditTypeRainbow Values (, , , , , )</v>
      </c>
    </row>
    <row r="3049" spans="7:7" x14ac:dyDescent="0.25">
      <c r="G3049" t="str">
        <f t="shared" si="149"/>
        <v>Insert into BlueCreditTypeRainbow Values (, , , , , )</v>
      </c>
    </row>
    <row r="3050" spans="7:7" x14ac:dyDescent="0.25">
      <c r="G3050" t="str">
        <f t="shared" si="149"/>
        <v>Insert into BlueCreditTypeRainbow Values (, , , , , )</v>
      </c>
    </row>
    <row r="3051" spans="7:7" x14ac:dyDescent="0.25">
      <c r="G3051" t="str">
        <f t="shared" si="149"/>
        <v>Insert into BlueCreditTypeRainbow Values (, , , , , )</v>
      </c>
    </row>
    <row r="3052" spans="7:7" x14ac:dyDescent="0.25">
      <c r="G3052" t="str">
        <f t="shared" si="149"/>
        <v>Insert into BlueCreditTypeRainbow Values (, , , , , )</v>
      </c>
    </row>
    <row r="3053" spans="7:7" x14ac:dyDescent="0.25">
      <c r="G3053" t="str">
        <f t="shared" si="149"/>
        <v>Insert into BlueCreditTypeRainbow Values (, , , , , )</v>
      </c>
    </row>
    <row r="3054" spans="7:7" x14ac:dyDescent="0.25">
      <c r="G3054" t="str">
        <f t="shared" si="149"/>
        <v>Insert into BlueCreditTypeRainbow Values (, , , , , )</v>
      </c>
    </row>
    <row r="3055" spans="7:7" x14ac:dyDescent="0.25">
      <c r="G3055" t="str">
        <f t="shared" si="149"/>
        <v>Insert into BlueCreditTypeRainbow Values (, , , , , )</v>
      </c>
    </row>
    <row r="3056" spans="7:7" x14ac:dyDescent="0.25">
      <c r="G3056" t="str">
        <f t="shared" si="149"/>
        <v>Insert into BlueCreditTypeRainbow Values (, , , , , )</v>
      </c>
    </row>
    <row r="3057" spans="7:7" x14ac:dyDescent="0.25">
      <c r="G3057" t="str">
        <f t="shared" si="149"/>
        <v>Insert into BlueCreditTypeRainbow Values (, , , , , )</v>
      </c>
    </row>
    <row r="3058" spans="7:7" x14ac:dyDescent="0.25">
      <c r="G3058" t="str">
        <f t="shared" si="149"/>
        <v>Insert into BlueCreditTypeRainbow Values (, , , , , )</v>
      </c>
    </row>
    <row r="3059" spans="7:7" x14ac:dyDescent="0.25">
      <c r="G3059" t="str">
        <f t="shared" si="149"/>
        <v>Insert into BlueCreditTypeRainbow Values (, , , , , )</v>
      </c>
    </row>
    <row r="3060" spans="7:7" x14ac:dyDescent="0.25">
      <c r="G3060" t="str">
        <f t="shared" si="149"/>
        <v>Insert into BlueCreditTypeRainbow Values (, , , , , )</v>
      </c>
    </row>
    <row r="3061" spans="7:7" x14ac:dyDescent="0.25">
      <c r="G3061" t="str">
        <f t="shared" si="149"/>
        <v>Insert into BlueCreditTypeRainbow Values (, , , , , )</v>
      </c>
    </row>
    <row r="3062" spans="7:7" x14ac:dyDescent="0.25">
      <c r="G3062" t="str">
        <f t="shared" si="149"/>
        <v>Insert into BlueCreditTypeRainbow Values (, , , , , )</v>
      </c>
    </row>
    <row r="3063" spans="7:7" x14ac:dyDescent="0.25">
      <c r="G3063" t="str">
        <f t="shared" si="149"/>
        <v>Insert into BlueCreditTypeRainbow Values (, , , , , )</v>
      </c>
    </row>
    <row r="3064" spans="7:7" x14ac:dyDescent="0.25">
      <c r="G3064" t="str">
        <f t="shared" si="149"/>
        <v>Insert into BlueCreditTypeRainbow Values (, , , , , )</v>
      </c>
    </row>
    <row r="3065" spans="7:7" x14ac:dyDescent="0.25">
      <c r="G3065" t="str">
        <f t="shared" si="149"/>
        <v>Insert into BlueCreditTypeRainbow Values (, , , , , )</v>
      </c>
    </row>
    <row r="3066" spans="7:7" x14ac:dyDescent="0.25">
      <c r="G3066" t="str">
        <f t="shared" si="149"/>
        <v>Insert into BlueCreditTypeRainbow Values (, , , , , )</v>
      </c>
    </row>
    <row r="3067" spans="7:7" x14ac:dyDescent="0.25">
      <c r="G3067" t="str">
        <f t="shared" si="149"/>
        <v>Insert into BlueCreditTypeRainbow Values (, , , , , )</v>
      </c>
    </row>
    <row r="3068" spans="7:7" x14ac:dyDescent="0.25">
      <c r="G3068" t="str">
        <f t="shared" si="149"/>
        <v>Insert into BlueCreditTypeRainbow Values (, , , , , )</v>
      </c>
    </row>
    <row r="3069" spans="7:7" x14ac:dyDescent="0.25">
      <c r="G3069" t="str">
        <f t="shared" si="149"/>
        <v>Insert into BlueCreditTypeRainbow Values (, , , , , )</v>
      </c>
    </row>
    <row r="3070" spans="7:7" x14ac:dyDescent="0.25">
      <c r="G3070" t="str">
        <f t="shared" si="149"/>
        <v>Insert into BlueCreditTypeRainbow Values (, , , , , )</v>
      </c>
    </row>
    <row r="3071" spans="7:7" x14ac:dyDescent="0.25">
      <c r="G3071" t="str">
        <f t="shared" si="149"/>
        <v>Insert into BlueCreditTypeRainbow Values (, , , , , )</v>
      </c>
    </row>
    <row r="3072" spans="7:7" x14ac:dyDescent="0.25">
      <c r="G3072" t="str">
        <f t="shared" si="149"/>
        <v>Insert into BlueCreditTypeRainbow Values (, , , , , )</v>
      </c>
    </row>
    <row r="3073" spans="7:7" x14ac:dyDescent="0.25">
      <c r="G3073" t="str">
        <f t="shared" si="149"/>
        <v>Insert into BlueCreditTypeRainbow Values (, , , , , )</v>
      </c>
    </row>
    <row r="3074" spans="7:7" x14ac:dyDescent="0.25">
      <c r="G3074" t="str">
        <f t="shared" si="149"/>
        <v>Insert into BlueCreditTypeRainbow Values (, , , , , )</v>
      </c>
    </row>
    <row r="3075" spans="7:7" x14ac:dyDescent="0.25">
      <c r="G3075" t="str">
        <f t="shared" si="149"/>
        <v>Insert into BlueCreditTypeRainbow Values (, , , , , )</v>
      </c>
    </row>
    <row r="3076" spans="7:7" x14ac:dyDescent="0.25">
      <c r="G3076" t="str">
        <f t="shared" si="149"/>
        <v>Insert into BlueCreditTypeRainbow Values (, , , , , )</v>
      </c>
    </row>
    <row r="3077" spans="7:7" x14ac:dyDescent="0.25">
      <c r="G3077" t="str">
        <f t="shared" si="149"/>
        <v>Insert into BlueCreditTypeRainbow Values (, , , , , )</v>
      </c>
    </row>
    <row r="3078" spans="7:7" x14ac:dyDescent="0.25">
      <c r="G3078" t="str">
        <f t="shared" si="149"/>
        <v>Insert into BlueCreditTypeRainbow Values (, , , , , )</v>
      </c>
    </row>
    <row r="3079" spans="7:7" x14ac:dyDescent="0.25">
      <c r="G3079" t="str">
        <f t="shared" si="149"/>
        <v>Insert into BlueCreditTypeRainbow Values (, , , , , )</v>
      </c>
    </row>
    <row r="3080" spans="7:7" x14ac:dyDescent="0.25">
      <c r="G3080" t="str">
        <f t="shared" si="149"/>
        <v>Insert into BlueCreditTypeRainbow Values (, , , , , )</v>
      </c>
    </row>
    <row r="3081" spans="7:7" x14ac:dyDescent="0.25">
      <c r="G3081" t="str">
        <f t="shared" si="149"/>
        <v>Insert into BlueCreditTypeRainbow Values (, , , , , )</v>
      </c>
    </row>
    <row r="3082" spans="7:7" x14ac:dyDescent="0.25">
      <c r="G3082" t="str">
        <f t="shared" si="149"/>
        <v>Insert into BlueCreditTypeRainbow Values (, , , , , )</v>
      </c>
    </row>
    <row r="3083" spans="7:7" x14ac:dyDescent="0.25">
      <c r="G3083" t="str">
        <f t="shared" si="149"/>
        <v>Insert into BlueCreditTypeRainbow Values (, , , , , )</v>
      </c>
    </row>
    <row r="3084" spans="7:7" x14ac:dyDescent="0.25">
      <c r="G3084" t="str">
        <f t="shared" si="149"/>
        <v>Insert into BlueCreditTypeRainbow Values (, , , , , )</v>
      </c>
    </row>
    <row r="3085" spans="7:7" x14ac:dyDescent="0.25">
      <c r="G3085" t="str">
        <f t="shared" si="149"/>
        <v>Insert into BlueCreditTypeRainbow Values (, , , , , )</v>
      </c>
    </row>
    <row r="3086" spans="7:7" x14ac:dyDescent="0.25">
      <c r="G3086" t="str">
        <f t="shared" si="149"/>
        <v>Insert into BlueCreditTypeRainbow Values (, , , , , )</v>
      </c>
    </row>
    <row r="3087" spans="7:7" x14ac:dyDescent="0.25">
      <c r="G3087" t="str">
        <f t="shared" ref="G3087:G3150" si="150">CONCATENATE("Insert into BlueCreditTypeRainbow Values (",A3087,", ",B3087,", ",C3087,", ",D3087,", ",E3087,", ",F3087,")")</f>
        <v>Insert into BlueCreditTypeRainbow Values (, , , , , )</v>
      </c>
    </row>
    <row r="3088" spans="7:7" x14ac:dyDescent="0.25">
      <c r="G3088" t="str">
        <f t="shared" si="150"/>
        <v>Insert into BlueCreditTypeRainbow Values (, , , , , )</v>
      </c>
    </row>
    <row r="3089" spans="7:7" x14ac:dyDescent="0.25">
      <c r="G3089" t="str">
        <f t="shared" si="150"/>
        <v>Insert into BlueCreditTypeRainbow Values (, , , , , )</v>
      </c>
    </row>
    <row r="3090" spans="7:7" x14ac:dyDescent="0.25">
      <c r="G3090" t="str">
        <f t="shared" si="150"/>
        <v>Insert into BlueCreditTypeRainbow Values (, , , , , )</v>
      </c>
    </row>
    <row r="3091" spans="7:7" x14ac:dyDescent="0.25">
      <c r="G3091" t="str">
        <f t="shared" si="150"/>
        <v>Insert into BlueCreditTypeRainbow Values (, , , , , )</v>
      </c>
    </row>
    <row r="3092" spans="7:7" x14ac:dyDescent="0.25">
      <c r="G3092" t="str">
        <f t="shared" si="150"/>
        <v>Insert into BlueCreditTypeRainbow Values (, , , , , )</v>
      </c>
    </row>
    <row r="3093" spans="7:7" x14ac:dyDescent="0.25">
      <c r="G3093" t="str">
        <f t="shared" si="150"/>
        <v>Insert into BlueCreditTypeRainbow Values (, , , , , )</v>
      </c>
    </row>
    <row r="3094" spans="7:7" x14ac:dyDescent="0.25">
      <c r="G3094" t="str">
        <f t="shared" si="150"/>
        <v>Insert into BlueCreditTypeRainbow Values (, , , , , )</v>
      </c>
    </row>
    <row r="3095" spans="7:7" x14ac:dyDescent="0.25">
      <c r="G3095" t="str">
        <f t="shared" si="150"/>
        <v>Insert into BlueCreditTypeRainbow Values (, , , , , )</v>
      </c>
    </row>
    <row r="3096" spans="7:7" x14ac:dyDescent="0.25">
      <c r="G3096" t="str">
        <f t="shared" si="150"/>
        <v>Insert into BlueCreditTypeRainbow Values (, , , , , )</v>
      </c>
    </row>
    <row r="3097" spans="7:7" x14ac:dyDescent="0.25">
      <c r="G3097" t="str">
        <f t="shared" si="150"/>
        <v>Insert into BlueCreditTypeRainbow Values (, , , , , )</v>
      </c>
    </row>
    <row r="3098" spans="7:7" x14ac:dyDescent="0.25">
      <c r="G3098" t="str">
        <f t="shared" si="150"/>
        <v>Insert into BlueCreditTypeRainbow Values (, , , , , )</v>
      </c>
    </row>
    <row r="3099" spans="7:7" x14ac:dyDescent="0.25">
      <c r="G3099" t="str">
        <f t="shared" si="150"/>
        <v>Insert into BlueCreditTypeRainbow Values (, , , , , )</v>
      </c>
    </row>
    <row r="3100" spans="7:7" x14ac:dyDescent="0.25">
      <c r="G3100" t="str">
        <f t="shared" si="150"/>
        <v>Insert into BlueCreditTypeRainbow Values (, , , , , )</v>
      </c>
    </row>
    <row r="3101" spans="7:7" x14ac:dyDescent="0.25">
      <c r="G3101" t="str">
        <f t="shared" si="150"/>
        <v>Insert into BlueCreditTypeRainbow Values (, , , , , )</v>
      </c>
    </row>
    <row r="3102" spans="7:7" x14ac:dyDescent="0.25">
      <c r="G3102" t="str">
        <f t="shared" si="150"/>
        <v>Insert into BlueCreditTypeRainbow Values (, , , , , )</v>
      </c>
    </row>
    <row r="3103" spans="7:7" x14ac:dyDescent="0.25">
      <c r="G3103" t="str">
        <f t="shared" si="150"/>
        <v>Insert into BlueCreditTypeRainbow Values (, , , , , )</v>
      </c>
    </row>
    <row r="3104" spans="7:7" x14ac:dyDescent="0.25">
      <c r="G3104" t="str">
        <f t="shared" si="150"/>
        <v>Insert into BlueCreditTypeRainbow Values (, , , , , )</v>
      </c>
    </row>
    <row r="3105" spans="7:7" x14ac:dyDescent="0.25">
      <c r="G3105" t="str">
        <f t="shared" si="150"/>
        <v>Insert into BlueCreditTypeRainbow Values (, , , , , )</v>
      </c>
    </row>
    <row r="3106" spans="7:7" x14ac:dyDescent="0.25">
      <c r="G3106" t="str">
        <f t="shared" si="150"/>
        <v>Insert into BlueCreditTypeRainbow Values (, , , , , )</v>
      </c>
    </row>
    <row r="3107" spans="7:7" x14ac:dyDescent="0.25">
      <c r="G3107" t="str">
        <f t="shared" si="150"/>
        <v>Insert into BlueCreditTypeRainbow Values (, , , , , )</v>
      </c>
    </row>
    <row r="3108" spans="7:7" x14ac:dyDescent="0.25">
      <c r="G3108" t="str">
        <f t="shared" si="150"/>
        <v>Insert into BlueCreditTypeRainbow Values (, , , , , )</v>
      </c>
    </row>
    <row r="3109" spans="7:7" x14ac:dyDescent="0.25">
      <c r="G3109" t="str">
        <f t="shared" si="150"/>
        <v>Insert into BlueCreditTypeRainbow Values (, , , , , )</v>
      </c>
    </row>
    <row r="3110" spans="7:7" x14ac:dyDescent="0.25">
      <c r="G3110" t="str">
        <f t="shared" si="150"/>
        <v>Insert into BlueCreditTypeRainbow Values (, , , , , )</v>
      </c>
    </row>
    <row r="3111" spans="7:7" x14ac:dyDescent="0.25">
      <c r="G3111" t="str">
        <f t="shared" si="150"/>
        <v>Insert into BlueCreditTypeRainbow Values (, , , , , )</v>
      </c>
    </row>
    <row r="3112" spans="7:7" x14ac:dyDescent="0.25">
      <c r="G3112" t="str">
        <f t="shared" si="150"/>
        <v>Insert into BlueCreditTypeRainbow Values (, , , , , )</v>
      </c>
    </row>
    <row r="3113" spans="7:7" x14ac:dyDescent="0.25">
      <c r="G3113" t="str">
        <f t="shared" si="150"/>
        <v>Insert into BlueCreditTypeRainbow Values (, , , , , )</v>
      </c>
    </row>
    <row r="3114" spans="7:7" x14ac:dyDescent="0.25">
      <c r="G3114" t="str">
        <f t="shared" si="150"/>
        <v>Insert into BlueCreditTypeRainbow Values (, , , , , )</v>
      </c>
    </row>
    <row r="3115" spans="7:7" x14ac:dyDescent="0.25">
      <c r="G3115" t="str">
        <f t="shared" si="150"/>
        <v>Insert into BlueCreditTypeRainbow Values (, , , , , )</v>
      </c>
    </row>
    <row r="3116" spans="7:7" x14ac:dyDescent="0.25">
      <c r="G3116" t="str">
        <f t="shared" si="150"/>
        <v>Insert into BlueCreditTypeRainbow Values (, , , , , )</v>
      </c>
    </row>
    <row r="3117" spans="7:7" x14ac:dyDescent="0.25">
      <c r="G3117" t="str">
        <f t="shared" si="150"/>
        <v>Insert into BlueCreditTypeRainbow Values (, , , , , )</v>
      </c>
    </row>
    <row r="3118" spans="7:7" x14ac:dyDescent="0.25">
      <c r="G3118" t="str">
        <f t="shared" si="150"/>
        <v>Insert into BlueCreditTypeRainbow Values (, , , , , )</v>
      </c>
    </row>
    <row r="3119" spans="7:7" x14ac:dyDescent="0.25">
      <c r="G3119" t="str">
        <f t="shared" si="150"/>
        <v>Insert into BlueCreditTypeRainbow Values (, , , , , )</v>
      </c>
    </row>
    <row r="3120" spans="7:7" x14ac:dyDescent="0.25">
      <c r="G3120" t="str">
        <f t="shared" si="150"/>
        <v>Insert into BlueCreditTypeRainbow Values (, , , , , )</v>
      </c>
    </row>
    <row r="3121" spans="7:7" x14ac:dyDescent="0.25">
      <c r="G3121" t="str">
        <f t="shared" si="150"/>
        <v>Insert into BlueCreditTypeRainbow Values (, , , , , )</v>
      </c>
    </row>
    <row r="3122" spans="7:7" x14ac:dyDescent="0.25">
      <c r="G3122" t="str">
        <f t="shared" si="150"/>
        <v>Insert into BlueCreditTypeRainbow Values (, , , , , )</v>
      </c>
    </row>
    <row r="3123" spans="7:7" x14ac:dyDescent="0.25">
      <c r="G3123" t="str">
        <f t="shared" si="150"/>
        <v>Insert into BlueCreditTypeRainbow Values (, , , , , )</v>
      </c>
    </row>
    <row r="3124" spans="7:7" x14ac:dyDescent="0.25">
      <c r="G3124" t="str">
        <f t="shared" si="150"/>
        <v>Insert into BlueCreditTypeRainbow Values (, , , , , )</v>
      </c>
    </row>
    <row r="3125" spans="7:7" x14ac:dyDescent="0.25">
      <c r="G3125" t="str">
        <f t="shared" si="150"/>
        <v>Insert into BlueCreditTypeRainbow Values (, , , , , )</v>
      </c>
    </row>
    <row r="3126" spans="7:7" x14ac:dyDescent="0.25">
      <c r="G3126" t="str">
        <f t="shared" si="150"/>
        <v>Insert into BlueCreditTypeRainbow Values (, , , , , )</v>
      </c>
    </row>
    <row r="3127" spans="7:7" x14ac:dyDescent="0.25">
      <c r="G3127" t="str">
        <f t="shared" si="150"/>
        <v>Insert into BlueCreditTypeRainbow Values (, , , , , )</v>
      </c>
    </row>
    <row r="3128" spans="7:7" x14ac:dyDescent="0.25">
      <c r="G3128" t="str">
        <f t="shared" si="150"/>
        <v>Insert into BlueCreditTypeRainbow Values (, , , , , )</v>
      </c>
    </row>
    <row r="3129" spans="7:7" x14ac:dyDescent="0.25">
      <c r="G3129" t="str">
        <f t="shared" si="150"/>
        <v>Insert into BlueCreditTypeRainbow Values (, , , , , )</v>
      </c>
    </row>
    <row r="3130" spans="7:7" x14ac:dyDescent="0.25">
      <c r="G3130" t="str">
        <f t="shared" si="150"/>
        <v>Insert into BlueCreditTypeRainbow Values (, , , , , )</v>
      </c>
    </row>
    <row r="3131" spans="7:7" x14ac:dyDescent="0.25">
      <c r="G3131" t="str">
        <f t="shared" si="150"/>
        <v>Insert into BlueCreditTypeRainbow Values (, , , , , )</v>
      </c>
    </row>
    <row r="3132" spans="7:7" x14ac:dyDescent="0.25">
      <c r="G3132" t="str">
        <f t="shared" si="150"/>
        <v>Insert into BlueCreditTypeRainbow Values (, , , , , )</v>
      </c>
    </row>
    <row r="3133" spans="7:7" x14ac:dyDescent="0.25">
      <c r="G3133" t="str">
        <f t="shared" si="150"/>
        <v>Insert into BlueCreditTypeRainbow Values (, , , , , )</v>
      </c>
    </row>
    <row r="3134" spans="7:7" x14ac:dyDescent="0.25">
      <c r="G3134" t="str">
        <f t="shared" si="150"/>
        <v>Insert into BlueCreditTypeRainbow Values (, , , , , )</v>
      </c>
    </row>
    <row r="3135" spans="7:7" x14ac:dyDescent="0.25">
      <c r="G3135" t="str">
        <f t="shared" si="150"/>
        <v>Insert into BlueCreditTypeRainbow Values (, , , , , )</v>
      </c>
    </row>
    <row r="3136" spans="7:7" x14ac:dyDescent="0.25">
      <c r="G3136" t="str">
        <f t="shared" si="150"/>
        <v>Insert into BlueCreditTypeRainbow Values (, , , , , )</v>
      </c>
    </row>
    <row r="3137" spans="7:7" x14ac:dyDescent="0.25">
      <c r="G3137" t="str">
        <f t="shared" si="150"/>
        <v>Insert into BlueCreditTypeRainbow Values (, , , , , )</v>
      </c>
    </row>
    <row r="3138" spans="7:7" x14ac:dyDescent="0.25">
      <c r="G3138" t="str">
        <f t="shared" si="150"/>
        <v>Insert into BlueCreditTypeRainbow Values (, , , , , )</v>
      </c>
    </row>
    <row r="3139" spans="7:7" x14ac:dyDescent="0.25">
      <c r="G3139" t="str">
        <f t="shared" si="150"/>
        <v>Insert into BlueCreditTypeRainbow Values (, , , , , )</v>
      </c>
    </row>
    <row r="3140" spans="7:7" x14ac:dyDescent="0.25">
      <c r="G3140" t="str">
        <f t="shared" si="150"/>
        <v>Insert into BlueCreditTypeRainbow Values (, , , , , )</v>
      </c>
    </row>
    <row r="3141" spans="7:7" x14ac:dyDescent="0.25">
      <c r="G3141" t="str">
        <f t="shared" si="150"/>
        <v>Insert into BlueCreditTypeRainbow Values (, , , , , )</v>
      </c>
    </row>
    <row r="3142" spans="7:7" x14ac:dyDescent="0.25">
      <c r="G3142" t="str">
        <f t="shared" si="150"/>
        <v>Insert into BlueCreditTypeRainbow Values (, , , , , )</v>
      </c>
    </row>
    <row r="3143" spans="7:7" x14ac:dyDescent="0.25">
      <c r="G3143" t="str">
        <f t="shared" si="150"/>
        <v>Insert into BlueCreditTypeRainbow Values (, , , , , )</v>
      </c>
    </row>
    <row r="3144" spans="7:7" x14ac:dyDescent="0.25">
      <c r="G3144" t="str">
        <f t="shared" si="150"/>
        <v>Insert into BlueCreditTypeRainbow Values (, , , , , )</v>
      </c>
    </row>
    <row r="3145" spans="7:7" x14ac:dyDescent="0.25">
      <c r="G3145" t="str">
        <f t="shared" si="150"/>
        <v>Insert into BlueCreditTypeRainbow Values (, , , , , )</v>
      </c>
    </row>
    <row r="3146" spans="7:7" x14ac:dyDescent="0.25">
      <c r="G3146" t="str">
        <f t="shared" si="150"/>
        <v>Insert into BlueCreditTypeRainbow Values (, , , , , )</v>
      </c>
    </row>
    <row r="3147" spans="7:7" x14ac:dyDescent="0.25">
      <c r="G3147" t="str">
        <f t="shared" si="150"/>
        <v>Insert into BlueCreditTypeRainbow Values (, , , , , )</v>
      </c>
    </row>
    <row r="3148" spans="7:7" x14ac:dyDescent="0.25">
      <c r="G3148" t="str">
        <f t="shared" si="150"/>
        <v>Insert into BlueCreditTypeRainbow Values (, , , , , )</v>
      </c>
    </row>
    <row r="3149" spans="7:7" x14ac:dyDescent="0.25">
      <c r="G3149" t="str">
        <f t="shared" si="150"/>
        <v>Insert into BlueCreditTypeRainbow Values (, , , , , )</v>
      </c>
    </row>
    <row r="3150" spans="7:7" x14ac:dyDescent="0.25">
      <c r="G3150" t="str">
        <f t="shared" si="150"/>
        <v>Insert into BlueCreditTypeRainbow Values (, , , , , )</v>
      </c>
    </row>
    <row r="3151" spans="7:7" x14ac:dyDescent="0.25">
      <c r="G3151" t="str">
        <f t="shared" ref="G3151:G3214" si="151">CONCATENATE("Insert into BlueCreditTypeRainbow Values (",A3151,", ",B3151,", ",C3151,", ",D3151,", ",E3151,", ",F3151,")")</f>
        <v>Insert into BlueCreditTypeRainbow Values (, , , , , )</v>
      </c>
    </row>
    <row r="3152" spans="7:7" x14ac:dyDescent="0.25">
      <c r="G3152" t="str">
        <f t="shared" si="151"/>
        <v>Insert into BlueCreditTypeRainbow Values (, , , , , )</v>
      </c>
    </row>
    <row r="3153" spans="7:7" x14ac:dyDescent="0.25">
      <c r="G3153" t="str">
        <f t="shared" si="151"/>
        <v>Insert into BlueCreditTypeRainbow Values (, , , , , )</v>
      </c>
    </row>
    <row r="3154" spans="7:7" x14ac:dyDescent="0.25">
      <c r="G3154" t="str">
        <f t="shared" si="151"/>
        <v>Insert into BlueCreditTypeRainbow Values (, , , , , )</v>
      </c>
    </row>
    <row r="3155" spans="7:7" x14ac:dyDescent="0.25">
      <c r="G3155" t="str">
        <f t="shared" si="151"/>
        <v>Insert into BlueCreditTypeRainbow Values (, , , , , )</v>
      </c>
    </row>
    <row r="3156" spans="7:7" x14ac:dyDescent="0.25">
      <c r="G3156" t="str">
        <f t="shared" si="151"/>
        <v>Insert into BlueCreditTypeRainbow Values (, , , , , )</v>
      </c>
    </row>
    <row r="3157" spans="7:7" x14ac:dyDescent="0.25">
      <c r="G3157" t="str">
        <f t="shared" si="151"/>
        <v>Insert into BlueCreditTypeRainbow Values (, , , , , )</v>
      </c>
    </row>
    <row r="3158" spans="7:7" x14ac:dyDescent="0.25">
      <c r="G3158" t="str">
        <f t="shared" si="151"/>
        <v>Insert into BlueCreditTypeRainbow Values (, , , , , )</v>
      </c>
    </row>
    <row r="3159" spans="7:7" x14ac:dyDescent="0.25">
      <c r="G3159" t="str">
        <f t="shared" si="151"/>
        <v>Insert into BlueCreditTypeRainbow Values (, , , , , )</v>
      </c>
    </row>
    <row r="3160" spans="7:7" x14ac:dyDescent="0.25">
      <c r="G3160" t="str">
        <f t="shared" si="151"/>
        <v>Insert into BlueCreditTypeRainbow Values (, , , , , )</v>
      </c>
    </row>
    <row r="3161" spans="7:7" x14ac:dyDescent="0.25">
      <c r="G3161" t="str">
        <f t="shared" si="151"/>
        <v>Insert into BlueCreditTypeRainbow Values (, , , , , )</v>
      </c>
    </row>
    <row r="3162" spans="7:7" x14ac:dyDescent="0.25">
      <c r="G3162" t="str">
        <f t="shared" si="151"/>
        <v>Insert into BlueCreditTypeRainbow Values (, , , , , )</v>
      </c>
    </row>
    <row r="3163" spans="7:7" x14ac:dyDescent="0.25">
      <c r="G3163" t="str">
        <f t="shared" si="151"/>
        <v>Insert into BlueCreditTypeRainbow Values (, , , , , )</v>
      </c>
    </row>
    <row r="3164" spans="7:7" x14ac:dyDescent="0.25">
      <c r="G3164" t="str">
        <f t="shared" si="151"/>
        <v>Insert into BlueCreditTypeRainbow Values (, , , , , )</v>
      </c>
    </row>
    <row r="3165" spans="7:7" x14ac:dyDescent="0.25">
      <c r="G3165" t="str">
        <f t="shared" si="151"/>
        <v>Insert into BlueCreditTypeRainbow Values (, , , , , )</v>
      </c>
    </row>
    <row r="3166" spans="7:7" x14ac:dyDescent="0.25">
      <c r="G3166" t="str">
        <f t="shared" si="151"/>
        <v>Insert into BlueCreditTypeRainbow Values (, , , , , )</v>
      </c>
    </row>
    <row r="3167" spans="7:7" x14ac:dyDescent="0.25">
      <c r="G3167" t="str">
        <f t="shared" si="151"/>
        <v>Insert into BlueCreditTypeRainbow Values (, , , , , )</v>
      </c>
    </row>
    <row r="3168" spans="7:7" x14ac:dyDescent="0.25">
      <c r="G3168" t="str">
        <f t="shared" si="151"/>
        <v>Insert into BlueCreditTypeRainbow Values (, , , , , )</v>
      </c>
    </row>
    <row r="3169" spans="7:7" x14ac:dyDescent="0.25">
      <c r="G3169" t="str">
        <f t="shared" si="151"/>
        <v>Insert into BlueCreditTypeRainbow Values (, , , , , )</v>
      </c>
    </row>
    <row r="3170" spans="7:7" x14ac:dyDescent="0.25">
      <c r="G3170" t="str">
        <f t="shared" si="151"/>
        <v>Insert into BlueCreditTypeRainbow Values (, , , , , )</v>
      </c>
    </row>
    <row r="3171" spans="7:7" x14ac:dyDescent="0.25">
      <c r="G3171" t="str">
        <f t="shared" si="151"/>
        <v>Insert into BlueCreditTypeRainbow Values (, , , , , )</v>
      </c>
    </row>
    <row r="3172" spans="7:7" x14ac:dyDescent="0.25">
      <c r="G3172" t="str">
        <f t="shared" si="151"/>
        <v>Insert into BlueCreditTypeRainbow Values (, , , , , )</v>
      </c>
    </row>
    <row r="3173" spans="7:7" x14ac:dyDescent="0.25">
      <c r="G3173" t="str">
        <f t="shared" si="151"/>
        <v>Insert into BlueCreditTypeRainbow Values (, , , , , )</v>
      </c>
    </row>
    <row r="3174" spans="7:7" x14ac:dyDescent="0.25">
      <c r="G3174" t="str">
        <f t="shared" si="151"/>
        <v>Insert into BlueCreditTypeRainbow Values (, , , , , )</v>
      </c>
    </row>
    <row r="3175" spans="7:7" x14ac:dyDescent="0.25">
      <c r="G3175" t="str">
        <f t="shared" si="151"/>
        <v>Insert into BlueCreditTypeRainbow Values (, , , , , )</v>
      </c>
    </row>
    <row r="3176" spans="7:7" x14ac:dyDescent="0.25">
      <c r="G3176" t="str">
        <f t="shared" si="151"/>
        <v>Insert into BlueCreditTypeRainbow Values (, , , , , )</v>
      </c>
    </row>
    <row r="3177" spans="7:7" x14ac:dyDescent="0.25">
      <c r="G3177" t="str">
        <f t="shared" si="151"/>
        <v>Insert into BlueCreditTypeRainbow Values (, , , , , )</v>
      </c>
    </row>
    <row r="3178" spans="7:7" x14ac:dyDescent="0.25">
      <c r="G3178" t="str">
        <f t="shared" si="151"/>
        <v>Insert into BlueCreditTypeRainbow Values (, , , , , )</v>
      </c>
    </row>
    <row r="3179" spans="7:7" x14ac:dyDescent="0.25">
      <c r="G3179" t="str">
        <f t="shared" si="151"/>
        <v>Insert into BlueCreditTypeRainbow Values (, , , , , )</v>
      </c>
    </row>
    <row r="3180" spans="7:7" x14ac:dyDescent="0.25">
      <c r="G3180" t="str">
        <f t="shared" si="151"/>
        <v>Insert into BlueCreditTypeRainbow Values (, , , , , )</v>
      </c>
    </row>
    <row r="3181" spans="7:7" x14ac:dyDescent="0.25">
      <c r="G3181" t="str">
        <f t="shared" si="151"/>
        <v>Insert into BlueCreditTypeRainbow Values (, , , , , )</v>
      </c>
    </row>
    <row r="3182" spans="7:7" x14ac:dyDescent="0.25">
      <c r="G3182" t="str">
        <f t="shared" si="151"/>
        <v>Insert into BlueCreditTypeRainbow Values (, , , , , )</v>
      </c>
    </row>
    <row r="3183" spans="7:7" x14ac:dyDescent="0.25">
      <c r="G3183" t="str">
        <f t="shared" si="151"/>
        <v>Insert into BlueCreditTypeRainbow Values (, , , , , )</v>
      </c>
    </row>
    <row r="3184" spans="7:7" x14ac:dyDescent="0.25">
      <c r="G3184" t="str">
        <f t="shared" si="151"/>
        <v>Insert into BlueCreditTypeRainbow Values (, , , , , )</v>
      </c>
    </row>
    <row r="3185" spans="7:7" x14ac:dyDescent="0.25">
      <c r="G3185" t="str">
        <f t="shared" si="151"/>
        <v>Insert into BlueCreditTypeRainbow Values (, , , , , )</v>
      </c>
    </row>
    <row r="3186" spans="7:7" x14ac:dyDescent="0.25">
      <c r="G3186" t="str">
        <f t="shared" si="151"/>
        <v>Insert into BlueCreditTypeRainbow Values (, , , , , )</v>
      </c>
    </row>
    <row r="3187" spans="7:7" x14ac:dyDescent="0.25">
      <c r="G3187" t="str">
        <f t="shared" si="151"/>
        <v>Insert into BlueCreditTypeRainbow Values (, , , , , )</v>
      </c>
    </row>
    <row r="3188" spans="7:7" x14ac:dyDescent="0.25">
      <c r="G3188" t="str">
        <f t="shared" si="151"/>
        <v>Insert into BlueCreditTypeRainbow Values (, , , , , )</v>
      </c>
    </row>
    <row r="3189" spans="7:7" x14ac:dyDescent="0.25">
      <c r="G3189" t="str">
        <f t="shared" si="151"/>
        <v>Insert into BlueCreditTypeRainbow Values (, , , , , )</v>
      </c>
    </row>
    <row r="3190" spans="7:7" x14ac:dyDescent="0.25">
      <c r="G3190" t="str">
        <f t="shared" si="151"/>
        <v>Insert into BlueCreditTypeRainbow Values (, , , , , )</v>
      </c>
    </row>
    <row r="3191" spans="7:7" x14ac:dyDescent="0.25">
      <c r="G3191" t="str">
        <f t="shared" si="151"/>
        <v>Insert into BlueCreditTypeRainbow Values (, , , , , )</v>
      </c>
    </row>
    <row r="3192" spans="7:7" x14ac:dyDescent="0.25">
      <c r="G3192" t="str">
        <f t="shared" si="151"/>
        <v>Insert into BlueCreditTypeRainbow Values (, , , , , )</v>
      </c>
    </row>
    <row r="3193" spans="7:7" x14ac:dyDescent="0.25">
      <c r="G3193" t="str">
        <f t="shared" si="151"/>
        <v>Insert into BlueCreditTypeRainbow Values (, , , , , )</v>
      </c>
    </row>
    <row r="3194" spans="7:7" x14ac:dyDescent="0.25">
      <c r="G3194" t="str">
        <f t="shared" si="151"/>
        <v>Insert into BlueCreditTypeRainbow Values (, , , , , )</v>
      </c>
    </row>
    <row r="3195" spans="7:7" x14ac:dyDescent="0.25">
      <c r="G3195" t="str">
        <f t="shared" si="151"/>
        <v>Insert into BlueCreditTypeRainbow Values (, , , , , )</v>
      </c>
    </row>
    <row r="3196" spans="7:7" x14ac:dyDescent="0.25">
      <c r="G3196" t="str">
        <f t="shared" si="151"/>
        <v>Insert into BlueCreditTypeRainbow Values (, , , , , )</v>
      </c>
    </row>
    <row r="3197" spans="7:7" x14ac:dyDescent="0.25">
      <c r="G3197" t="str">
        <f t="shared" si="151"/>
        <v>Insert into BlueCreditTypeRainbow Values (, , , , , )</v>
      </c>
    </row>
    <row r="3198" spans="7:7" x14ac:dyDescent="0.25">
      <c r="G3198" t="str">
        <f t="shared" si="151"/>
        <v>Insert into BlueCreditTypeRainbow Values (, , , , , )</v>
      </c>
    </row>
    <row r="3199" spans="7:7" x14ac:dyDescent="0.25">
      <c r="G3199" t="str">
        <f t="shared" si="151"/>
        <v>Insert into BlueCreditTypeRainbow Values (, , , , , )</v>
      </c>
    </row>
    <row r="3200" spans="7:7" x14ac:dyDescent="0.25">
      <c r="G3200" t="str">
        <f t="shared" si="151"/>
        <v>Insert into BlueCreditTypeRainbow Values (, , , , , )</v>
      </c>
    </row>
    <row r="3201" spans="7:7" x14ac:dyDescent="0.25">
      <c r="G3201" t="str">
        <f t="shared" si="151"/>
        <v>Insert into BlueCreditTypeRainbow Values (, , , , , )</v>
      </c>
    </row>
    <row r="3202" spans="7:7" x14ac:dyDescent="0.25">
      <c r="G3202" t="str">
        <f t="shared" si="151"/>
        <v>Insert into BlueCreditTypeRainbow Values (, , , , , )</v>
      </c>
    </row>
    <row r="3203" spans="7:7" x14ac:dyDescent="0.25">
      <c r="G3203" t="str">
        <f t="shared" si="151"/>
        <v>Insert into BlueCreditTypeRainbow Values (, , , , , )</v>
      </c>
    </row>
    <row r="3204" spans="7:7" x14ac:dyDescent="0.25">
      <c r="G3204" t="str">
        <f t="shared" si="151"/>
        <v>Insert into BlueCreditTypeRainbow Values (, , , , , )</v>
      </c>
    </row>
    <row r="3205" spans="7:7" x14ac:dyDescent="0.25">
      <c r="G3205" t="str">
        <f t="shared" si="151"/>
        <v>Insert into BlueCreditTypeRainbow Values (, , , , , )</v>
      </c>
    </row>
    <row r="3206" spans="7:7" x14ac:dyDescent="0.25">
      <c r="G3206" t="str">
        <f t="shared" si="151"/>
        <v>Insert into BlueCreditTypeRainbow Values (, , , , , )</v>
      </c>
    </row>
    <row r="3207" spans="7:7" x14ac:dyDescent="0.25">
      <c r="G3207" t="str">
        <f t="shared" si="151"/>
        <v>Insert into BlueCreditTypeRainbow Values (, , , , , )</v>
      </c>
    </row>
    <row r="3208" spans="7:7" x14ac:dyDescent="0.25">
      <c r="G3208" t="str">
        <f t="shared" si="151"/>
        <v>Insert into BlueCreditTypeRainbow Values (, , , , , )</v>
      </c>
    </row>
    <row r="3209" spans="7:7" x14ac:dyDescent="0.25">
      <c r="G3209" t="str">
        <f t="shared" si="151"/>
        <v>Insert into BlueCreditTypeRainbow Values (, , , , , )</v>
      </c>
    </row>
    <row r="3210" spans="7:7" x14ac:dyDescent="0.25">
      <c r="G3210" t="str">
        <f t="shared" si="151"/>
        <v>Insert into BlueCreditTypeRainbow Values (, , , , , )</v>
      </c>
    </row>
    <row r="3211" spans="7:7" x14ac:dyDescent="0.25">
      <c r="G3211" t="str">
        <f t="shared" si="151"/>
        <v>Insert into BlueCreditTypeRainbow Values (, , , , , )</v>
      </c>
    </row>
    <row r="3212" spans="7:7" x14ac:dyDescent="0.25">
      <c r="G3212" t="str">
        <f t="shared" si="151"/>
        <v>Insert into BlueCreditTypeRainbow Values (, , , , , )</v>
      </c>
    </row>
    <row r="3213" spans="7:7" x14ac:dyDescent="0.25">
      <c r="G3213" t="str">
        <f t="shared" si="151"/>
        <v>Insert into BlueCreditTypeRainbow Values (, , , , , )</v>
      </c>
    </row>
    <row r="3214" spans="7:7" x14ac:dyDescent="0.25">
      <c r="G3214" t="str">
        <f t="shared" si="151"/>
        <v>Insert into BlueCreditTypeRainbow Values (, , , , , )</v>
      </c>
    </row>
    <row r="3215" spans="7:7" x14ac:dyDescent="0.25">
      <c r="G3215" t="str">
        <f t="shared" ref="G3215:G3278" si="152">CONCATENATE("Insert into BlueCreditTypeRainbow Values (",A3215,", ",B3215,", ",C3215,", ",D3215,", ",E3215,", ",F3215,")")</f>
        <v>Insert into BlueCreditTypeRainbow Values (, , , , , )</v>
      </c>
    </row>
    <row r="3216" spans="7:7" x14ac:dyDescent="0.25">
      <c r="G3216" t="str">
        <f t="shared" si="152"/>
        <v>Insert into BlueCreditTypeRainbow Values (, , , , , )</v>
      </c>
    </row>
    <row r="3217" spans="7:7" x14ac:dyDescent="0.25">
      <c r="G3217" t="str">
        <f t="shared" si="152"/>
        <v>Insert into BlueCreditTypeRainbow Values (, , , , , )</v>
      </c>
    </row>
    <row r="3218" spans="7:7" x14ac:dyDescent="0.25">
      <c r="G3218" t="str">
        <f t="shared" si="152"/>
        <v>Insert into BlueCreditTypeRainbow Values (, , , , , )</v>
      </c>
    </row>
    <row r="3219" spans="7:7" x14ac:dyDescent="0.25">
      <c r="G3219" t="str">
        <f t="shared" si="152"/>
        <v>Insert into BlueCreditTypeRainbow Values (, , , , , )</v>
      </c>
    </row>
    <row r="3220" spans="7:7" x14ac:dyDescent="0.25">
      <c r="G3220" t="str">
        <f t="shared" si="152"/>
        <v>Insert into BlueCreditTypeRainbow Values (, , , , , )</v>
      </c>
    </row>
    <row r="3221" spans="7:7" x14ac:dyDescent="0.25">
      <c r="G3221" t="str">
        <f t="shared" si="152"/>
        <v>Insert into BlueCreditTypeRainbow Values (, , , , , )</v>
      </c>
    </row>
    <row r="3222" spans="7:7" x14ac:dyDescent="0.25">
      <c r="G3222" t="str">
        <f t="shared" si="152"/>
        <v>Insert into BlueCreditTypeRainbow Values (, , , , , )</v>
      </c>
    </row>
    <row r="3223" spans="7:7" x14ac:dyDescent="0.25">
      <c r="G3223" t="str">
        <f t="shared" si="152"/>
        <v>Insert into BlueCreditTypeRainbow Values (, , , , , )</v>
      </c>
    </row>
    <row r="3224" spans="7:7" x14ac:dyDescent="0.25">
      <c r="G3224" t="str">
        <f t="shared" si="152"/>
        <v>Insert into BlueCreditTypeRainbow Values (, , , , , )</v>
      </c>
    </row>
    <row r="3225" spans="7:7" x14ac:dyDescent="0.25">
      <c r="G3225" t="str">
        <f t="shared" si="152"/>
        <v>Insert into BlueCreditTypeRainbow Values (, , , , , )</v>
      </c>
    </row>
    <row r="3226" spans="7:7" x14ac:dyDescent="0.25">
      <c r="G3226" t="str">
        <f t="shared" si="152"/>
        <v>Insert into BlueCreditTypeRainbow Values (, , , , , )</v>
      </c>
    </row>
    <row r="3227" spans="7:7" x14ac:dyDescent="0.25">
      <c r="G3227" t="str">
        <f t="shared" si="152"/>
        <v>Insert into BlueCreditTypeRainbow Values (, , , , , )</v>
      </c>
    </row>
    <row r="3228" spans="7:7" x14ac:dyDescent="0.25">
      <c r="G3228" t="str">
        <f t="shared" si="152"/>
        <v>Insert into BlueCreditTypeRainbow Values (, , , , , )</v>
      </c>
    </row>
    <row r="3229" spans="7:7" x14ac:dyDescent="0.25">
      <c r="G3229" t="str">
        <f t="shared" si="152"/>
        <v>Insert into BlueCreditTypeRainbow Values (, , , , , )</v>
      </c>
    </row>
    <row r="3230" spans="7:7" x14ac:dyDescent="0.25">
      <c r="G3230" t="str">
        <f t="shared" si="152"/>
        <v>Insert into BlueCreditTypeRainbow Values (, , , , , )</v>
      </c>
    </row>
    <row r="3231" spans="7:7" x14ac:dyDescent="0.25">
      <c r="G3231" t="str">
        <f t="shared" si="152"/>
        <v>Insert into BlueCreditTypeRainbow Values (, , , , , )</v>
      </c>
    </row>
    <row r="3232" spans="7:7" x14ac:dyDescent="0.25">
      <c r="G3232" t="str">
        <f t="shared" si="152"/>
        <v>Insert into BlueCreditTypeRainbow Values (, , , , , )</v>
      </c>
    </row>
    <row r="3233" spans="7:7" x14ac:dyDescent="0.25">
      <c r="G3233" t="str">
        <f t="shared" si="152"/>
        <v>Insert into BlueCreditTypeRainbow Values (, , , , , )</v>
      </c>
    </row>
    <row r="3234" spans="7:7" x14ac:dyDescent="0.25">
      <c r="G3234" t="str">
        <f t="shared" si="152"/>
        <v>Insert into BlueCreditTypeRainbow Values (, , , , , )</v>
      </c>
    </row>
    <row r="3235" spans="7:7" x14ac:dyDescent="0.25">
      <c r="G3235" t="str">
        <f t="shared" si="152"/>
        <v>Insert into BlueCreditTypeRainbow Values (, , , , , )</v>
      </c>
    </row>
    <row r="3236" spans="7:7" x14ac:dyDescent="0.25">
      <c r="G3236" t="str">
        <f t="shared" si="152"/>
        <v>Insert into BlueCreditTypeRainbow Values (, , , , , )</v>
      </c>
    </row>
    <row r="3237" spans="7:7" x14ac:dyDescent="0.25">
      <c r="G3237" t="str">
        <f t="shared" si="152"/>
        <v>Insert into BlueCreditTypeRainbow Values (, , , , , )</v>
      </c>
    </row>
    <row r="3238" spans="7:7" x14ac:dyDescent="0.25">
      <c r="G3238" t="str">
        <f t="shared" si="152"/>
        <v>Insert into BlueCreditTypeRainbow Values (, , , , , )</v>
      </c>
    </row>
    <row r="3239" spans="7:7" x14ac:dyDescent="0.25">
      <c r="G3239" t="str">
        <f t="shared" si="152"/>
        <v>Insert into BlueCreditTypeRainbow Values (, , , , , )</v>
      </c>
    </row>
    <row r="3240" spans="7:7" x14ac:dyDescent="0.25">
      <c r="G3240" t="str">
        <f t="shared" si="152"/>
        <v>Insert into BlueCreditTypeRainbow Values (, , , , , )</v>
      </c>
    </row>
    <row r="3241" spans="7:7" x14ac:dyDescent="0.25">
      <c r="G3241" t="str">
        <f t="shared" si="152"/>
        <v>Insert into BlueCreditTypeRainbow Values (, , , , , )</v>
      </c>
    </row>
    <row r="3242" spans="7:7" x14ac:dyDescent="0.25">
      <c r="G3242" t="str">
        <f t="shared" si="152"/>
        <v>Insert into BlueCreditTypeRainbow Values (, , , , , )</v>
      </c>
    </row>
    <row r="3243" spans="7:7" x14ac:dyDescent="0.25">
      <c r="G3243" t="str">
        <f t="shared" si="152"/>
        <v>Insert into BlueCreditTypeRainbow Values (, , , , , )</v>
      </c>
    </row>
    <row r="3244" spans="7:7" x14ac:dyDescent="0.25">
      <c r="G3244" t="str">
        <f t="shared" si="152"/>
        <v>Insert into BlueCreditTypeRainbow Values (, , , , , )</v>
      </c>
    </row>
    <row r="3245" spans="7:7" x14ac:dyDescent="0.25">
      <c r="G3245" t="str">
        <f t="shared" si="152"/>
        <v>Insert into BlueCreditTypeRainbow Values (, , , , , )</v>
      </c>
    </row>
    <row r="3246" spans="7:7" x14ac:dyDescent="0.25">
      <c r="G3246" t="str">
        <f t="shared" si="152"/>
        <v>Insert into BlueCreditTypeRainbow Values (, , , , , )</v>
      </c>
    </row>
    <row r="3247" spans="7:7" x14ac:dyDescent="0.25">
      <c r="G3247" t="str">
        <f t="shared" si="152"/>
        <v>Insert into BlueCreditTypeRainbow Values (, , , , , )</v>
      </c>
    </row>
    <row r="3248" spans="7:7" x14ac:dyDescent="0.25">
      <c r="G3248" t="str">
        <f t="shared" si="152"/>
        <v>Insert into BlueCreditTypeRainbow Values (, , , , , )</v>
      </c>
    </row>
    <row r="3249" spans="7:7" x14ac:dyDescent="0.25">
      <c r="G3249" t="str">
        <f t="shared" si="152"/>
        <v>Insert into BlueCreditTypeRainbow Values (, , , , , )</v>
      </c>
    </row>
    <row r="3250" spans="7:7" x14ac:dyDescent="0.25">
      <c r="G3250" t="str">
        <f t="shared" si="152"/>
        <v>Insert into BlueCreditTypeRainbow Values (, , , , , )</v>
      </c>
    </row>
    <row r="3251" spans="7:7" x14ac:dyDescent="0.25">
      <c r="G3251" t="str">
        <f t="shared" si="152"/>
        <v>Insert into BlueCreditTypeRainbow Values (, , , , , )</v>
      </c>
    </row>
    <row r="3252" spans="7:7" x14ac:dyDescent="0.25">
      <c r="G3252" t="str">
        <f t="shared" si="152"/>
        <v>Insert into BlueCreditTypeRainbow Values (, , , , , )</v>
      </c>
    </row>
    <row r="3253" spans="7:7" x14ac:dyDescent="0.25">
      <c r="G3253" t="str">
        <f t="shared" si="152"/>
        <v>Insert into BlueCreditTypeRainbow Values (, , , , , )</v>
      </c>
    </row>
    <row r="3254" spans="7:7" x14ac:dyDescent="0.25">
      <c r="G3254" t="str">
        <f t="shared" si="152"/>
        <v>Insert into BlueCreditTypeRainbow Values (, , , , , )</v>
      </c>
    </row>
    <row r="3255" spans="7:7" x14ac:dyDescent="0.25">
      <c r="G3255" t="str">
        <f t="shared" si="152"/>
        <v>Insert into BlueCreditTypeRainbow Values (, , , , , )</v>
      </c>
    </row>
    <row r="3256" spans="7:7" x14ac:dyDescent="0.25">
      <c r="G3256" t="str">
        <f t="shared" si="152"/>
        <v>Insert into BlueCreditTypeRainbow Values (, , , , , )</v>
      </c>
    </row>
    <row r="3257" spans="7:7" x14ac:dyDescent="0.25">
      <c r="G3257" t="str">
        <f t="shared" si="152"/>
        <v>Insert into BlueCreditTypeRainbow Values (, , , , , )</v>
      </c>
    </row>
    <row r="3258" spans="7:7" x14ac:dyDescent="0.25">
      <c r="G3258" t="str">
        <f t="shared" si="152"/>
        <v>Insert into BlueCreditTypeRainbow Values (, , , , , )</v>
      </c>
    </row>
    <row r="3259" spans="7:7" x14ac:dyDescent="0.25">
      <c r="G3259" t="str">
        <f t="shared" si="152"/>
        <v>Insert into BlueCreditTypeRainbow Values (, , , , , )</v>
      </c>
    </row>
    <row r="3260" spans="7:7" x14ac:dyDescent="0.25">
      <c r="G3260" t="str">
        <f t="shared" si="152"/>
        <v>Insert into BlueCreditTypeRainbow Values (, , , , , )</v>
      </c>
    </row>
    <row r="3261" spans="7:7" x14ac:dyDescent="0.25">
      <c r="G3261" t="str">
        <f t="shared" si="152"/>
        <v>Insert into BlueCreditTypeRainbow Values (, , , , , )</v>
      </c>
    </row>
    <row r="3262" spans="7:7" x14ac:dyDescent="0.25">
      <c r="G3262" t="str">
        <f t="shared" si="152"/>
        <v>Insert into BlueCreditTypeRainbow Values (, , , , , )</v>
      </c>
    </row>
    <row r="3263" spans="7:7" x14ac:dyDescent="0.25">
      <c r="G3263" t="str">
        <f t="shared" si="152"/>
        <v>Insert into BlueCreditTypeRainbow Values (, , , , , )</v>
      </c>
    </row>
    <row r="3264" spans="7:7" x14ac:dyDescent="0.25">
      <c r="G3264" t="str">
        <f t="shared" si="152"/>
        <v>Insert into BlueCreditTypeRainbow Values (, , , , , )</v>
      </c>
    </row>
    <row r="3265" spans="7:7" x14ac:dyDescent="0.25">
      <c r="G3265" t="str">
        <f t="shared" si="152"/>
        <v>Insert into BlueCreditTypeRainbow Values (, , , , , )</v>
      </c>
    </row>
    <row r="3266" spans="7:7" x14ac:dyDescent="0.25">
      <c r="G3266" t="str">
        <f t="shared" si="152"/>
        <v>Insert into BlueCreditTypeRainbow Values (, , , , , )</v>
      </c>
    </row>
    <row r="3267" spans="7:7" x14ac:dyDescent="0.25">
      <c r="G3267" t="str">
        <f t="shared" si="152"/>
        <v>Insert into BlueCreditTypeRainbow Values (, , , , , )</v>
      </c>
    </row>
    <row r="3268" spans="7:7" x14ac:dyDescent="0.25">
      <c r="G3268" t="str">
        <f t="shared" si="152"/>
        <v>Insert into BlueCreditTypeRainbow Values (, , , , , )</v>
      </c>
    </row>
    <row r="3269" spans="7:7" x14ac:dyDescent="0.25">
      <c r="G3269" t="str">
        <f t="shared" si="152"/>
        <v>Insert into BlueCreditTypeRainbow Values (, , , , , )</v>
      </c>
    </row>
    <row r="3270" spans="7:7" x14ac:dyDescent="0.25">
      <c r="G3270" t="str">
        <f t="shared" si="152"/>
        <v>Insert into BlueCreditTypeRainbow Values (, , , , , )</v>
      </c>
    </row>
    <row r="3271" spans="7:7" x14ac:dyDescent="0.25">
      <c r="G3271" t="str">
        <f t="shared" si="152"/>
        <v>Insert into BlueCreditTypeRainbow Values (, , , , , )</v>
      </c>
    </row>
    <row r="3272" spans="7:7" x14ac:dyDescent="0.25">
      <c r="G3272" t="str">
        <f t="shared" si="152"/>
        <v>Insert into BlueCreditTypeRainbow Values (, , , , , )</v>
      </c>
    </row>
    <row r="3273" spans="7:7" x14ac:dyDescent="0.25">
      <c r="G3273" t="str">
        <f t="shared" si="152"/>
        <v>Insert into BlueCreditTypeRainbow Values (, , , , , )</v>
      </c>
    </row>
    <row r="3274" spans="7:7" x14ac:dyDescent="0.25">
      <c r="G3274" t="str">
        <f t="shared" si="152"/>
        <v>Insert into BlueCreditTypeRainbow Values (, , , , , )</v>
      </c>
    </row>
    <row r="3275" spans="7:7" x14ac:dyDescent="0.25">
      <c r="G3275" t="str">
        <f t="shared" si="152"/>
        <v>Insert into BlueCreditTypeRainbow Values (, , , , , )</v>
      </c>
    </row>
    <row r="3276" spans="7:7" x14ac:dyDescent="0.25">
      <c r="G3276" t="str">
        <f t="shared" si="152"/>
        <v>Insert into BlueCreditTypeRainbow Values (, , , , , )</v>
      </c>
    </row>
    <row r="3277" spans="7:7" x14ac:dyDescent="0.25">
      <c r="G3277" t="str">
        <f t="shared" si="152"/>
        <v>Insert into BlueCreditTypeRainbow Values (, , , , , )</v>
      </c>
    </row>
    <row r="3278" spans="7:7" x14ac:dyDescent="0.25">
      <c r="G3278" t="str">
        <f t="shared" si="152"/>
        <v>Insert into BlueCreditTypeRainbow Values (, , , , , )</v>
      </c>
    </row>
    <row r="3279" spans="7:7" x14ac:dyDescent="0.25">
      <c r="G3279" t="str">
        <f t="shared" ref="G3279:G3342" si="153">CONCATENATE("Insert into BlueCreditTypeRainbow Values (",A3279,", ",B3279,", ",C3279,", ",D3279,", ",E3279,", ",F3279,")")</f>
        <v>Insert into BlueCreditTypeRainbow Values (, , , , , )</v>
      </c>
    </row>
    <row r="3280" spans="7:7" x14ac:dyDescent="0.25">
      <c r="G3280" t="str">
        <f t="shared" si="153"/>
        <v>Insert into BlueCreditTypeRainbow Values (, , , , , )</v>
      </c>
    </row>
    <row r="3281" spans="7:7" x14ac:dyDescent="0.25">
      <c r="G3281" t="str">
        <f t="shared" si="153"/>
        <v>Insert into BlueCreditTypeRainbow Values (, , , , , )</v>
      </c>
    </row>
    <row r="3282" spans="7:7" x14ac:dyDescent="0.25">
      <c r="G3282" t="str">
        <f t="shared" si="153"/>
        <v>Insert into BlueCreditTypeRainbow Values (, , , , , )</v>
      </c>
    </row>
    <row r="3283" spans="7:7" x14ac:dyDescent="0.25">
      <c r="G3283" t="str">
        <f t="shared" si="153"/>
        <v>Insert into BlueCreditTypeRainbow Values (, , , , , )</v>
      </c>
    </row>
    <row r="3284" spans="7:7" x14ac:dyDescent="0.25">
      <c r="G3284" t="str">
        <f t="shared" si="153"/>
        <v>Insert into BlueCreditTypeRainbow Values (, , , , , )</v>
      </c>
    </row>
    <row r="3285" spans="7:7" x14ac:dyDescent="0.25">
      <c r="G3285" t="str">
        <f t="shared" si="153"/>
        <v>Insert into BlueCreditTypeRainbow Values (, , , , , )</v>
      </c>
    </row>
    <row r="3286" spans="7:7" x14ac:dyDescent="0.25">
      <c r="G3286" t="str">
        <f t="shared" si="153"/>
        <v>Insert into BlueCreditTypeRainbow Values (, , , , , )</v>
      </c>
    </row>
    <row r="3287" spans="7:7" x14ac:dyDescent="0.25">
      <c r="G3287" t="str">
        <f t="shared" si="153"/>
        <v>Insert into BlueCreditTypeRainbow Values (, , , , , )</v>
      </c>
    </row>
    <row r="3288" spans="7:7" x14ac:dyDescent="0.25">
      <c r="G3288" t="str">
        <f t="shared" si="153"/>
        <v>Insert into BlueCreditTypeRainbow Values (, , , , , )</v>
      </c>
    </row>
    <row r="3289" spans="7:7" x14ac:dyDescent="0.25">
      <c r="G3289" t="str">
        <f t="shared" si="153"/>
        <v>Insert into BlueCreditTypeRainbow Values (, , , , , )</v>
      </c>
    </row>
    <row r="3290" spans="7:7" x14ac:dyDescent="0.25">
      <c r="G3290" t="str">
        <f t="shared" si="153"/>
        <v>Insert into BlueCreditTypeRainbow Values (, , , , , )</v>
      </c>
    </row>
    <row r="3291" spans="7:7" x14ac:dyDescent="0.25">
      <c r="G3291" t="str">
        <f t="shared" si="153"/>
        <v>Insert into BlueCreditTypeRainbow Values (, , , , , )</v>
      </c>
    </row>
    <row r="3292" spans="7:7" x14ac:dyDescent="0.25">
      <c r="G3292" t="str">
        <f t="shared" si="153"/>
        <v>Insert into BlueCreditTypeRainbow Values (, , , , , )</v>
      </c>
    </row>
    <row r="3293" spans="7:7" x14ac:dyDescent="0.25">
      <c r="G3293" t="str">
        <f t="shared" si="153"/>
        <v>Insert into BlueCreditTypeRainbow Values (, , , , , )</v>
      </c>
    </row>
    <row r="3294" spans="7:7" x14ac:dyDescent="0.25">
      <c r="G3294" t="str">
        <f t="shared" si="153"/>
        <v>Insert into BlueCreditTypeRainbow Values (, , , , , )</v>
      </c>
    </row>
    <row r="3295" spans="7:7" x14ac:dyDescent="0.25">
      <c r="G3295" t="str">
        <f t="shared" si="153"/>
        <v>Insert into BlueCreditTypeRainbow Values (, , , , , )</v>
      </c>
    </row>
    <row r="3296" spans="7:7" x14ac:dyDescent="0.25">
      <c r="G3296" t="str">
        <f t="shared" si="153"/>
        <v>Insert into BlueCreditTypeRainbow Values (, , , , , )</v>
      </c>
    </row>
    <row r="3297" spans="7:7" x14ac:dyDescent="0.25">
      <c r="G3297" t="str">
        <f t="shared" si="153"/>
        <v>Insert into BlueCreditTypeRainbow Values (, , , , , )</v>
      </c>
    </row>
    <row r="3298" spans="7:7" x14ac:dyDescent="0.25">
      <c r="G3298" t="str">
        <f t="shared" si="153"/>
        <v>Insert into BlueCreditTypeRainbow Values (, , , , , )</v>
      </c>
    </row>
    <row r="3299" spans="7:7" x14ac:dyDescent="0.25">
      <c r="G3299" t="str">
        <f t="shared" si="153"/>
        <v>Insert into BlueCreditTypeRainbow Values (, , , , , )</v>
      </c>
    </row>
    <row r="3300" spans="7:7" x14ac:dyDescent="0.25">
      <c r="G3300" t="str">
        <f t="shared" si="153"/>
        <v>Insert into BlueCreditTypeRainbow Values (, , , , , )</v>
      </c>
    </row>
    <row r="3301" spans="7:7" x14ac:dyDescent="0.25">
      <c r="G3301" t="str">
        <f t="shared" si="153"/>
        <v>Insert into BlueCreditTypeRainbow Values (, , , , , )</v>
      </c>
    </row>
    <row r="3302" spans="7:7" x14ac:dyDescent="0.25">
      <c r="G3302" t="str">
        <f t="shared" si="153"/>
        <v>Insert into BlueCreditTypeRainbow Values (, , , , , )</v>
      </c>
    </row>
    <row r="3303" spans="7:7" x14ac:dyDescent="0.25">
      <c r="G3303" t="str">
        <f t="shared" si="153"/>
        <v>Insert into BlueCreditTypeRainbow Values (, , , , , )</v>
      </c>
    </row>
    <row r="3304" spans="7:7" x14ac:dyDescent="0.25">
      <c r="G3304" t="str">
        <f t="shared" si="153"/>
        <v>Insert into BlueCreditTypeRainbow Values (, , , , , )</v>
      </c>
    </row>
    <row r="3305" spans="7:7" x14ac:dyDescent="0.25">
      <c r="G3305" t="str">
        <f t="shared" si="153"/>
        <v>Insert into BlueCreditTypeRainbow Values (, , , , , )</v>
      </c>
    </row>
    <row r="3306" spans="7:7" x14ac:dyDescent="0.25">
      <c r="G3306" t="str">
        <f t="shared" si="153"/>
        <v>Insert into BlueCreditTypeRainbow Values (, , , , , )</v>
      </c>
    </row>
    <row r="3307" spans="7:7" x14ac:dyDescent="0.25">
      <c r="G3307" t="str">
        <f t="shared" si="153"/>
        <v>Insert into BlueCreditTypeRainbow Values (, , , , , )</v>
      </c>
    </row>
    <row r="3308" spans="7:7" x14ac:dyDescent="0.25">
      <c r="G3308" t="str">
        <f t="shared" si="153"/>
        <v>Insert into BlueCreditTypeRainbow Values (, , , , , )</v>
      </c>
    </row>
    <row r="3309" spans="7:7" x14ac:dyDescent="0.25">
      <c r="G3309" t="str">
        <f t="shared" si="153"/>
        <v>Insert into BlueCreditTypeRainbow Values (, , , , , )</v>
      </c>
    </row>
    <row r="3310" spans="7:7" x14ac:dyDescent="0.25">
      <c r="G3310" t="str">
        <f t="shared" si="153"/>
        <v>Insert into BlueCreditTypeRainbow Values (, , , , , )</v>
      </c>
    </row>
    <row r="3311" spans="7:7" x14ac:dyDescent="0.25">
      <c r="G3311" t="str">
        <f t="shared" si="153"/>
        <v>Insert into BlueCreditTypeRainbow Values (, , , , , )</v>
      </c>
    </row>
    <row r="3312" spans="7:7" x14ac:dyDescent="0.25">
      <c r="G3312" t="str">
        <f t="shared" si="153"/>
        <v>Insert into BlueCreditTypeRainbow Values (, , , , , )</v>
      </c>
    </row>
    <row r="3313" spans="7:7" x14ac:dyDescent="0.25">
      <c r="G3313" t="str">
        <f t="shared" si="153"/>
        <v>Insert into BlueCreditTypeRainbow Values (, , , , , )</v>
      </c>
    </row>
    <row r="3314" spans="7:7" x14ac:dyDescent="0.25">
      <c r="G3314" t="str">
        <f t="shared" si="153"/>
        <v>Insert into BlueCreditTypeRainbow Values (, , , , , )</v>
      </c>
    </row>
    <row r="3315" spans="7:7" x14ac:dyDescent="0.25">
      <c r="G3315" t="str">
        <f t="shared" si="153"/>
        <v>Insert into BlueCreditTypeRainbow Values (, , , , , )</v>
      </c>
    </row>
    <row r="3316" spans="7:7" x14ac:dyDescent="0.25">
      <c r="G3316" t="str">
        <f t="shared" si="153"/>
        <v>Insert into BlueCreditTypeRainbow Values (, , , , , )</v>
      </c>
    </row>
    <row r="3317" spans="7:7" x14ac:dyDescent="0.25">
      <c r="G3317" t="str">
        <f t="shared" si="153"/>
        <v>Insert into BlueCreditTypeRainbow Values (, , , , , )</v>
      </c>
    </row>
    <row r="3318" spans="7:7" x14ac:dyDescent="0.25">
      <c r="G3318" t="str">
        <f t="shared" si="153"/>
        <v>Insert into BlueCreditTypeRainbow Values (, , , , , )</v>
      </c>
    </row>
    <row r="3319" spans="7:7" x14ac:dyDescent="0.25">
      <c r="G3319" t="str">
        <f t="shared" si="153"/>
        <v>Insert into BlueCreditTypeRainbow Values (, , , , , )</v>
      </c>
    </row>
    <row r="3320" spans="7:7" x14ac:dyDescent="0.25">
      <c r="G3320" t="str">
        <f t="shared" si="153"/>
        <v>Insert into BlueCreditTypeRainbow Values (, , , , , )</v>
      </c>
    </row>
    <row r="3321" spans="7:7" x14ac:dyDescent="0.25">
      <c r="G3321" t="str">
        <f t="shared" si="153"/>
        <v>Insert into BlueCreditTypeRainbow Values (, , , , , )</v>
      </c>
    </row>
    <row r="3322" spans="7:7" x14ac:dyDescent="0.25">
      <c r="G3322" t="str">
        <f t="shared" si="153"/>
        <v>Insert into BlueCreditTypeRainbow Values (, , , , , )</v>
      </c>
    </row>
    <row r="3323" spans="7:7" x14ac:dyDescent="0.25">
      <c r="G3323" t="str">
        <f t="shared" si="153"/>
        <v>Insert into BlueCreditTypeRainbow Values (, , , , , )</v>
      </c>
    </row>
    <row r="3324" spans="7:7" x14ac:dyDescent="0.25">
      <c r="G3324" t="str">
        <f t="shared" si="153"/>
        <v>Insert into BlueCreditTypeRainbow Values (, , , , , )</v>
      </c>
    </row>
    <row r="3325" spans="7:7" x14ac:dyDescent="0.25">
      <c r="G3325" t="str">
        <f t="shared" si="153"/>
        <v>Insert into BlueCreditTypeRainbow Values (, , , , , )</v>
      </c>
    </row>
    <row r="3326" spans="7:7" x14ac:dyDescent="0.25">
      <c r="G3326" t="str">
        <f t="shared" si="153"/>
        <v>Insert into BlueCreditTypeRainbow Values (, , , , , )</v>
      </c>
    </row>
    <row r="3327" spans="7:7" x14ac:dyDescent="0.25">
      <c r="G3327" t="str">
        <f t="shared" si="153"/>
        <v>Insert into BlueCreditTypeRainbow Values (, , , , , )</v>
      </c>
    </row>
    <row r="3328" spans="7:7" x14ac:dyDescent="0.25">
      <c r="G3328" t="str">
        <f t="shared" si="153"/>
        <v>Insert into BlueCreditTypeRainbow Values (, , , , , )</v>
      </c>
    </row>
    <row r="3329" spans="7:7" x14ac:dyDescent="0.25">
      <c r="G3329" t="str">
        <f t="shared" si="153"/>
        <v>Insert into BlueCreditTypeRainbow Values (, , , , , )</v>
      </c>
    </row>
    <row r="3330" spans="7:7" x14ac:dyDescent="0.25">
      <c r="G3330" t="str">
        <f t="shared" si="153"/>
        <v>Insert into BlueCreditTypeRainbow Values (, , , , , )</v>
      </c>
    </row>
    <row r="3331" spans="7:7" x14ac:dyDescent="0.25">
      <c r="G3331" t="str">
        <f t="shared" si="153"/>
        <v>Insert into BlueCreditTypeRainbow Values (, , , , , )</v>
      </c>
    </row>
    <row r="3332" spans="7:7" x14ac:dyDescent="0.25">
      <c r="G3332" t="str">
        <f t="shared" si="153"/>
        <v>Insert into BlueCreditTypeRainbow Values (, , , , , )</v>
      </c>
    </row>
    <row r="3333" spans="7:7" x14ac:dyDescent="0.25">
      <c r="G3333" t="str">
        <f t="shared" si="153"/>
        <v>Insert into BlueCreditTypeRainbow Values (, , , , , )</v>
      </c>
    </row>
    <row r="3334" spans="7:7" x14ac:dyDescent="0.25">
      <c r="G3334" t="str">
        <f t="shared" si="153"/>
        <v>Insert into BlueCreditTypeRainbow Values (, , , , , )</v>
      </c>
    </row>
    <row r="3335" spans="7:7" x14ac:dyDescent="0.25">
      <c r="G3335" t="str">
        <f t="shared" si="153"/>
        <v>Insert into BlueCreditTypeRainbow Values (, , , , , )</v>
      </c>
    </row>
    <row r="3336" spans="7:7" x14ac:dyDescent="0.25">
      <c r="G3336" t="str">
        <f t="shared" si="153"/>
        <v>Insert into BlueCreditTypeRainbow Values (, , , , , )</v>
      </c>
    </row>
    <row r="3337" spans="7:7" x14ac:dyDescent="0.25">
      <c r="G3337" t="str">
        <f t="shared" si="153"/>
        <v>Insert into BlueCreditTypeRainbow Values (, , , , , )</v>
      </c>
    </row>
    <row r="3338" spans="7:7" x14ac:dyDescent="0.25">
      <c r="G3338" t="str">
        <f t="shared" si="153"/>
        <v>Insert into BlueCreditTypeRainbow Values (, , , , , )</v>
      </c>
    </row>
    <row r="3339" spans="7:7" x14ac:dyDescent="0.25">
      <c r="G3339" t="str">
        <f t="shared" si="153"/>
        <v>Insert into BlueCreditTypeRainbow Values (, , , , , )</v>
      </c>
    </row>
    <row r="3340" spans="7:7" x14ac:dyDescent="0.25">
      <c r="G3340" t="str">
        <f t="shared" si="153"/>
        <v>Insert into BlueCreditTypeRainbow Values (, , , , , )</v>
      </c>
    </row>
    <row r="3341" spans="7:7" x14ac:dyDescent="0.25">
      <c r="G3341" t="str">
        <f t="shared" si="153"/>
        <v>Insert into BlueCreditTypeRainbow Values (, , , , , )</v>
      </c>
    </row>
    <row r="3342" spans="7:7" x14ac:dyDescent="0.25">
      <c r="G3342" t="str">
        <f t="shared" si="153"/>
        <v>Insert into BlueCreditTypeRainbow Values (, , , , , )</v>
      </c>
    </row>
    <row r="3343" spans="7:7" x14ac:dyDescent="0.25">
      <c r="G3343" t="str">
        <f t="shared" ref="G3343:G3406" si="154">CONCATENATE("Insert into BlueCreditTypeRainbow Values (",A3343,", ",B3343,", ",C3343,", ",D3343,", ",E3343,", ",F3343,")")</f>
        <v>Insert into BlueCreditTypeRainbow Values (, , , , , )</v>
      </c>
    </row>
    <row r="3344" spans="7:7" x14ac:dyDescent="0.25">
      <c r="G3344" t="str">
        <f t="shared" si="154"/>
        <v>Insert into BlueCreditTypeRainbow Values (, , , , , )</v>
      </c>
    </row>
    <row r="3345" spans="7:7" x14ac:dyDescent="0.25">
      <c r="G3345" t="str">
        <f t="shared" si="154"/>
        <v>Insert into BlueCreditTypeRainbow Values (, , , , , )</v>
      </c>
    </row>
    <row r="3346" spans="7:7" x14ac:dyDescent="0.25">
      <c r="G3346" t="str">
        <f t="shared" si="154"/>
        <v>Insert into BlueCreditTypeRainbow Values (, , , , , )</v>
      </c>
    </row>
    <row r="3347" spans="7:7" x14ac:dyDescent="0.25">
      <c r="G3347" t="str">
        <f t="shared" si="154"/>
        <v>Insert into BlueCreditTypeRainbow Values (, , , , , )</v>
      </c>
    </row>
    <row r="3348" spans="7:7" x14ac:dyDescent="0.25">
      <c r="G3348" t="str">
        <f t="shared" si="154"/>
        <v>Insert into BlueCreditTypeRainbow Values (, , , , , )</v>
      </c>
    </row>
    <row r="3349" spans="7:7" x14ac:dyDescent="0.25">
      <c r="G3349" t="str">
        <f t="shared" si="154"/>
        <v>Insert into BlueCreditTypeRainbow Values (, , , , , )</v>
      </c>
    </row>
    <row r="3350" spans="7:7" x14ac:dyDescent="0.25">
      <c r="G3350" t="str">
        <f t="shared" si="154"/>
        <v>Insert into BlueCreditTypeRainbow Values (, , , , , )</v>
      </c>
    </row>
    <row r="3351" spans="7:7" x14ac:dyDescent="0.25">
      <c r="G3351" t="str">
        <f t="shared" si="154"/>
        <v>Insert into BlueCreditTypeRainbow Values (, , , , , )</v>
      </c>
    </row>
    <row r="3352" spans="7:7" x14ac:dyDescent="0.25">
      <c r="G3352" t="str">
        <f t="shared" si="154"/>
        <v>Insert into BlueCreditTypeRainbow Values (, , , , , )</v>
      </c>
    </row>
    <row r="3353" spans="7:7" x14ac:dyDescent="0.25">
      <c r="G3353" t="str">
        <f t="shared" si="154"/>
        <v>Insert into BlueCreditTypeRainbow Values (, , , , , )</v>
      </c>
    </row>
    <row r="3354" spans="7:7" x14ac:dyDescent="0.25">
      <c r="G3354" t="str">
        <f t="shared" si="154"/>
        <v>Insert into BlueCreditTypeRainbow Values (, , , , , )</v>
      </c>
    </row>
    <row r="3355" spans="7:7" x14ac:dyDescent="0.25">
      <c r="G3355" t="str">
        <f t="shared" si="154"/>
        <v>Insert into BlueCreditTypeRainbow Values (, , , , , )</v>
      </c>
    </row>
    <row r="3356" spans="7:7" x14ac:dyDescent="0.25">
      <c r="G3356" t="str">
        <f t="shared" si="154"/>
        <v>Insert into BlueCreditTypeRainbow Values (, , , , , )</v>
      </c>
    </row>
    <row r="3357" spans="7:7" x14ac:dyDescent="0.25">
      <c r="G3357" t="str">
        <f t="shared" si="154"/>
        <v>Insert into BlueCreditTypeRainbow Values (, , , , , )</v>
      </c>
    </row>
    <row r="3358" spans="7:7" x14ac:dyDescent="0.25">
      <c r="G3358" t="str">
        <f t="shared" si="154"/>
        <v>Insert into BlueCreditTypeRainbow Values (, , , , , )</v>
      </c>
    </row>
    <row r="3359" spans="7:7" x14ac:dyDescent="0.25">
      <c r="G3359" t="str">
        <f t="shared" si="154"/>
        <v>Insert into BlueCreditTypeRainbow Values (, , , , , )</v>
      </c>
    </row>
    <row r="3360" spans="7:7" x14ac:dyDescent="0.25">
      <c r="G3360" t="str">
        <f t="shared" si="154"/>
        <v>Insert into BlueCreditTypeRainbow Values (, , , , , )</v>
      </c>
    </row>
    <row r="3361" spans="7:7" x14ac:dyDescent="0.25">
      <c r="G3361" t="str">
        <f t="shared" si="154"/>
        <v>Insert into BlueCreditTypeRainbow Values (, , , , , )</v>
      </c>
    </row>
    <row r="3362" spans="7:7" x14ac:dyDescent="0.25">
      <c r="G3362" t="str">
        <f t="shared" si="154"/>
        <v>Insert into BlueCreditTypeRainbow Values (, , , , , )</v>
      </c>
    </row>
    <row r="3363" spans="7:7" x14ac:dyDescent="0.25">
      <c r="G3363" t="str">
        <f t="shared" si="154"/>
        <v>Insert into BlueCreditTypeRainbow Values (, , , , , )</v>
      </c>
    </row>
    <row r="3364" spans="7:7" x14ac:dyDescent="0.25">
      <c r="G3364" t="str">
        <f t="shared" si="154"/>
        <v>Insert into BlueCreditTypeRainbow Values (, , , , , )</v>
      </c>
    </row>
    <row r="3365" spans="7:7" x14ac:dyDescent="0.25">
      <c r="G3365" t="str">
        <f t="shared" si="154"/>
        <v>Insert into BlueCreditTypeRainbow Values (, , , , , )</v>
      </c>
    </row>
    <row r="3366" spans="7:7" x14ac:dyDescent="0.25">
      <c r="G3366" t="str">
        <f t="shared" si="154"/>
        <v>Insert into BlueCreditTypeRainbow Values (, , , , , )</v>
      </c>
    </row>
    <row r="3367" spans="7:7" x14ac:dyDescent="0.25">
      <c r="G3367" t="str">
        <f t="shared" si="154"/>
        <v>Insert into BlueCreditTypeRainbow Values (, , , , , )</v>
      </c>
    </row>
    <row r="3368" spans="7:7" x14ac:dyDescent="0.25">
      <c r="G3368" t="str">
        <f t="shared" si="154"/>
        <v>Insert into BlueCreditTypeRainbow Values (, , , , , )</v>
      </c>
    </row>
    <row r="3369" spans="7:7" x14ac:dyDescent="0.25">
      <c r="G3369" t="str">
        <f t="shared" si="154"/>
        <v>Insert into BlueCreditTypeRainbow Values (, , , , , )</v>
      </c>
    </row>
    <row r="3370" spans="7:7" x14ac:dyDescent="0.25">
      <c r="G3370" t="str">
        <f t="shared" si="154"/>
        <v>Insert into BlueCreditTypeRainbow Values (, , , , , )</v>
      </c>
    </row>
    <row r="3371" spans="7:7" x14ac:dyDescent="0.25">
      <c r="G3371" t="str">
        <f t="shared" si="154"/>
        <v>Insert into BlueCreditTypeRainbow Values (, , , , , )</v>
      </c>
    </row>
    <row r="3372" spans="7:7" x14ac:dyDescent="0.25">
      <c r="G3372" t="str">
        <f t="shared" si="154"/>
        <v>Insert into BlueCreditTypeRainbow Values (, , , , , )</v>
      </c>
    </row>
    <row r="3373" spans="7:7" x14ac:dyDescent="0.25">
      <c r="G3373" t="str">
        <f t="shared" si="154"/>
        <v>Insert into BlueCreditTypeRainbow Values (, , , , , )</v>
      </c>
    </row>
    <row r="3374" spans="7:7" x14ac:dyDescent="0.25">
      <c r="G3374" t="str">
        <f t="shared" si="154"/>
        <v>Insert into BlueCreditTypeRainbow Values (, , , , , )</v>
      </c>
    </row>
    <row r="3375" spans="7:7" x14ac:dyDescent="0.25">
      <c r="G3375" t="str">
        <f t="shared" si="154"/>
        <v>Insert into BlueCreditTypeRainbow Values (, , , , , )</v>
      </c>
    </row>
    <row r="3376" spans="7:7" x14ac:dyDescent="0.25">
      <c r="G3376" t="str">
        <f t="shared" si="154"/>
        <v>Insert into BlueCreditTypeRainbow Values (, , , , , )</v>
      </c>
    </row>
    <row r="3377" spans="7:7" x14ac:dyDescent="0.25">
      <c r="G3377" t="str">
        <f t="shared" si="154"/>
        <v>Insert into BlueCreditTypeRainbow Values (, , , , , )</v>
      </c>
    </row>
    <row r="3378" spans="7:7" x14ac:dyDescent="0.25">
      <c r="G3378" t="str">
        <f t="shared" si="154"/>
        <v>Insert into BlueCreditTypeRainbow Values (, , , , , )</v>
      </c>
    </row>
    <row r="3379" spans="7:7" x14ac:dyDescent="0.25">
      <c r="G3379" t="str">
        <f t="shared" si="154"/>
        <v>Insert into BlueCreditTypeRainbow Values (, , , , , )</v>
      </c>
    </row>
    <row r="3380" spans="7:7" x14ac:dyDescent="0.25">
      <c r="G3380" t="str">
        <f t="shared" si="154"/>
        <v>Insert into BlueCreditTypeRainbow Values (, , , , , )</v>
      </c>
    </row>
    <row r="3381" spans="7:7" x14ac:dyDescent="0.25">
      <c r="G3381" t="str">
        <f t="shared" si="154"/>
        <v>Insert into BlueCreditTypeRainbow Values (, , , , , )</v>
      </c>
    </row>
    <row r="3382" spans="7:7" x14ac:dyDescent="0.25">
      <c r="G3382" t="str">
        <f t="shared" si="154"/>
        <v>Insert into BlueCreditTypeRainbow Values (, , , , , )</v>
      </c>
    </row>
    <row r="3383" spans="7:7" x14ac:dyDescent="0.25">
      <c r="G3383" t="str">
        <f t="shared" si="154"/>
        <v>Insert into BlueCreditTypeRainbow Values (, , , , , )</v>
      </c>
    </row>
    <row r="3384" spans="7:7" x14ac:dyDescent="0.25">
      <c r="G3384" t="str">
        <f t="shared" si="154"/>
        <v>Insert into BlueCreditTypeRainbow Values (, , , , , )</v>
      </c>
    </row>
    <row r="3385" spans="7:7" x14ac:dyDescent="0.25">
      <c r="G3385" t="str">
        <f t="shared" si="154"/>
        <v>Insert into BlueCreditTypeRainbow Values (, , , , , )</v>
      </c>
    </row>
    <row r="3386" spans="7:7" x14ac:dyDescent="0.25">
      <c r="G3386" t="str">
        <f t="shared" si="154"/>
        <v>Insert into BlueCreditTypeRainbow Values (, , , , , )</v>
      </c>
    </row>
    <row r="3387" spans="7:7" x14ac:dyDescent="0.25">
      <c r="G3387" t="str">
        <f t="shared" si="154"/>
        <v>Insert into BlueCreditTypeRainbow Values (, , , , , )</v>
      </c>
    </row>
    <row r="3388" spans="7:7" x14ac:dyDescent="0.25">
      <c r="G3388" t="str">
        <f t="shared" si="154"/>
        <v>Insert into BlueCreditTypeRainbow Values (, , , , , )</v>
      </c>
    </row>
    <row r="3389" spans="7:7" x14ac:dyDescent="0.25">
      <c r="G3389" t="str">
        <f t="shared" si="154"/>
        <v>Insert into BlueCreditTypeRainbow Values (, , , , , )</v>
      </c>
    </row>
    <row r="3390" spans="7:7" x14ac:dyDescent="0.25">
      <c r="G3390" t="str">
        <f t="shared" si="154"/>
        <v>Insert into BlueCreditTypeRainbow Values (, , , , , )</v>
      </c>
    </row>
    <row r="3391" spans="7:7" x14ac:dyDescent="0.25">
      <c r="G3391" t="str">
        <f t="shared" si="154"/>
        <v>Insert into BlueCreditTypeRainbow Values (, , , , , )</v>
      </c>
    </row>
    <row r="3392" spans="7:7" x14ac:dyDescent="0.25">
      <c r="G3392" t="str">
        <f t="shared" si="154"/>
        <v>Insert into BlueCreditTypeRainbow Values (, , , , , )</v>
      </c>
    </row>
    <row r="3393" spans="7:7" x14ac:dyDescent="0.25">
      <c r="G3393" t="str">
        <f t="shared" si="154"/>
        <v>Insert into BlueCreditTypeRainbow Values (, , , , , )</v>
      </c>
    </row>
    <row r="3394" spans="7:7" x14ac:dyDescent="0.25">
      <c r="G3394" t="str">
        <f t="shared" si="154"/>
        <v>Insert into BlueCreditTypeRainbow Values (, , , , , )</v>
      </c>
    </row>
    <row r="3395" spans="7:7" x14ac:dyDescent="0.25">
      <c r="G3395" t="str">
        <f t="shared" si="154"/>
        <v>Insert into BlueCreditTypeRainbow Values (, , , , , )</v>
      </c>
    </row>
    <row r="3396" spans="7:7" x14ac:dyDescent="0.25">
      <c r="G3396" t="str">
        <f t="shared" si="154"/>
        <v>Insert into BlueCreditTypeRainbow Values (, , , , , )</v>
      </c>
    </row>
    <row r="3397" spans="7:7" x14ac:dyDescent="0.25">
      <c r="G3397" t="str">
        <f t="shared" si="154"/>
        <v>Insert into BlueCreditTypeRainbow Values (, , , , , )</v>
      </c>
    </row>
    <row r="3398" spans="7:7" x14ac:dyDescent="0.25">
      <c r="G3398" t="str">
        <f t="shared" si="154"/>
        <v>Insert into BlueCreditTypeRainbow Values (, , , , , )</v>
      </c>
    </row>
    <row r="3399" spans="7:7" x14ac:dyDescent="0.25">
      <c r="G3399" t="str">
        <f t="shared" si="154"/>
        <v>Insert into BlueCreditTypeRainbow Values (, , , , , )</v>
      </c>
    </row>
    <row r="3400" spans="7:7" x14ac:dyDescent="0.25">
      <c r="G3400" t="str">
        <f t="shared" si="154"/>
        <v>Insert into BlueCreditTypeRainbow Values (, , , , , )</v>
      </c>
    </row>
    <row r="3401" spans="7:7" x14ac:dyDescent="0.25">
      <c r="G3401" t="str">
        <f t="shared" si="154"/>
        <v>Insert into BlueCreditTypeRainbow Values (, , , , , )</v>
      </c>
    </row>
    <row r="3402" spans="7:7" x14ac:dyDescent="0.25">
      <c r="G3402" t="str">
        <f t="shared" si="154"/>
        <v>Insert into BlueCreditTypeRainbow Values (, , , , , )</v>
      </c>
    </row>
    <row r="3403" spans="7:7" x14ac:dyDescent="0.25">
      <c r="G3403" t="str">
        <f t="shared" si="154"/>
        <v>Insert into BlueCreditTypeRainbow Values (, , , , , )</v>
      </c>
    </row>
    <row r="3404" spans="7:7" x14ac:dyDescent="0.25">
      <c r="G3404" t="str">
        <f t="shared" si="154"/>
        <v>Insert into BlueCreditTypeRainbow Values (, , , , , )</v>
      </c>
    </row>
    <row r="3405" spans="7:7" x14ac:dyDescent="0.25">
      <c r="G3405" t="str">
        <f t="shared" si="154"/>
        <v>Insert into BlueCreditTypeRainbow Values (, , , , , )</v>
      </c>
    </row>
    <row r="3406" spans="7:7" x14ac:dyDescent="0.25">
      <c r="G3406" t="str">
        <f t="shared" si="154"/>
        <v>Insert into BlueCreditTypeRainbow Values (, , , , , )</v>
      </c>
    </row>
    <row r="3407" spans="7:7" x14ac:dyDescent="0.25">
      <c r="G3407" t="str">
        <f t="shared" ref="G3407:G3470" si="155">CONCATENATE("Insert into BlueCreditTypeRainbow Values (",A3407,", ",B3407,", ",C3407,", ",D3407,", ",E3407,", ",F3407,")")</f>
        <v>Insert into BlueCreditTypeRainbow Values (, , , , , )</v>
      </c>
    </row>
    <row r="3408" spans="7:7" x14ac:dyDescent="0.25">
      <c r="G3408" t="str">
        <f t="shared" si="155"/>
        <v>Insert into BlueCreditTypeRainbow Values (, , , , , )</v>
      </c>
    </row>
    <row r="3409" spans="7:7" x14ac:dyDescent="0.25">
      <c r="G3409" t="str">
        <f t="shared" si="155"/>
        <v>Insert into BlueCreditTypeRainbow Values (, , , , , )</v>
      </c>
    </row>
    <row r="3410" spans="7:7" x14ac:dyDescent="0.25">
      <c r="G3410" t="str">
        <f t="shared" si="155"/>
        <v>Insert into BlueCreditTypeRainbow Values (, , , , , )</v>
      </c>
    </row>
    <row r="3411" spans="7:7" x14ac:dyDescent="0.25">
      <c r="G3411" t="str">
        <f t="shared" si="155"/>
        <v>Insert into BlueCreditTypeRainbow Values (, , , , , )</v>
      </c>
    </row>
    <row r="3412" spans="7:7" x14ac:dyDescent="0.25">
      <c r="G3412" t="str">
        <f t="shared" si="155"/>
        <v>Insert into BlueCreditTypeRainbow Values (, , , , , )</v>
      </c>
    </row>
    <row r="3413" spans="7:7" x14ac:dyDescent="0.25">
      <c r="G3413" t="str">
        <f t="shared" si="155"/>
        <v>Insert into BlueCreditTypeRainbow Values (, , , , , )</v>
      </c>
    </row>
    <row r="3414" spans="7:7" x14ac:dyDescent="0.25">
      <c r="G3414" t="str">
        <f t="shared" si="155"/>
        <v>Insert into BlueCreditTypeRainbow Values (, , , , , )</v>
      </c>
    </row>
    <row r="3415" spans="7:7" x14ac:dyDescent="0.25">
      <c r="G3415" t="str">
        <f t="shared" si="155"/>
        <v>Insert into BlueCreditTypeRainbow Values (, , , , , )</v>
      </c>
    </row>
    <row r="3416" spans="7:7" x14ac:dyDescent="0.25">
      <c r="G3416" t="str">
        <f t="shared" si="155"/>
        <v>Insert into BlueCreditTypeRainbow Values (, , , , , )</v>
      </c>
    </row>
    <row r="3417" spans="7:7" x14ac:dyDescent="0.25">
      <c r="G3417" t="str">
        <f t="shared" si="155"/>
        <v>Insert into BlueCreditTypeRainbow Values (, , , , , )</v>
      </c>
    </row>
    <row r="3418" spans="7:7" x14ac:dyDescent="0.25">
      <c r="G3418" t="str">
        <f t="shared" si="155"/>
        <v>Insert into BlueCreditTypeRainbow Values (, , , , , )</v>
      </c>
    </row>
    <row r="3419" spans="7:7" x14ac:dyDescent="0.25">
      <c r="G3419" t="str">
        <f t="shared" si="155"/>
        <v>Insert into BlueCreditTypeRainbow Values (, , , , , )</v>
      </c>
    </row>
    <row r="3420" spans="7:7" x14ac:dyDescent="0.25">
      <c r="G3420" t="str">
        <f t="shared" si="155"/>
        <v>Insert into BlueCreditTypeRainbow Values (, , , , , )</v>
      </c>
    </row>
    <row r="3421" spans="7:7" x14ac:dyDescent="0.25">
      <c r="G3421" t="str">
        <f t="shared" si="155"/>
        <v>Insert into BlueCreditTypeRainbow Values (, , , , , )</v>
      </c>
    </row>
    <row r="3422" spans="7:7" x14ac:dyDescent="0.25">
      <c r="G3422" t="str">
        <f t="shared" si="155"/>
        <v>Insert into BlueCreditTypeRainbow Values (, , , , , )</v>
      </c>
    </row>
    <row r="3423" spans="7:7" x14ac:dyDescent="0.25">
      <c r="G3423" t="str">
        <f t="shared" si="155"/>
        <v>Insert into BlueCreditTypeRainbow Values (, , , , , )</v>
      </c>
    </row>
    <row r="3424" spans="7:7" x14ac:dyDescent="0.25">
      <c r="G3424" t="str">
        <f t="shared" si="155"/>
        <v>Insert into BlueCreditTypeRainbow Values (, , , , , )</v>
      </c>
    </row>
    <row r="3425" spans="7:7" x14ac:dyDescent="0.25">
      <c r="G3425" t="str">
        <f t="shared" si="155"/>
        <v>Insert into BlueCreditTypeRainbow Values (, , , , , )</v>
      </c>
    </row>
    <row r="3426" spans="7:7" x14ac:dyDescent="0.25">
      <c r="G3426" t="str">
        <f t="shared" si="155"/>
        <v>Insert into BlueCreditTypeRainbow Values (, , , , , )</v>
      </c>
    </row>
    <row r="3427" spans="7:7" x14ac:dyDescent="0.25">
      <c r="G3427" t="str">
        <f t="shared" si="155"/>
        <v>Insert into BlueCreditTypeRainbow Values (, , , , , )</v>
      </c>
    </row>
    <row r="3428" spans="7:7" x14ac:dyDescent="0.25">
      <c r="G3428" t="str">
        <f t="shared" si="155"/>
        <v>Insert into BlueCreditTypeRainbow Values (, , , , , )</v>
      </c>
    </row>
    <row r="3429" spans="7:7" x14ac:dyDescent="0.25">
      <c r="G3429" t="str">
        <f t="shared" si="155"/>
        <v>Insert into BlueCreditTypeRainbow Values (, , , , , )</v>
      </c>
    </row>
    <row r="3430" spans="7:7" x14ac:dyDescent="0.25">
      <c r="G3430" t="str">
        <f t="shared" si="155"/>
        <v>Insert into BlueCreditTypeRainbow Values (, , , , , )</v>
      </c>
    </row>
    <row r="3431" spans="7:7" x14ac:dyDescent="0.25">
      <c r="G3431" t="str">
        <f t="shared" si="155"/>
        <v>Insert into BlueCreditTypeRainbow Values (, , , , , )</v>
      </c>
    </row>
    <row r="3432" spans="7:7" x14ac:dyDescent="0.25">
      <c r="G3432" t="str">
        <f t="shared" si="155"/>
        <v>Insert into BlueCreditTypeRainbow Values (, , , , , )</v>
      </c>
    </row>
    <row r="3433" spans="7:7" x14ac:dyDescent="0.25">
      <c r="G3433" t="str">
        <f t="shared" si="155"/>
        <v>Insert into BlueCreditTypeRainbow Values (, , , , , )</v>
      </c>
    </row>
    <row r="3434" spans="7:7" x14ac:dyDescent="0.25">
      <c r="G3434" t="str">
        <f t="shared" si="155"/>
        <v>Insert into BlueCreditTypeRainbow Values (, , , , , )</v>
      </c>
    </row>
    <row r="3435" spans="7:7" x14ac:dyDescent="0.25">
      <c r="G3435" t="str">
        <f t="shared" si="155"/>
        <v>Insert into BlueCreditTypeRainbow Values (, , , , , )</v>
      </c>
    </row>
    <row r="3436" spans="7:7" x14ac:dyDescent="0.25">
      <c r="G3436" t="str">
        <f t="shared" si="155"/>
        <v>Insert into BlueCreditTypeRainbow Values (, , , , , )</v>
      </c>
    </row>
    <row r="3437" spans="7:7" x14ac:dyDescent="0.25">
      <c r="G3437" t="str">
        <f t="shared" si="155"/>
        <v>Insert into BlueCreditTypeRainbow Values (, , , , , )</v>
      </c>
    </row>
    <row r="3438" spans="7:7" x14ac:dyDescent="0.25">
      <c r="G3438" t="str">
        <f t="shared" si="155"/>
        <v>Insert into BlueCreditTypeRainbow Values (, , , , , )</v>
      </c>
    </row>
    <row r="3439" spans="7:7" x14ac:dyDescent="0.25">
      <c r="G3439" t="str">
        <f t="shared" si="155"/>
        <v>Insert into BlueCreditTypeRainbow Values (, , , , , )</v>
      </c>
    </row>
    <row r="3440" spans="7:7" x14ac:dyDescent="0.25">
      <c r="G3440" t="str">
        <f t="shared" si="155"/>
        <v>Insert into BlueCreditTypeRainbow Values (, , , , , )</v>
      </c>
    </row>
    <row r="3441" spans="7:7" x14ac:dyDescent="0.25">
      <c r="G3441" t="str">
        <f t="shared" si="155"/>
        <v>Insert into BlueCreditTypeRainbow Values (, , , , , )</v>
      </c>
    </row>
    <row r="3442" spans="7:7" x14ac:dyDescent="0.25">
      <c r="G3442" t="str">
        <f t="shared" si="155"/>
        <v>Insert into BlueCreditTypeRainbow Values (, , , , , )</v>
      </c>
    </row>
    <row r="3443" spans="7:7" x14ac:dyDescent="0.25">
      <c r="G3443" t="str">
        <f t="shared" si="155"/>
        <v>Insert into BlueCreditTypeRainbow Values (, , , , , )</v>
      </c>
    </row>
    <row r="3444" spans="7:7" x14ac:dyDescent="0.25">
      <c r="G3444" t="str">
        <f t="shared" si="155"/>
        <v>Insert into BlueCreditTypeRainbow Values (, , , , , )</v>
      </c>
    </row>
    <row r="3445" spans="7:7" x14ac:dyDescent="0.25">
      <c r="G3445" t="str">
        <f t="shared" si="155"/>
        <v>Insert into BlueCreditTypeRainbow Values (, , , , , )</v>
      </c>
    </row>
    <row r="3446" spans="7:7" x14ac:dyDescent="0.25">
      <c r="G3446" t="str">
        <f t="shared" si="155"/>
        <v>Insert into BlueCreditTypeRainbow Values (, , , , , )</v>
      </c>
    </row>
    <row r="3447" spans="7:7" x14ac:dyDescent="0.25">
      <c r="G3447" t="str">
        <f t="shared" si="155"/>
        <v>Insert into BlueCreditTypeRainbow Values (, , , , , )</v>
      </c>
    </row>
    <row r="3448" spans="7:7" x14ac:dyDescent="0.25">
      <c r="G3448" t="str">
        <f t="shared" si="155"/>
        <v>Insert into BlueCreditTypeRainbow Values (, , , , , )</v>
      </c>
    </row>
    <row r="3449" spans="7:7" x14ac:dyDescent="0.25">
      <c r="G3449" t="str">
        <f t="shared" si="155"/>
        <v>Insert into BlueCreditTypeRainbow Values (, , , , , )</v>
      </c>
    </row>
    <row r="3450" spans="7:7" x14ac:dyDescent="0.25">
      <c r="G3450" t="str">
        <f t="shared" si="155"/>
        <v>Insert into BlueCreditTypeRainbow Values (, , , , , )</v>
      </c>
    </row>
    <row r="3451" spans="7:7" x14ac:dyDescent="0.25">
      <c r="G3451" t="str">
        <f t="shared" si="155"/>
        <v>Insert into BlueCreditTypeRainbow Values (, , , , , )</v>
      </c>
    </row>
    <row r="3452" spans="7:7" x14ac:dyDescent="0.25">
      <c r="G3452" t="str">
        <f t="shared" si="155"/>
        <v>Insert into BlueCreditTypeRainbow Values (, , , , , )</v>
      </c>
    </row>
    <row r="3453" spans="7:7" x14ac:dyDescent="0.25">
      <c r="G3453" t="str">
        <f t="shared" si="155"/>
        <v>Insert into BlueCreditTypeRainbow Values (, , , , , )</v>
      </c>
    </row>
    <row r="3454" spans="7:7" x14ac:dyDescent="0.25">
      <c r="G3454" t="str">
        <f t="shared" si="155"/>
        <v>Insert into BlueCreditTypeRainbow Values (, , , , , )</v>
      </c>
    </row>
    <row r="3455" spans="7:7" x14ac:dyDescent="0.25">
      <c r="G3455" t="str">
        <f t="shared" si="155"/>
        <v>Insert into BlueCreditTypeRainbow Values (, , , , , )</v>
      </c>
    </row>
    <row r="3456" spans="7:7" x14ac:dyDescent="0.25">
      <c r="G3456" t="str">
        <f t="shared" si="155"/>
        <v>Insert into BlueCreditTypeRainbow Values (, , , , , )</v>
      </c>
    </row>
    <row r="3457" spans="7:7" x14ac:dyDescent="0.25">
      <c r="G3457" t="str">
        <f t="shared" si="155"/>
        <v>Insert into BlueCreditTypeRainbow Values (, , , , , )</v>
      </c>
    </row>
    <row r="3458" spans="7:7" x14ac:dyDescent="0.25">
      <c r="G3458" t="str">
        <f t="shared" si="155"/>
        <v>Insert into BlueCreditTypeRainbow Values (, , , , , )</v>
      </c>
    </row>
    <row r="3459" spans="7:7" x14ac:dyDescent="0.25">
      <c r="G3459" t="str">
        <f t="shared" si="155"/>
        <v>Insert into BlueCreditTypeRainbow Values (, , , , , )</v>
      </c>
    </row>
    <row r="3460" spans="7:7" x14ac:dyDescent="0.25">
      <c r="G3460" t="str">
        <f t="shared" si="155"/>
        <v>Insert into BlueCreditTypeRainbow Values (, , , , , )</v>
      </c>
    </row>
    <row r="3461" spans="7:7" x14ac:dyDescent="0.25">
      <c r="G3461" t="str">
        <f t="shared" si="155"/>
        <v>Insert into BlueCreditTypeRainbow Values (, , , , , )</v>
      </c>
    </row>
    <row r="3462" spans="7:7" x14ac:dyDescent="0.25">
      <c r="G3462" t="str">
        <f t="shared" si="155"/>
        <v>Insert into BlueCreditTypeRainbow Values (, , , , , )</v>
      </c>
    </row>
    <row r="3463" spans="7:7" x14ac:dyDescent="0.25">
      <c r="G3463" t="str">
        <f t="shared" si="155"/>
        <v>Insert into BlueCreditTypeRainbow Values (, , , , , )</v>
      </c>
    </row>
    <row r="3464" spans="7:7" x14ac:dyDescent="0.25">
      <c r="G3464" t="str">
        <f t="shared" si="155"/>
        <v>Insert into BlueCreditTypeRainbow Values (, , , , , )</v>
      </c>
    </row>
    <row r="3465" spans="7:7" x14ac:dyDescent="0.25">
      <c r="G3465" t="str">
        <f t="shared" si="155"/>
        <v>Insert into BlueCreditTypeRainbow Values (, , , , , )</v>
      </c>
    </row>
    <row r="3466" spans="7:7" x14ac:dyDescent="0.25">
      <c r="G3466" t="str">
        <f t="shared" si="155"/>
        <v>Insert into BlueCreditTypeRainbow Values (, , , , , )</v>
      </c>
    </row>
    <row r="3467" spans="7:7" x14ac:dyDescent="0.25">
      <c r="G3467" t="str">
        <f t="shared" si="155"/>
        <v>Insert into BlueCreditTypeRainbow Values (, , , , , )</v>
      </c>
    </row>
    <row r="3468" spans="7:7" x14ac:dyDescent="0.25">
      <c r="G3468" t="str">
        <f t="shared" si="155"/>
        <v>Insert into BlueCreditTypeRainbow Values (, , , , , )</v>
      </c>
    </row>
    <row r="3469" spans="7:7" x14ac:dyDescent="0.25">
      <c r="G3469" t="str">
        <f t="shared" si="155"/>
        <v>Insert into BlueCreditTypeRainbow Values (, , , , , )</v>
      </c>
    </row>
    <row r="3470" spans="7:7" x14ac:dyDescent="0.25">
      <c r="G3470" t="str">
        <f t="shared" si="155"/>
        <v>Insert into BlueCreditTypeRainbow Values (, , , , , )</v>
      </c>
    </row>
    <row r="3471" spans="7:7" x14ac:dyDescent="0.25">
      <c r="G3471" t="str">
        <f t="shared" ref="G3471:G3534" si="156">CONCATENATE("Insert into BlueCreditTypeRainbow Values (",A3471,", ",B3471,", ",C3471,", ",D3471,", ",E3471,", ",F3471,")")</f>
        <v>Insert into BlueCreditTypeRainbow Values (, , , , , )</v>
      </c>
    </row>
    <row r="3472" spans="7:7" x14ac:dyDescent="0.25">
      <c r="G3472" t="str">
        <f t="shared" si="156"/>
        <v>Insert into BlueCreditTypeRainbow Values (, , , , , )</v>
      </c>
    </row>
    <row r="3473" spans="7:7" x14ac:dyDescent="0.25">
      <c r="G3473" t="str">
        <f t="shared" si="156"/>
        <v>Insert into BlueCreditTypeRainbow Values (, , , , , )</v>
      </c>
    </row>
    <row r="3474" spans="7:7" x14ac:dyDescent="0.25">
      <c r="G3474" t="str">
        <f t="shared" si="156"/>
        <v>Insert into BlueCreditTypeRainbow Values (, , , , , )</v>
      </c>
    </row>
    <row r="3475" spans="7:7" x14ac:dyDescent="0.25">
      <c r="G3475" t="str">
        <f t="shared" si="156"/>
        <v>Insert into BlueCreditTypeRainbow Values (, , , , , )</v>
      </c>
    </row>
    <row r="3476" spans="7:7" x14ac:dyDescent="0.25">
      <c r="G3476" t="str">
        <f t="shared" si="156"/>
        <v>Insert into BlueCreditTypeRainbow Values (, , , , , )</v>
      </c>
    </row>
    <row r="3477" spans="7:7" x14ac:dyDescent="0.25">
      <c r="G3477" t="str">
        <f t="shared" si="156"/>
        <v>Insert into BlueCreditTypeRainbow Values (, , , , , )</v>
      </c>
    </row>
    <row r="3478" spans="7:7" x14ac:dyDescent="0.25">
      <c r="G3478" t="str">
        <f t="shared" si="156"/>
        <v>Insert into BlueCreditTypeRainbow Values (, , , , , )</v>
      </c>
    </row>
    <row r="3479" spans="7:7" x14ac:dyDescent="0.25">
      <c r="G3479" t="str">
        <f t="shared" si="156"/>
        <v>Insert into BlueCreditTypeRainbow Values (, , , , , )</v>
      </c>
    </row>
    <row r="3480" spans="7:7" x14ac:dyDescent="0.25">
      <c r="G3480" t="str">
        <f t="shared" si="156"/>
        <v>Insert into BlueCreditTypeRainbow Values (, , , , , )</v>
      </c>
    </row>
    <row r="3481" spans="7:7" x14ac:dyDescent="0.25">
      <c r="G3481" t="str">
        <f t="shared" si="156"/>
        <v>Insert into BlueCreditTypeRainbow Values (, , , , , )</v>
      </c>
    </row>
    <row r="3482" spans="7:7" x14ac:dyDescent="0.25">
      <c r="G3482" t="str">
        <f t="shared" si="156"/>
        <v>Insert into BlueCreditTypeRainbow Values (, , , , , )</v>
      </c>
    </row>
    <row r="3483" spans="7:7" x14ac:dyDescent="0.25">
      <c r="G3483" t="str">
        <f t="shared" si="156"/>
        <v>Insert into BlueCreditTypeRainbow Values (, , , , , )</v>
      </c>
    </row>
    <row r="3484" spans="7:7" x14ac:dyDescent="0.25">
      <c r="G3484" t="str">
        <f t="shared" si="156"/>
        <v>Insert into BlueCreditTypeRainbow Values (, , , , , )</v>
      </c>
    </row>
    <row r="3485" spans="7:7" x14ac:dyDescent="0.25">
      <c r="G3485" t="str">
        <f t="shared" si="156"/>
        <v>Insert into BlueCreditTypeRainbow Values (, , , , , )</v>
      </c>
    </row>
    <row r="3486" spans="7:7" x14ac:dyDescent="0.25">
      <c r="G3486" t="str">
        <f t="shared" si="156"/>
        <v>Insert into BlueCreditTypeRainbow Values (, , , , , )</v>
      </c>
    </row>
    <row r="3487" spans="7:7" x14ac:dyDescent="0.25">
      <c r="G3487" t="str">
        <f t="shared" si="156"/>
        <v>Insert into BlueCreditTypeRainbow Values (, , , , , )</v>
      </c>
    </row>
    <row r="3488" spans="7:7" x14ac:dyDescent="0.25">
      <c r="G3488" t="str">
        <f t="shared" si="156"/>
        <v>Insert into BlueCreditTypeRainbow Values (, , , , , )</v>
      </c>
    </row>
    <row r="3489" spans="7:7" x14ac:dyDescent="0.25">
      <c r="G3489" t="str">
        <f t="shared" si="156"/>
        <v>Insert into BlueCreditTypeRainbow Values (, , , , , )</v>
      </c>
    </row>
    <row r="3490" spans="7:7" x14ac:dyDescent="0.25">
      <c r="G3490" t="str">
        <f t="shared" si="156"/>
        <v>Insert into BlueCreditTypeRainbow Values (, , , , , )</v>
      </c>
    </row>
    <row r="3491" spans="7:7" x14ac:dyDescent="0.25">
      <c r="G3491" t="str">
        <f t="shared" si="156"/>
        <v>Insert into BlueCreditTypeRainbow Values (, , , , , )</v>
      </c>
    </row>
    <row r="3492" spans="7:7" x14ac:dyDescent="0.25">
      <c r="G3492" t="str">
        <f t="shared" si="156"/>
        <v>Insert into BlueCreditTypeRainbow Values (, , , , , )</v>
      </c>
    </row>
    <row r="3493" spans="7:7" x14ac:dyDescent="0.25">
      <c r="G3493" t="str">
        <f t="shared" si="156"/>
        <v>Insert into BlueCreditTypeRainbow Values (, , , , , )</v>
      </c>
    </row>
    <row r="3494" spans="7:7" x14ac:dyDescent="0.25">
      <c r="G3494" t="str">
        <f t="shared" si="156"/>
        <v>Insert into BlueCreditTypeRainbow Values (, , , , , )</v>
      </c>
    </row>
    <row r="3495" spans="7:7" x14ac:dyDescent="0.25">
      <c r="G3495" t="str">
        <f t="shared" si="156"/>
        <v>Insert into BlueCreditTypeRainbow Values (, , , , , )</v>
      </c>
    </row>
    <row r="3496" spans="7:7" x14ac:dyDescent="0.25">
      <c r="G3496" t="str">
        <f t="shared" si="156"/>
        <v>Insert into BlueCreditTypeRainbow Values (, , , , , )</v>
      </c>
    </row>
    <row r="3497" spans="7:7" x14ac:dyDescent="0.25">
      <c r="G3497" t="str">
        <f t="shared" si="156"/>
        <v>Insert into BlueCreditTypeRainbow Values (, , , , , )</v>
      </c>
    </row>
    <row r="3498" spans="7:7" x14ac:dyDescent="0.25">
      <c r="G3498" t="str">
        <f t="shared" si="156"/>
        <v>Insert into BlueCreditTypeRainbow Values (, , , , , )</v>
      </c>
    </row>
    <row r="3499" spans="7:7" x14ac:dyDescent="0.25">
      <c r="G3499" t="str">
        <f t="shared" si="156"/>
        <v>Insert into BlueCreditTypeRainbow Values (, , , , , )</v>
      </c>
    </row>
    <row r="3500" spans="7:7" x14ac:dyDescent="0.25">
      <c r="G3500" t="str">
        <f t="shared" si="156"/>
        <v>Insert into BlueCreditTypeRainbow Values (, , , , , )</v>
      </c>
    </row>
    <row r="3501" spans="7:7" x14ac:dyDescent="0.25">
      <c r="G3501" t="str">
        <f t="shared" si="156"/>
        <v>Insert into BlueCreditTypeRainbow Values (, , , , , )</v>
      </c>
    </row>
    <row r="3502" spans="7:7" x14ac:dyDescent="0.25">
      <c r="G3502" t="str">
        <f t="shared" si="156"/>
        <v>Insert into BlueCreditTypeRainbow Values (, , , , , )</v>
      </c>
    </row>
    <row r="3503" spans="7:7" x14ac:dyDescent="0.25">
      <c r="G3503" t="str">
        <f t="shared" si="156"/>
        <v>Insert into BlueCreditTypeRainbow Values (, , , , , )</v>
      </c>
    </row>
    <row r="3504" spans="7:7" x14ac:dyDescent="0.25">
      <c r="G3504" t="str">
        <f t="shared" si="156"/>
        <v>Insert into BlueCreditTypeRainbow Values (, , , , , )</v>
      </c>
    </row>
    <row r="3505" spans="7:7" x14ac:dyDescent="0.25">
      <c r="G3505" t="str">
        <f t="shared" si="156"/>
        <v>Insert into BlueCreditTypeRainbow Values (, , , , , )</v>
      </c>
    </row>
    <row r="3506" spans="7:7" x14ac:dyDescent="0.25">
      <c r="G3506" t="str">
        <f t="shared" si="156"/>
        <v>Insert into BlueCreditTypeRainbow Values (, , , , , )</v>
      </c>
    </row>
    <row r="3507" spans="7:7" x14ac:dyDescent="0.25">
      <c r="G3507" t="str">
        <f t="shared" si="156"/>
        <v>Insert into BlueCreditTypeRainbow Values (, , , , , )</v>
      </c>
    </row>
    <row r="3508" spans="7:7" x14ac:dyDescent="0.25">
      <c r="G3508" t="str">
        <f t="shared" si="156"/>
        <v>Insert into BlueCreditTypeRainbow Values (, , , , , )</v>
      </c>
    </row>
    <row r="3509" spans="7:7" x14ac:dyDescent="0.25">
      <c r="G3509" t="str">
        <f t="shared" si="156"/>
        <v>Insert into BlueCreditTypeRainbow Values (, , , , , )</v>
      </c>
    </row>
    <row r="3510" spans="7:7" x14ac:dyDescent="0.25">
      <c r="G3510" t="str">
        <f t="shared" si="156"/>
        <v>Insert into BlueCreditTypeRainbow Values (, , , , , )</v>
      </c>
    </row>
    <row r="3511" spans="7:7" x14ac:dyDescent="0.25">
      <c r="G3511" t="str">
        <f t="shared" si="156"/>
        <v>Insert into BlueCreditTypeRainbow Values (, , , , , )</v>
      </c>
    </row>
    <row r="3512" spans="7:7" x14ac:dyDescent="0.25">
      <c r="G3512" t="str">
        <f t="shared" si="156"/>
        <v>Insert into BlueCreditTypeRainbow Values (, , , , , )</v>
      </c>
    </row>
    <row r="3513" spans="7:7" x14ac:dyDescent="0.25">
      <c r="G3513" t="str">
        <f t="shared" si="156"/>
        <v>Insert into BlueCreditTypeRainbow Values (, , , , , )</v>
      </c>
    </row>
    <row r="3514" spans="7:7" x14ac:dyDescent="0.25">
      <c r="G3514" t="str">
        <f t="shared" si="156"/>
        <v>Insert into BlueCreditTypeRainbow Values (, , , , , )</v>
      </c>
    </row>
    <row r="3515" spans="7:7" x14ac:dyDescent="0.25">
      <c r="G3515" t="str">
        <f t="shared" si="156"/>
        <v>Insert into BlueCreditTypeRainbow Values (, , , , , )</v>
      </c>
    </row>
    <row r="3516" spans="7:7" x14ac:dyDescent="0.25">
      <c r="G3516" t="str">
        <f t="shared" si="156"/>
        <v>Insert into BlueCreditTypeRainbow Values (, , , , , )</v>
      </c>
    </row>
    <row r="3517" spans="7:7" x14ac:dyDescent="0.25">
      <c r="G3517" t="str">
        <f t="shared" si="156"/>
        <v>Insert into BlueCreditTypeRainbow Values (, , , , , )</v>
      </c>
    </row>
    <row r="3518" spans="7:7" x14ac:dyDescent="0.25">
      <c r="G3518" t="str">
        <f t="shared" si="156"/>
        <v>Insert into BlueCreditTypeRainbow Values (, , , , , )</v>
      </c>
    </row>
    <row r="3519" spans="7:7" x14ac:dyDescent="0.25">
      <c r="G3519" t="str">
        <f t="shared" si="156"/>
        <v>Insert into BlueCreditTypeRainbow Values (, , , , , )</v>
      </c>
    </row>
    <row r="3520" spans="7:7" x14ac:dyDescent="0.25">
      <c r="G3520" t="str">
        <f t="shared" si="156"/>
        <v>Insert into BlueCreditTypeRainbow Values (, , , , , )</v>
      </c>
    </row>
    <row r="3521" spans="7:7" x14ac:dyDescent="0.25">
      <c r="G3521" t="str">
        <f t="shared" si="156"/>
        <v>Insert into BlueCreditTypeRainbow Values (, , , , , )</v>
      </c>
    </row>
    <row r="3522" spans="7:7" x14ac:dyDescent="0.25">
      <c r="G3522" t="str">
        <f t="shared" si="156"/>
        <v>Insert into BlueCreditTypeRainbow Values (, , , , , )</v>
      </c>
    </row>
    <row r="3523" spans="7:7" x14ac:dyDescent="0.25">
      <c r="G3523" t="str">
        <f t="shared" si="156"/>
        <v>Insert into BlueCreditTypeRainbow Values (, , , , , )</v>
      </c>
    </row>
    <row r="3524" spans="7:7" x14ac:dyDescent="0.25">
      <c r="G3524" t="str">
        <f t="shared" si="156"/>
        <v>Insert into BlueCreditTypeRainbow Values (, , , , , )</v>
      </c>
    </row>
    <row r="3525" spans="7:7" x14ac:dyDescent="0.25">
      <c r="G3525" t="str">
        <f t="shared" si="156"/>
        <v>Insert into BlueCreditTypeRainbow Values (, , , , , )</v>
      </c>
    </row>
    <row r="3526" spans="7:7" x14ac:dyDescent="0.25">
      <c r="G3526" t="str">
        <f t="shared" si="156"/>
        <v>Insert into BlueCreditTypeRainbow Values (, , , , , )</v>
      </c>
    </row>
    <row r="3527" spans="7:7" x14ac:dyDescent="0.25">
      <c r="G3527" t="str">
        <f t="shared" si="156"/>
        <v>Insert into BlueCreditTypeRainbow Values (, , , , , )</v>
      </c>
    </row>
    <row r="3528" spans="7:7" x14ac:dyDescent="0.25">
      <c r="G3528" t="str">
        <f t="shared" si="156"/>
        <v>Insert into BlueCreditTypeRainbow Values (, , , , , )</v>
      </c>
    </row>
    <row r="3529" spans="7:7" x14ac:dyDescent="0.25">
      <c r="G3529" t="str">
        <f t="shared" si="156"/>
        <v>Insert into BlueCreditTypeRainbow Values (, , , , , )</v>
      </c>
    </row>
    <row r="3530" spans="7:7" x14ac:dyDescent="0.25">
      <c r="G3530" t="str">
        <f t="shared" si="156"/>
        <v>Insert into BlueCreditTypeRainbow Values (, , , , , )</v>
      </c>
    </row>
    <row r="3531" spans="7:7" x14ac:dyDescent="0.25">
      <c r="G3531" t="str">
        <f t="shared" si="156"/>
        <v>Insert into BlueCreditTypeRainbow Values (, , , , , )</v>
      </c>
    </row>
    <row r="3532" spans="7:7" x14ac:dyDescent="0.25">
      <c r="G3532" t="str">
        <f t="shared" si="156"/>
        <v>Insert into BlueCreditTypeRainbow Values (, , , , , )</v>
      </c>
    </row>
    <row r="3533" spans="7:7" x14ac:dyDescent="0.25">
      <c r="G3533" t="str">
        <f t="shared" si="156"/>
        <v>Insert into BlueCreditTypeRainbow Values (, , , , , )</v>
      </c>
    </row>
    <row r="3534" spans="7:7" x14ac:dyDescent="0.25">
      <c r="G3534" t="str">
        <f t="shared" si="156"/>
        <v>Insert into BlueCreditTypeRainbow Values (, , , , , )</v>
      </c>
    </row>
    <row r="3535" spans="7:7" x14ac:dyDescent="0.25">
      <c r="G3535" t="str">
        <f t="shared" ref="G3535:G3598" si="157">CONCATENATE("Insert into BlueCreditTypeRainbow Values (",A3535,", ",B3535,", ",C3535,", ",D3535,", ",E3535,", ",F3535,")")</f>
        <v>Insert into BlueCreditTypeRainbow Values (, , , , , )</v>
      </c>
    </row>
    <row r="3536" spans="7:7" x14ac:dyDescent="0.25">
      <c r="G3536" t="str">
        <f t="shared" si="157"/>
        <v>Insert into BlueCreditTypeRainbow Values (, , , , , )</v>
      </c>
    </row>
    <row r="3537" spans="7:7" x14ac:dyDescent="0.25">
      <c r="G3537" t="str">
        <f t="shared" si="157"/>
        <v>Insert into BlueCreditTypeRainbow Values (, , , , , )</v>
      </c>
    </row>
    <row r="3538" spans="7:7" x14ac:dyDescent="0.25">
      <c r="G3538" t="str">
        <f t="shared" si="157"/>
        <v>Insert into BlueCreditTypeRainbow Values (, , , , , )</v>
      </c>
    </row>
    <row r="3539" spans="7:7" x14ac:dyDescent="0.25">
      <c r="G3539" t="str">
        <f t="shared" si="157"/>
        <v>Insert into BlueCreditTypeRainbow Values (, , , , , )</v>
      </c>
    </row>
    <row r="3540" spans="7:7" x14ac:dyDescent="0.25">
      <c r="G3540" t="str">
        <f t="shared" si="157"/>
        <v>Insert into BlueCreditTypeRainbow Values (, , , , , )</v>
      </c>
    </row>
    <row r="3541" spans="7:7" x14ac:dyDescent="0.25">
      <c r="G3541" t="str">
        <f t="shared" si="157"/>
        <v>Insert into BlueCreditTypeRainbow Values (, , , , , )</v>
      </c>
    </row>
    <row r="3542" spans="7:7" x14ac:dyDescent="0.25">
      <c r="G3542" t="str">
        <f t="shared" si="157"/>
        <v>Insert into BlueCreditTypeRainbow Values (, , , , , )</v>
      </c>
    </row>
    <row r="3543" spans="7:7" x14ac:dyDescent="0.25">
      <c r="G3543" t="str">
        <f t="shared" si="157"/>
        <v>Insert into BlueCreditTypeRainbow Values (, , , , , )</v>
      </c>
    </row>
    <row r="3544" spans="7:7" x14ac:dyDescent="0.25">
      <c r="G3544" t="str">
        <f t="shared" si="157"/>
        <v>Insert into BlueCreditTypeRainbow Values (, , , , , )</v>
      </c>
    </row>
    <row r="3545" spans="7:7" x14ac:dyDescent="0.25">
      <c r="G3545" t="str">
        <f t="shared" si="157"/>
        <v>Insert into BlueCreditTypeRainbow Values (, , , , , )</v>
      </c>
    </row>
    <row r="3546" spans="7:7" x14ac:dyDescent="0.25">
      <c r="G3546" t="str">
        <f t="shared" si="157"/>
        <v>Insert into BlueCreditTypeRainbow Values (, , , , , )</v>
      </c>
    </row>
    <row r="3547" spans="7:7" x14ac:dyDescent="0.25">
      <c r="G3547" t="str">
        <f t="shared" si="157"/>
        <v>Insert into BlueCreditTypeRainbow Values (, , , , , )</v>
      </c>
    </row>
    <row r="3548" spans="7:7" x14ac:dyDescent="0.25">
      <c r="G3548" t="str">
        <f t="shared" si="157"/>
        <v>Insert into BlueCreditTypeRainbow Values (, , , , , )</v>
      </c>
    </row>
    <row r="3549" spans="7:7" x14ac:dyDescent="0.25">
      <c r="G3549" t="str">
        <f t="shared" si="157"/>
        <v>Insert into BlueCreditTypeRainbow Values (, , , , , )</v>
      </c>
    </row>
    <row r="3550" spans="7:7" x14ac:dyDescent="0.25">
      <c r="G3550" t="str">
        <f t="shared" si="157"/>
        <v>Insert into BlueCreditTypeRainbow Values (, , , , , )</v>
      </c>
    </row>
    <row r="3551" spans="7:7" x14ac:dyDescent="0.25">
      <c r="G3551" t="str">
        <f t="shared" si="157"/>
        <v>Insert into BlueCreditTypeRainbow Values (, , , , , )</v>
      </c>
    </row>
    <row r="3552" spans="7:7" x14ac:dyDescent="0.25">
      <c r="G3552" t="str">
        <f t="shared" si="157"/>
        <v>Insert into BlueCreditTypeRainbow Values (, , , , , )</v>
      </c>
    </row>
    <row r="3553" spans="7:7" x14ac:dyDescent="0.25">
      <c r="G3553" t="str">
        <f t="shared" si="157"/>
        <v>Insert into BlueCreditTypeRainbow Values (, , , , , )</v>
      </c>
    </row>
    <row r="3554" spans="7:7" x14ac:dyDescent="0.25">
      <c r="G3554" t="str">
        <f t="shared" si="157"/>
        <v>Insert into BlueCreditTypeRainbow Values (, , , , , )</v>
      </c>
    </row>
    <row r="3555" spans="7:7" x14ac:dyDescent="0.25">
      <c r="G3555" t="str">
        <f t="shared" si="157"/>
        <v>Insert into BlueCreditTypeRainbow Values (, , , , , )</v>
      </c>
    </row>
    <row r="3556" spans="7:7" x14ac:dyDescent="0.25">
      <c r="G3556" t="str">
        <f t="shared" si="157"/>
        <v>Insert into BlueCreditTypeRainbow Values (, , , , , )</v>
      </c>
    </row>
    <row r="3557" spans="7:7" x14ac:dyDescent="0.25">
      <c r="G3557" t="str">
        <f t="shared" si="157"/>
        <v>Insert into BlueCreditTypeRainbow Values (, , , , , )</v>
      </c>
    </row>
    <row r="3558" spans="7:7" x14ac:dyDescent="0.25">
      <c r="G3558" t="str">
        <f t="shared" si="157"/>
        <v>Insert into BlueCreditTypeRainbow Values (, , , , , )</v>
      </c>
    </row>
    <row r="3559" spans="7:7" x14ac:dyDescent="0.25">
      <c r="G3559" t="str">
        <f t="shared" si="157"/>
        <v>Insert into BlueCreditTypeRainbow Values (, , , , , )</v>
      </c>
    </row>
    <row r="3560" spans="7:7" x14ac:dyDescent="0.25">
      <c r="G3560" t="str">
        <f t="shared" si="157"/>
        <v>Insert into BlueCreditTypeRainbow Values (, , , , , )</v>
      </c>
    </row>
    <row r="3561" spans="7:7" x14ac:dyDescent="0.25">
      <c r="G3561" t="str">
        <f t="shared" si="157"/>
        <v>Insert into BlueCreditTypeRainbow Values (, , , , , )</v>
      </c>
    </row>
    <row r="3562" spans="7:7" x14ac:dyDescent="0.25">
      <c r="G3562" t="str">
        <f t="shared" si="157"/>
        <v>Insert into BlueCreditTypeRainbow Values (, , , , , )</v>
      </c>
    </row>
    <row r="3563" spans="7:7" x14ac:dyDescent="0.25">
      <c r="G3563" t="str">
        <f t="shared" si="157"/>
        <v>Insert into BlueCreditTypeRainbow Values (, , , , , )</v>
      </c>
    </row>
    <row r="3564" spans="7:7" x14ac:dyDescent="0.25">
      <c r="G3564" t="str">
        <f t="shared" si="157"/>
        <v>Insert into BlueCreditTypeRainbow Values (, , , , , )</v>
      </c>
    </row>
    <row r="3565" spans="7:7" x14ac:dyDescent="0.25">
      <c r="G3565" t="str">
        <f t="shared" si="157"/>
        <v>Insert into BlueCreditTypeRainbow Values (, , , , , )</v>
      </c>
    </row>
    <row r="3566" spans="7:7" x14ac:dyDescent="0.25">
      <c r="G3566" t="str">
        <f t="shared" si="157"/>
        <v>Insert into BlueCreditTypeRainbow Values (, , , , , )</v>
      </c>
    </row>
    <row r="3567" spans="7:7" x14ac:dyDescent="0.25">
      <c r="G3567" t="str">
        <f t="shared" si="157"/>
        <v>Insert into BlueCreditTypeRainbow Values (, , , , , )</v>
      </c>
    </row>
    <row r="3568" spans="7:7" x14ac:dyDescent="0.25">
      <c r="G3568" t="str">
        <f t="shared" si="157"/>
        <v>Insert into BlueCreditTypeRainbow Values (, , , , , )</v>
      </c>
    </row>
    <row r="3569" spans="7:7" x14ac:dyDescent="0.25">
      <c r="G3569" t="str">
        <f t="shared" si="157"/>
        <v>Insert into BlueCreditTypeRainbow Values (, , , , , )</v>
      </c>
    </row>
    <row r="3570" spans="7:7" x14ac:dyDescent="0.25">
      <c r="G3570" t="str">
        <f t="shared" si="157"/>
        <v>Insert into BlueCreditTypeRainbow Values (, , , , , )</v>
      </c>
    </row>
    <row r="3571" spans="7:7" x14ac:dyDescent="0.25">
      <c r="G3571" t="str">
        <f t="shared" si="157"/>
        <v>Insert into BlueCreditTypeRainbow Values (, , , , , )</v>
      </c>
    </row>
    <row r="3572" spans="7:7" x14ac:dyDescent="0.25">
      <c r="G3572" t="str">
        <f t="shared" si="157"/>
        <v>Insert into BlueCreditTypeRainbow Values (, , , , , )</v>
      </c>
    </row>
    <row r="3573" spans="7:7" x14ac:dyDescent="0.25">
      <c r="G3573" t="str">
        <f t="shared" si="157"/>
        <v>Insert into BlueCreditTypeRainbow Values (, , , , , )</v>
      </c>
    </row>
    <row r="3574" spans="7:7" x14ac:dyDescent="0.25">
      <c r="G3574" t="str">
        <f t="shared" si="157"/>
        <v>Insert into BlueCreditTypeRainbow Values (, , , , , )</v>
      </c>
    </row>
    <row r="3575" spans="7:7" x14ac:dyDescent="0.25">
      <c r="G3575" t="str">
        <f t="shared" si="157"/>
        <v>Insert into BlueCreditTypeRainbow Values (, , , , , )</v>
      </c>
    </row>
    <row r="3576" spans="7:7" x14ac:dyDescent="0.25">
      <c r="G3576" t="str">
        <f t="shared" si="157"/>
        <v>Insert into BlueCreditTypeRainbow Values (, , , , , )</v>
      </c>
    </row>
    <row r="3577" spans="7:7" x14ac:dyDescent="0.25">
      <c r="G3577" t="str">
        <f t="shared" si="157"/>
        <v>Insert into BlueCreditTypeRainbow Values (, , , , , )</v>
      </c>
    </row>
    <row r="3578" spans="7:7" x14ac:dyDescent="0.25">
      <c r="G3578" t="str">
        <f t="shared" si="157"/>
        <v>Insert into BlueCreditTypeRainbow Values (, , , , , )</v>
      </c>
    </row>
    <row r="3579" spans="7:7" x14ac:dyDescent="0.25">
      <c r="G3579" t="str">
        <f t="shared" si="157"/>
        <v>Insert into BlueCreditTypeRainbow Values (, , , , , )</v>
      </c>
    </row>
    <row r="3580" spans="7:7" x14ac:dyDescent="0.25">
      <c r="G3580" t="str">
        <f t="shared" si="157"/>
        <v>Insert into BlueCreditTypeRainbow Values (, , , , , )</v>
      </c>
    </row>
    <row r="3581" spans="7:7" x14ac:dyDescent="0.25">
      <c r="G3581" t="str">
        <f t="shared" si="157"/>
        <v>Insert into BlueCreditTypeRainbow Values (, , , , , )</v>
      </c>
    </row>
    <row r="3582" spans="7:7" x14ac:dyDescent="0.25">
      <c r="G3582" t="str">
        <f t="shared" si="157"/>
        <v>Insert into BlueCreditTypeRainbow Values (, , , , , )</v>
      </c>
    </row>
    <row r="3583" spans="7:7" x14ac:dyDescent="0.25">
      <c r="G3583" t="str">
        <f t="shared" si="157"/>
        <v>Insert into BlueCreditTypeRainbow Values (, , , , , )</v>
      </c>
    </row>
    <row r="3584" spans="7:7" x14ac:dyDescent="0.25">
      <c r="G3584" t="str">
        <f t="shared" si="157"/>
        <v>Insert into BlueCreditTypeRainbow Values (, , , , , )</v>
      </c>
    </row>
    <row r="3585" spans="7:7" x14ac:dyDescent="0.25">
      <c r="G3585" t="str">
        <f t="shared" si="157"/>
        <v>Insert into BlueCreditTypeRainbow Values (, , , , , )</v>
      </c>
    </row>
    <row r="3586" spans="7:7" x14ac:dyDescent="0.25">
      <c r="G3586" t="str">
        <f t="shared" si="157"/>
        <v>Insert into BlueCreditTypeRainbow Values (, , , , , )</v>
      </c>
    </row>
    <row r="3587" spans="7:7" x14ac:dyDescent="0.25">
      <c r="G3587" t="str">
        <f t="shared" si="157"/>
        <v>Insert into BlueCreditTypeRainbow Values (, , , , , )</v>
      </c>
    </row>
    <row r="3588" spans="7:7" x14ac:dyDescent="0.25">
      <c r="G3588" t="str">
        <f t="shared" si="157"/>
        <v>Insert into BlueCreditTypeRainbow Values (, , , , , )</v>
      </c>
    </row>
    <row r="3589" spans="7:7" x14ac:dyDescent="0.25">
      <c r="G3589" t="str">
        <f t="shared" si="157"/>
        <v>Insert into BlueCreditTypeRainbow Values (, , , , , )</v>
      </c>
    </row>
    <row r="3590" spans="7:7" x14ac:dyDescent="0.25">
      <c r="G3590" t="str">
        <f t="shared" si="157"/>
        <v>Insert into BlueCreditTypeRainbow Values (, , , , , )</v>
      </c>
    </row>
    <row r="3591" spans="7:7" x14ac:dyDescent="0.25">
      <c r="G3591" t="str">
        <f t="shared" si="157"/>
        <v>Insert into BlueCreditTypeRainbow Values (, , , , , )</v>
      </c>
    </row>
    <row r="3592" spans="7:7" x14ac:dyDescent="0.25">
      <c r="G3592" t="str">
        <f t="shared" si="157"/>
        <v>Insert into BlueCreditTypeRainbow Values (, , , , , )</v>
      </c>
    </row>
    <row r="3593" spans="7:7" x14ac:dyDescent="0.25">
      <c r="G3593" t="str">
        <f t="shared" si="157"/>
        <v>Insert into BlueCreditTypeRainbow Values (, , , , , )</v>
      </c>
    </row>
    <row r="3594" spans="7:7" x14ac:dyDescent="0.25">
      <c r="G3594" t="str">
        <f t="shared" si="157"/>
        <v>Insert into BlueCreditTypeRainbow Values (, , , , , )</v>
      </c>
    </row>
    <row r="3595" spans="7:7" x14ac:dyDescent="0.25">
      <c r="G3595" t="str">
        <f t="shared" si="157"/>
        <v>Insert into BlueCreditTypeRainbow Values (, , , , , )</v>
      </c>
    </row>
    <row r="3596" spans="7:7" x14ac:dyDescent="0.25">
      <c r="G3596" t="str">
        <f t="shared" si="157"/>
        <v>Insert into BlueCreditTypeRainbow Values (, , , , , )</v>
      </c>
    </row>
    <row r="3597" spans="7:7" x14ac:dyDescent="0.25">
      <c r="G3597" t="str">
        <f t="shared" si="157"/>
        <v>Insert into BlueCreditTypeRainbow Values (, , , , , )</v>
      </c>
    </row>
    <row r="3598" spans="7:7" x14ac:dyDescent="0.25">
      <c r="G3598" t="str">
        <f t="shared" si="157"/>
        <v>Insert into BlueCreditTypeRainbow Values (, , , , , )</v>
      </c>
    </row>
    <row r="3599" spans="7:7" x14ac:dyDescent="0.25">
      <c r="G3599" t="str">
        <f t="shared" ref="G3599:G3662" si="158">CONCATENATE("Insert into BlueCreditTypeRainbow Values (",A3599,", ",B3599,", ",C3599,", ",D3599,", ",E3599,", ",F3599,")")</f>
        <v>Insert into BlueCreditTypeRainbow Values (, , , , , )</v>
      </c>
    </row>
    <row r="3600" spans="7:7" x14ac:dyDescent="0.25">
      <c r="G3600" t="str">
        <f t="shared" si="158"/>
        <v>Insert into BlueCreditTypeRainbow Values (, , , , , )</v>
      </c>
    </row>
    <row r="3601" spans="7:7" x14ac:dyDescent="0.25">
      <c r="G3601" t="str">
        <f t="shared" si="158"/>
        <v>Insert into BlueCreditTypeRainbow Values (, , , , , )</v>
      </c>
    </row>
    <row r="3602" spans="7:7" x14ac:dyDescent="0.25">
      <c r="G3602" t="str">
        <f t="shared" si="158"/>
        <v>Insert into BlueCreditTypeRainbow Values (, , , , , )</v>
      </c>
    </row>
    <row r="3603" spans="7:7" x14ac:dyDescent="0.25">
      <c r="G3603" t="str">
        <f t="shared" si="158"/>
        <v>Insert into BlueCreditTypeRainbow Values (, , , , , )</v>
      </c>
    </row>
    <row r="3604" spans="7:7" x14ac:dyDescent="0.25">
      <c r="G3604" t="str">
        <f t="shared" si="158"/>
        <v>Insert into BlueCreditTypeRainbow Values (, , , , , )</v>
      </c>
    </row>
    <row r="3605" spans="7:7" x14ac:dyDescent="0.25">
      <c r="G3605" t="str">
        <f t="shared" si="158"/>
        <v>Insert into BlueCreditTypeRainbow Values (, , , , , )</v>
      </c>
    </row>
    <row r="3606" spans="7:7" x14ac:dyDescent="0.25">
      <c r="G3606" t="str">
        <f t="shared" si="158"/>
        <v>Insert into BlueCreditTypeRainbow Values (, , , , , )</v>
      </c>
    </row>
    <row r="3607" spans="7:7" x14ac:dyDescent="0.25">
      <c r="G3607" t="str">
        <f t="shared" si="158"/>
        <v>Insert into BlueCreditTypeRainbow Values (, , , , , )</v>
      </c>
    </row>
    <row r="3608" spans="7:7" x14ac:dyDescent="0.25">
      <c r="G3608" t="str">
        <f t="shared" si="158"/>
        <v>Insert into BlueCreditTypeRainbow Values (, , , , , )</v>
      </c>
    </row>
    <row r="3609" spans="7:7" x14ac:dyDescent="0.25">
      <c r="G3609" t="str">
        <f t="shared" si="158"/>
        <v>Insert into BlueCreditTypeRainbow Values (, , , , , )</v>
      </c>
    </row>
    <row r="3610" spans="7:7" x14ac:dyDescent="0.25">
      <c r="G3610" t="str">
        <f t="shared" si="158"/>
        <v>Insert into BlueCreditTypeRainbow Values (, , , , , )</v>
      </c>
    </row>
    <row r="3611" spans="7:7" x14ac:dyDescent="0.25">
      <c r="G3611" t="str">
        <f t="shared" si="158"/>
        <v>Insert into BlueCreditTypeRainbow Values (, , , , , )</v>
      </c>
    </row>
    <row r="3612" spans="7:7" x14ac:dyDescent="0.25">
      <c r="G3612" t="str">
        <f t="shared" si="158"/>
        <v>Insert into BlueCreditTypeRainbow Values (, , , , , )</v>
      </c>
    </row>
    <row r="3613" spans="7:7" x14ac:dyDescent="0.25">
      <c r="G3613" t="str">
        <f t="shared" si="158"/>
        <v>Insert into BlueCreditTypeRainbow Values (, , , , , )</v>
      </c>
    </row>
    <row r="3614" spans="7:7" x14ac:dyDescent="0.25">
      <c r="G3614" t="str">
        <f t="shared" si="158"/>
        <v>Insert into BlueCreditTypeRainbow Values (, , , , , )</v>
      </c>
    </row>
    <row r="3615" spans="7:7" x14ac:dyDescent="0.25">
      <c r="G3615" t="str">
        <f t="shared" si="158"/>
        <v>Insert into BlueCreditTypeRainbow Values (, , , , , )</v>
      </c>
    </row>
    <row r="3616" spans="7:7" x14ac:dyDescent="0.25">
      <c r="G3616" t="str">
        <f t="shared" si="158"/>
        <v>Insert into BlueCreditTypeRainbow Values (, , , , , )</v>
      </c>
    </row>
    <row r="3617" spans="7:7" x14ac:dyDescent="0.25">
      <c r="G3617" t="str">
        <f t="shared" si="158"/>
        <v>Insert into BlueCreditTypeRainbow Values (, , , , , )</v>
      </c>
    </row>
    <row r="3618" spans="7:7" x14ac:dyDescent="0.25">
      <c r="G3618" t="str">
        <f t="shared" si="158"/>
        <v>Insert into BlueCreditTypeRainbow Values (, , , , , )</v>
      </c>
    </row>
    <row r="3619" spans="7:7" x14ac:dyDescent="0.25">
      <c r="G3619" t="str">
        <f t="shared" si="158"/>
        <v>Insert into BlueCreditTypeRainbow Values (, , , , , )</v>
      </c>
    </row>
    <row r="3620" spans="7:7" x14ac:dyDescent="0.25">
      <c r="G3620" t="str">
        <f t="shared" si="158"/>
        <v>Insert into BlueCreditTypeRainbow Values (, , , , , )</v>
      </c>
    </row>
    <row r="3621" spans="7:7" x14ac:dyDescent="0.25">
      <c r="G3621" t="str">
        <f t="shared" si="158"/>
        <v>Insert into BlueCreditTypeRainbow Values (, , , , , )</v>
      </c>
    </row>
    <row r="3622" spans="7:7" x14ac:dyDescent="0.25">
      <c r="G3622" t="str">
        <f t="shared" si="158"/>
        <v>Insert into BlueCreditTypeRainbow Values (, , , , , )</v>
      </c>
    </row>
    <row r="3623" spans="7:7" x14ac:dyDescent="0.25">
      <c r="G3623" t="str">
        <f t="shared" si="158"/>
        <v>Insert into BlueCreditTypeRainbow Values (, , , , , )</v>
      </c>
    </row>
    <row r="3624" spans="7:7" x14ac:dyDescent="0.25">
      <c r="G3624" t="str">
        <f t="shared" si="158"/>
        <v>Insert into BlueCreditTypeRainbow Values (, , , , , )</v>
      </c>
    </row>
    <row r="3625" spans="7:7" x14ac:dyDescent="0.25">
      <c r="G3625" t="str">
        <f t="shared" si="158"/>
        <v>Insert into BlueCreditTypeRainbow Values (, , , , , )</v>
      </c>
    </row>
    <row r="3626" spans="7:7" x14ac:dyDescent="0.25">
      <c r="G3626" t="str">
        <f t="shared" si="158"/>
        <v>Insert into BlueCreditTypeRainbow Values (, , , , , )</v>
      </c>
    </row>
    <row r="3627" spans="7:7" x14ac:dyDescent="0.25">
      <c r="G3627" t="str">
        <f t="shared" si="158"/>
        <v>Insert into BlueCreditTypeRainbow Values (, , , , , )</v>
      </c>
    </row>
    <row r="3628" spans="7:7" x14ac:dyDescent="0.25">
      <c r="G3628" t="str">
        <f t="shared" si="158"/>
        <v>Insert into BlueCreditTypeRainbow Values (, , , , , )</v>
      </c>
    </row>
    <row r="3629" spans="7:7" x14ac:dyDescent="0.25">
      <c r="G3629" t="str">
        <f t="shared" si="158"/>
        <v>Insert into BlueCreditTypeRainbow Values (, , , , , )</v>
      </c>
    </row>
    <row r="3630" spans="7:7" x14ac:dyDescent="0.25">
      <c r="G3630" t="str">
        <f t="shared" si="158"/>
        <v>Insert into BlueCreditTypeRainbow Values (, , , , , )</v>
      </c>
    </row>
    <row r="3631" spans="7:7" x14ac:dyDescent="0.25">
      <c r="G3631" t="str">
        <f t="shared" si="158"/>
        <v>Insert into BlueCreditTypeRainbow Values (, , , , , )</v>
      </c>
    </row>
    <row r="3632" spans="7:7" x14ac:dyDescent="0.25">
      <c r="G3632" t="str">
        <f t="shared" si="158"/>
        <v>Insert into BlueCreditTypeRainbow Values (, , , , , )</v>
      </c>
    </row>
    <row r="3633" spans="7:7" x14ac:dyDescent="0.25">
      <c r="G3633" t="str">
        <f t="shared" si="158"/>
        <v>Insert into BlueCreditTypeRainbow Values (, , , , , )</v>
      </c>
    </row>
    <row r="3634" spans="7:7" x14ac:dyDescent="0.25">
      <c r="G3634" t="str">
        <f t="shared" si="158"/>
        <v>Insert into BlueCreditTypeRainbow Values (, , , , , )</v>
      </c>
    </row>
    <row r="3635" spans="7:7" x14ac:dyDescent="0.25">
      <c r="G3635" t="str">
        <f t="shared" si="158"/>
        <v>Insert into BlueCreditTypeRainbow Values (, , , , , )</v>
      </c>
    </row>
    <row r="3636" spans="7:7" x14ac:dyDescent="0.25">
      <c r="G3636" t="str">
        <f t="shared" si="158"/>
        <v>Insert into BlueCreditTypeRainbow Values (, , , , , )</v>
      </c>
    </row>
    <row r="3637" spans="7:7" x14ac:dyDescent="0.25">
      <c r="G3637" t="str">
        <f t="shared" si="158"/>
        <v>Insert into BlueCreditTypeRainbow Values (, , , , , )</v>
      </c>
    </row>
    <row r="3638" spans="7:7" x14ac:dyDescent="0.25">
      <c r="G3638" t="str">
        <f t="shared" si="158"/>
        <v>Insert into BlueCreditTypeRainbow Values (, , , , , )</v>
      </c>
    </row>
    <row r="3639" spans="7:7" x14ac:dyDescent="0.25">
      <c r="G3639" t="str">
        <f t="shared" si="158"/>
        <v>Insert into BlueCreditTypeRainbow Values (, , , , , )</v>
      </c>
    </row>
    <row r="3640" spans="7:7" x14ac:dyDescent="0.25">
      <c r="G3640" t="str">
        <f t="shared" si="158"/>
        <v>Insert into BlueCreditTypeRainbow Values (, , , , , )</v>
      </c>
    </row>
    <row r="3641" spans="7:7" x14ac:dyDescent="0.25">
      <c r="G3641" t="str">
        <f t="shared" si="158"/>
        <v>Insert into BlueCreditTypeRainbow Values (, , , , , )</v>
      </c>
    </row>
    <row r="3642" spans="7:7" x14ac:dyDescent="0.25">
      <c r="G3642" t="str">
        <f t="shared" si="158"/>
        <v>Insert into BlueCreditTypeRainbow Values (, , , , , )</v>
      </c>
    </row>
    <row r="3643" spans="7:7" x14ac:dyDescent="0.25">
      <c r="G3643" t="str">
        <f t="shared" si="158"/>
        <v>Insert into BlueCreditTypeRainbow Values (, , , , , )</v>
      </c>
    </row>
    <row r="3644" spans="7:7" x14ac:dyDescent="0.25">
      <c r="G3644" t="str">
        <f t="shared" si="158"/>
        <v>Insert into BlueCreditTypeRainbow Values (, , , , , )</v>
      </c>
    </row>
    <row r="3645" spans="7:7" x14ac:dyDescent="0.25">
      <c r="G3645" t="str">
        <f t="shared" si="158"/>
        <v>Insert into BlueCreditTypeRainbow Values (, , , , , )</v>
      </c>
    </row>
    <row r="3646" spans="7:7" x14ac:dyDescent="0.25">
      <c r="G3646" t="str">
        <f t="shared" si="158"/>
        <v>Insert into BlueCreditTypeRainbow Values (, , , , , )</v>
      </c>
    </row>
    <row r="3647" spans="7:7" x14ac:dyDescent="0.25">
      <c r="G3647" t="str">
        <f t="shared" si="158"/>
        <v>Insert into BlueCreditTypeRainbow Values (, , , , , )</v>
      </c>
    </row>
    <row r="3648" spans="7:7" x14ac:dyDescent="0.25">
      <c r="G3648" t="str">
        <f t="shared" si="158"/>
        <v>Insert into BlueCreditTypeRainbow Values (, , , , , )</v>
      </c>
    </row>
    <row r="3649" spans="7:7" x14ac:dyDescent="0.25">
      <c r="G3649" t="str">
        <f t="shared" si="158"/>
        <v>Insert into BlueCreditTypeRainbow Values (, , , , , )</v>
      </c>
    </row>
    <row r="3650" spans="7:7" x14ac:dyDescent="0.25">
      <c r="G3650" t="str">
        <f t="shared" si="158"/>
        <v>Insert into BlueCreditTypeRainbow Values (, , , , , )</v>
      </c>
    </row>
    <row r="3651" spans="7:7" x14ac:dyDescent="0.25">
      <c r="G3651" t="str">
        <f t="shared" si="158"/>
        <v>Insert into BlueCreditTypeRainbow Values (, , , , , )</v>
      </c>
    </row>
    <row r="3652" spans="7:7" x14ac:dyDescent="0.25">
      <c r="G3652" t="str">
        <f t="shared" si="158"/>
        <v>Insert into BlueCreditTypeRainbow Values (, , , , , )</v>
      </c>
    </row>
    <row r="3653" spans="7:7" x14ac:dyDescent="0.25">
      <c r="G3653" t="str">
        <f t="shared" si="158"/>
        <v>Insert into BlueCreditTypeRainbow Values (, , , , , )</v>
      </c>
    </row>
    <row r="3654" spans="7:7" x14ac:dyDescent="0.25">
      <c r="G3654" t="str">
        <f t="shared" si="158"/>
        <v>Insert into BlueCreditTypeRainbow Values (, , , , , )</v>
      </c>
    </row>
    <row r="3655" spans="7:7" x14ac:dyDescent="0.25">
      <c r="G3655" t="str">
        <f t="shared" si="158"/>
        <v>Insert into BlueCreditTypeRainbow Values (, , , , , )</v>
      </c>
    </row>
    <row r="3656" spans="7:7" x14ac:dyDescent="0.25">
      <c r="G3656" t="str">
        <f t="shared" si="158"/>
        <v>Insert into BlueCreditTypeRainbow Values (, , , , , )</v>
      </c>
    </row>
    <row r="3657" spans="7:7" x14ac:dyDescent="0.25">
      <c r="G3657" t="str">
        <f t="shared" si="158"/>
        <v>Insert into BlueCreditTypeRainbow Values (, , , , , )</v>
      </c>
    </row>
    <row r="3658" spans="7:7" x14ac:dyDescent="0.25">
      <c r="G3658" t="str">
        <f t="shared" si="158"/>
        <v>Insert into BlueCreditTypeRainbow Values (, , , , , )</v>
      </c>
    </row>
    <row r="3659" spans="7:7" x14ac:dyDescent="0.25">
      <c r="G3659" t="str">
        <f t="shared" si="158"/>
        <v>Insert into BlueCreditTypeRainbow Values (, , , , , )</v>
      </c>
    </row>
    <row r="3660" spans="7:7" x14ac:dyDescent="0.25">
      <c r="G3660" t="str">
        <f t="shared" si="158"/>
        <v>Insert into BlueCreditTypeRainbow Values (, , , , , )</v>
      </c>
    </row>
    <row r="3661" spans="7:7" x14ac:dyDescent="0.25">
      <c r="G3661" t="str">
        <f t="shared" si="158"/>
        <v>Insert into BlueCreditTypeRainbow Values (, , , , , )</v>
      </c>
    </row>
    <row r="3662" spans="7:7" x14ac:dyDescent="0.25">
      <c r="G3662" t="str">
        <f t="shared" si="158"/>
        <v>Insert into BlueCreditTypeRainbow Values (, , , , , )</v>
      </c>
    </row>
    <row r="3663" spans="7:7" x14ac:dyDescent="0.25">
      <c r="G3663" t="str">
        <f t="shared" ref="G3663:G3726" si="159">CONCATENATE("Insert into BlueCreditTypeRainbow Values (",A3663,", ",B3663,", ",C3663,", ",D3663,", ",E3663,", ",F3663,")")</f>
        <v>Insert into BlueCreditTypeRainbow Values (, , , , , )</v>
      </c>
    </row>
    <row r="3664" spans="7:7" x14ac:dyDescent="0.25">
      <c r="G3664" t="str">
        <f t="shared" si="159"/>
        <v>Insert into BlueCreditTypeRainbow Values (, , , , , )</v>
      </c>
    </row>
    <row r="3665" spans="7:7" x14ac:dyDescent="0.25">
      <c r="G3665" t="str">
        <f t="shared" si="159"/>
        <v>Insert into BlueCreditTypeRainbow Values (, , , , , )</v>
      </c>
    </row>
    <row r="3666" spans="7:7" x14ac:dyDescent="0.25">
      <c r="G3666" t="str">
        <f t="shared" si="159"/>
        <v>Insert into BlueCreditTypeRainbow Values (, , , , , )</v>
      </c>
    </row>
    <row r="3667" spans="7:7" x14ac:dyDescent="0.25">
      <c r="G3667" t="str">
        <f t="shared" si="159"/>
        <v>Insert into BlueCreditTypeRainbow Values (, , , , , )</v>
      </c>
    </row>
    <row r="3668" spans="7:7" x14ac:dyDescent="0.25">
      <c r="G3668" t="str">
        <f t="shared" si="159"/>
        <v>Insert into BlueCreditTypeRainbow Values (, , , , , )</v>
      </c>
    </row>
    <row r="3669" spans="7:7" x14ac:dyDescent="0.25">
      <c r="G3669" t="str">
        <f t="shared" si="159"/>
        <v>Insert into BlueCreditTypeRainbow Values (, , , , , )</v>
      </c>
    </row>
    <row r="3670" spans="7:7" x14ac:dyDescent="0.25">
      <c r="G3670" t="str">
        <f t="shared" si="159"/>
        <v>Insert into BlueCreditTypeRainbow Values (, , , , , )</v>
      </c>
    </row>
    <row r="3671" spans="7:7" x14ac:dyDescent="0.25">
      <c r="G3671" t="str">
        <f t="shared" si="159"/>
        <v>Insert into BlueCreditTypeRainbow Values (, , , , , )</v>
      </c>
    </row>
    <row r="3672" spans="7:7" x14ac:dyDescent="0.25">
      <c r="G3672" t="str">
        <f t="shared" si="159"/>
        <v>Insert into BlueCreditTypeRainbow Values (, , , , , )</v>
      </c>
    </row>
    <row r="3673" spans="7:7" x14ac:dyDescent="0.25">
      <c r="G3673" t="str">
        <f t="shared" si="159"/>
        <v>Insert into BlueCreditTypeRainbow Values (, , , , , )</v>
      </c>
    </row>
    <row r="3674" spans="7:7" x14ac:dyDescent="0.25">
      <c r="G3674" t="str">
        <f t="shared" si="159"/>
        <v>Insert into BlueCreditTypeRainbow Values (, , , , , )</v>
      </c>
    </row>
    <row r="3675" spans="7:7" x14ac:dyDescent="0.25">
      <c r="G3675" t="str">
        <f t="shared" si="159"/>
        <v>Insert into BlueCreditTypeRainbow Values (, , , , , )</v>
      </c>
    </row>
    <row r="3676" spans="7:7" x14ac:dyDescent="0.25">
      <c r="G3676" t="str">
        <f t="shared" si="159"/>
        <v>Insert into BlueCreditTypeRainbow Values (, , , , , )</v>
      </c>
    </row>
    <row r="3677" spans="7:7" x14ac:dyDescent="0.25">
      <c r="G3677" t="str">
        <f t="shared" si="159"/>
        <v>Insert into BlueCreditTypeRainbow Values (, , , , , )</v>
      </c>
    </row>
    <row r="3678" spans="7:7" x14ac:dyDescent="0.25">
      <c r="G3678" t="str">
        <f t="shared" si="159"/>
        <v>Insert into BlueCreditTypeRainbow Values (, , , , , )</v>
      </c>
    </row>
    <row r="3679" spans="7:7" x14ac:dyDescent="0.25">
      <c r="G3679" t="str">
        <f t="shared" si="159"/>
        <v>Insert into BlueCreditTypeRainbow Values (, , , , , )</v>
      </c>
    </row>
    <row r="3680" spans="7:7" x14ac:dyDescent="0.25">
      <c r="G3680" t="str">
        <f t="shared" si="159"/>
        <v>Insert into BlueCreditTypeRainbow Values (, , , , , )</v>
      </c>
    </row>
    <row r="3681" spans="7:7" x14ac:dyDescent="0.25">
      <c r="G3681" t="str">
        <f t="shared" si="159"/>
        <v>Insert into BlueCreditTypeRainbow Values (, , , , , )</v>
      </c>
    </row>
    <row r="3682" spans="7:7" x14ac:dyDescent="0.25">
      <c r="G3682" t="str">
        <f t="shared" si="159"/>
        <v>Insert into BlueCreditTypeRainbow Values (, , , , , )</v>
      </c>
    </row>
    <row r="3683" spans="7:7" x14ac:dyDescent="0.25">
      <c r="G3683" t="str">
        <f t="shared" si="159"/>
        <v>Insert into BlueCreditTypeRainbow Values (, , , , , )</v>
      </c>
    </row>
    <row r="3684" spans="7:7" x14ac:dyDescent="0.25">
      <c r="G3684" t="str">
        <f t="shared" si="159"/>
        <v>Insert into BlueCreditTypeRainbow Values (, , , , , )</v>
      </c>
    </row>
    <row r="3685" spans="7:7" x14ac:dyDescent="0.25">
      <c r="G3685" t="str">
        <f t="shared" si="159"/>
        <v>Insert into BlueCreditTypeRainbow Values (, , , , , )</v>
      </c>
    </row>
    <row r="3686" spans="7:7" x14ac:dyDescent="0.25">
      <c r="G3686" t="str">
        <f t="shared" si="159"/>
        <v>Insert into BlueCreditTypeRainbow Values (, , , , , )</v>
      </c>
    </row>
    <row r="3687" spans="7:7" x14ac:dyDescent="0.25">
      <c r="G3687" t="str">
        <f t="shared" si="159"/>
        <v>Insert into BlueCreditTypeRainbow Values (, , , , , )</v>
      </c>
    </row>
    <row r="3688" spans="7:7" x14ac:dyDescent="0.25">
      <c r="G3688" t="str">
        <f t="shared" si="159"/>
        <v>Insert into BlueCreditTypeRainbow Values (, , , , , )</v>
      </c>
    </row>
    <row r="3689" spans="7:7" x14ac:dyDescent="0.25">
      <c r="G3689" t="str">
        <f t="shared" si="159"/>
        <v>Insert into BlueCreditTypeRainbow Values (, , , , , )</v>
      </c>
    </row>
    <row r="3690" spans="7:7" x14ac:dyDescent="0.25">
      <c r="G3690" t="str">
        <f t="shared" si="159"/>
        <v>Insert into BlueCreditTypeRainbow Values (, , , , , )</v>
      </c>
    </row>
    <row r="3691" spans="7:7" x14ac:dyDescent="0.25">
      <c r="G3691" t="str">
        <f t="shared" si="159"/>
        <v>Insert into BlueCreditTypeRainbow Values (, , , , , )</v>
      </c>
    </row>
    <row r="3692" spans="7:7" x14ac:dyDescent="0.25">
      <c r="G3692" t="str">
        <f t="shared" si="159"/>
        <v>Insert into BlueCreditTypeRainbow Values (, , , , , )</v>
      </c>
    </row>
    <row r="3693" spans="7:7" x14ac:dyDescent="0.25">
      <c r="G3693" t="str">
        <f t="shared" si="159"/>
        <v>Insert into BlueCreditTypeRainbow Values (, , , , , )</v>
      </c>
    </row>
    <row r="3694" spans="7:7" x14ac:dyDescent="0.25">
      <c r="G3694" t="str">
        <f t="shared" si="159"/>
        <v>Insert into BlueCreditTypeRainbow Values (, , , , , )</v>
      </c>
    </row>
    <row r="3695" spans="7:7" x14ac:dyDescent="0.25">
      <c r="G3695" t="str">
        <f t="shared" si="159"/>
        <v>Insert into BlueCreditTypeRainbow Values (, , , , , )</v>
      </c>
    </row>
    <row r="3696" spans="7:7" x14ac:dyDescent="0.25">
      <c r="G3696" t="str">
        <f t="shared" si="159"/>
        <v>Insert into BlueCreditTypeRainbow Values (, , , , , )</v>
      </c>
    </row>
    <row r="3697" spans="7:7" x14ac:dyDescent="0.25">
      <c r="G3697" t="str">
        <f t="shared" si="159"/>
        <v>Insert into BlueCreditTypeRainbow Values (, , , , , )</v>
      </c>
    </row>
    <row r="3698" spans="7:7" x14ac:dyDescent="0.25">
      <c r="G3698" t="str">
        <f t="shared" si="159"/>
        <v>Insert into BlueCreditTypeRainbow Values (, , , , , )</v>
      </c>
    </row>
    <row r="3699" spans="7:7" x14ac:dyDescent="0.25">
      <c r="G3699" t="str">
        <f t="shared" si="159"/>
        <v>Insert into BlueCreditTypeRainbow Values (, , , , , )</v>
      </c>
    </row>
    <row r="3700" spans="7:7" x14ac:dyDescent="0.25">
      <c r="G3700" t="str">
        <f t="shared" si="159"/>
        <v>Insert into BlueCreditTypeRainbow Values (, , , , , )</v>
      </c>
    </row>
    <row r="3701" spans="7:7" x14ac:dyDescent="0.25">
      <c r="G3701" t="str">
        <f t="shared" si="159"/>
        <v>Insert into BlueCreditTypeRainbow Values (, , , , , )</v>
      </c>
    </row>
    <row r="3702" spans="7:7" x14ac:dyDescent="0.25">
      <c r="G3702" t="str">
        <f t="shared" si="159"/>
        <v>Insert into BlueCreditTypeRainbow Values (, , , , , )</v>
      </c>
    </row>
    <row r="3703" spans="7:7" x14ac:dyDescent="0.25">
      <c r="G3703" t="str">
        <f t="shared" si="159"/>
        <v>Insert into BlueCreditTypeRainbow Values (, , , , , )</v>
      </c>
    </row>
    <row r="3704" spans="7:7" x14ac:dyDescent="0.25">
      <c r="G3704" t="str">
        <f t="shared" si="159"/>
        <v>Insert into BlueCreditTypeRainbow Values (, , , , , )</v>
      </c>
    </row>
    <row r="3705" spans="7:7" x14ac:dyDescent="0.25">
      <c r="G3705" t="str">
        <f t="shared" si="159"/>
        <v>Insert into BlueCreditTypeRainbow Values (, , , , , )</v>
      </c>
    </row>
    <row r="3706" spans="7:7" x14ac:dyDescent="0.25">
      <c r="G3706" t="str">
        <f t="shared" si="159"/>
        <v>Insert into BlueCreditTypeRainbow Values (, , , , , )</v>
      </c>
    </row>
    <row r="3707" spans="7:7" x14ac:dyDescent="0.25">
      <c r="G3707" t="str">
        <f t="shared" si="159"/>
        <v>Insert into BlueCreditTypeRainbow Values (, , , , , )</v>
      </c>
    </row>
    <row r="3708" spans="7:7" x14ac:dyDescent="0.25">
      <c r="G3708" t="str">
        <f t="shared" si="159"/>
        <v>Insert into BlueCreditTypeRainbow Values (, , , , , )</v>
      </c>
    </row>
    <row r="3709" spans="7:7" x14ac:dyDescent="0.25">
      <c r="G3709" t="str">
        <f t="shared" si="159"/>
        <v>Insert into BlueCreditTypeRainbow Values (, , , , , )</v>
      </c>
    </row>
    <row r="3710" spans="7:7" x14ac:dyDescent="0.25">
      <c r="G3710" t="str">
        <f t="shared" si="159"/>
        <v>Insert into BlueCreditTypeRainbow Values (, , , , , )</v>
      </c>
    </row>
    <row r="3711" spans="7:7" x14ac:dyDescent="0.25">
      <c r="G3711" t="str">
        <f t="shared" si="159"/>
        <v>Insert into BlueCreditTypeRainbow Values (, , , , , )</v>
      </c>
    </row>
    <row r="3712" spans="7:7" x14ac:dyDescent="0.25">
      <c r="G3712" t="str">
        <f t="shared" si="159"/>
        <v>Insert into BlueCreditTypeRainbow Values (, , , , , )</v>
      </c>
    </row>
    <row r="3713" spans="7:7" x14ac:dyDescent="0.25">
      <c r="G3713" t="str">
        <f t="shared" si="159"/>
        <v>Insert into BlueCreditTypeRainbow Values (, , , , , )</v>
      </c>
    </row>
    <row r="3714" spans="7:7" x14ac:dyDescent="0.25">
      <c r="G3714" t="str">
        <f t="shared" si="159"/>
        <v>Insert into BlueCreditTypeRainbow Values (, , , , , )</v>
      </c>
    </row>
    <row r="3715" spans="7:7" x14ac:dyDescent="0.25">
      <c r="G3715" t="str">
        <f t="shared" si="159"/>
        <v>Insert into BlueCreditTypeRainbow Values (, , , , , )</v>
      </c>
    </row>
    <row r="3716" spans="7:7" x14ac:dyDescent="0.25">
      <c r="G3716" t="str">
        <f t="shared" si="159"/>
        <v>Insert into BlueCreditTypeRainbow Values (, , , , , )</v>
      </c>
    </row>
    <row r="3717" spans="7:7" x14ac:dyDescent="0.25">
      <c r="G3717" t="str">
        <f t="shared" si="159"/>
        <v>Insert into BlueCreditTypeRainbow Values (, , , , , )</v>
      </c>
    </row>
    <row r="3718" spans="7:7" x14ac:dyDescent="0.25">
      <c r="G3718" t="str">
        <f t="shared" si="159"/>
        <v>Insert into BlueCreditTypeRainbow Values (, , , , , )</v>
      </c>
    </row>
    <row r="3719" spans="7:7" x14ac:dyDescent="0.25">
      <c r="G3719" t="str">
        <f t="shared" si="159"/>
        <v>Insert into BlueCreditTypeRainbow Values (, , , , , )</v>
      </c>
    </row>
    <row r="3720" spans="7:7" x14ac:dyDescent="0.25">
      <c r="G3720" t="str">
        <f t="shared" si="159"/>
        <v>Insert into BlueCreditTypeRainbow Values (, , , , , )</v>
      </c>
    </row>
    <row r="3721" spans="7:7" x14ac:dyDescent="0.25">
      <c r="G3721" t="str">
        <f t="shared" si="159"/>
        <v>Insert into BlueCreditTypeRainbow Values (, , , , , )</v>
      </c>
    </row>
    <row r="3722" spans="7:7" x14ac:dyDescent="0.25">
      <c r="G3722" t="str">
        <f t="shared" si="159"/>
        <v>Insert into BlueCreditTypeRainbow Values (, , , , , )</v>
      </c>
    </row>
    <row r="3723" spans="7:7" x14ac:dyDescent="0.25">
      <c r="G3723" t="str">
        <f t="shared" si="159"/>
        <v>Insert into BlueCreditTypeRainbow Values (, , , , , )</v>
      </c>
    </row>
    <row r="3724" spans="7:7" x14ac:dyDescent="0.25">
      <c r="G3724" t="str">
        <f t="shared" si="159"/>
        <v>Insert into BlueCreditTypeRainbow Values (, , , , , )</v>
      </c>
    </row>
    <row r="3725" spans="7:7" x14ac:dyDescent="0.25">
      <c r="G3725" t="str">
        <f t="shared" si="159"/>
        <v>Insert into BlueCreditTypeRainbow Values (, , , , , )</v>
      </c>
    </row>
    <row r="3726" spans="7:7" x14ac:dyDescent="0.25">
      <c r="G3726" t="str">
        <f t="shared" si="159"/>
        <v>Insert into BlueCreditTypeRainbow Values (, , , , , )</v>
      </c>
    </row>
    <row r="3727" spans="7:7" x14ac:dyDescent="0.25">
      <c r="G3727" t="str">
        <f t="shared" ref="G3727:G3790" si="160">CONCATENATE("Insert into BlueCreditTypeRainbow Values (",A3727,", ",B3727,", ",C3727,", ",D3727,", ",E3727,", ",F3727,")")</f>
        <v>Insert into BlueCreditTypeRainbow Values (, , , , , )</v>
      </c>
    </row>
    <row r="3728" spans="7:7" x14ac:dyDescent="0.25">
      <c r="G3728" t="str">
        <f t="shared" si="160"/>
        <v>Insert into BlueCreditTypeRainbow Values (, , , , , )</v>
      </c>
    </row>
    <row r="3729" spans="7:7" x14ac:dyDescent="0.25">
      <c r="G3729" t="str">
        <f t="shared" si="160"/>
        <v>Insert into BlueCreditTypeRainbow Values (, , , , , )</v>
      </c>
    </row>
    <row r="3730" spans="7:7" x14ac:dyDescent="0.25">
      <c r="G3730" t="str">
        <f t="shared" si="160"/>
        <v>Insert into BlueCreditTypeRainbow Values (, , , , , )</v>
      </c>
    </row>
    <row r="3731" spans="7:7" x14ac:dyDescent="0.25">
      <c r="G3731" t="str">
        <f t="shared" si="160"/>
        <v>Insert into BlueCreditTypeRainbow Values (, , , , , )</v>
      </c>
    </row>
    <row r="3732" spans="7:7" x14ac:dyDescent="0.25">
      <c r="G3732" t="str">
        <f t="shared" si="160"/>
        <v>Insert into BlueCreditTypeRainbow Values (, , , , , )</v>
      </c>
    </row>
    <row r="3733" spans="7:7" x14ac:dyDescent="0.25">
      <c r="G3733" t="str">
        <f t="shared" si="160"/>
        <v>Insert into BlueCreditTypeRainbow Values (, , , , , )</v>
      </c>
    </row>
    <row r="3734" spans="7:7" x14ac:dyDescent="0.25">
      <c r="G3734" t="str">
        <f t="shared" si="160"/>
        <v>Insert into BlueCreditTypeRainbow Values (, , , , , )</v>
      </c>
    </row>
    <row r="3735" spans="7:7" x14ac:dyDescent="0.25">
      <c r="G3735" t="str">
        <f t="shared" si="160"/>
        <v>Insert into BlueCreditTypeRainbow Values (, , , , , )</v>
      </c>
    </row>
    <row r="3736" spans="7:7" x14ac:dyDescent="0.25">
      <c r="G3736" t="str">
        <f t="shared" si="160"/>
        <v>Insert into BlueCreditTypeRainbow Values (, , , , , )</v>
      </c>
    </row>
    <row r="3737" spans="7:7" x14ac:dyDescent="0.25">
      <c r="G3737" t="str">
        <f t="shared" si="160"/>
        <v>Insert into BlueCreditTypeRainbow Values (, , , , , )</v>
      </c>
    </row>
    <row r="3738" spans="7:7" x14ac:dyDescent="0.25">
      <c r="G3738" t="str">
        <f t="shared" si="160"/>
        <v>Insert into BlueCreditTypeRainbow Values (, , , , , )</v>
      </c>
    </row>
    <row r="3739" spans="7:7" x14ac:dyDescent="0.25">
      <c r="G3739" t="str">
        <f t="shared" si="160"/>
        <v>Insert into BlueCreditTypeRainbow Values (, , , , , )</v>
      </c>
    </row>
    <row r="3740" spans="7:7" x14ac:dyDescent="0.25">
      <c r="G3740" t="str">
        <f t="shared" si="160"/>
        <v>Insert into BlueCreditTypeRainbow Values (, , , , , )</v>
      </c>
    </row>
    <row r="3741" spans="7:7" x14ac:dyDescent="0.25">
      <c r="G3741" t="str">
        <f t="shared" si="160"/>
        <v>Insert into BlueCreditTypeRainbow Values (, , , , , )</v>
      </c>
    </row>
    <row r="3742" spans="7:7" x14ac:dyDescent="0.25">
      <c r="G3742" t="str">
        <f t="shared" si="160"/>
        <v>Insert into BlueCreditTypeRainbow Values (, , , , , )</v>
      </c>
    </row>
    <row r="3743" spans="7:7" x14ac:dyDescent="0.25">
      <c r="G3743" t="str">
        <f t="shared" si="160"/>
        <v>Insert into BlueCreditTypeRainbow Values (, , , , , )</v>
      </c>
    </row>
    <row r="3744" spans="7:7" x14ac:dyDescent="0.25">
      <c r="G3744" t="str">
        <f t="shared" si="160"/>
        <v>Insert into BlueCreditTypeRainbow Values (, , , , , )</v>
      </c>
    </row>
    <row r="3745" spans="7:7" x14ac:dyDescent="0.25">
      <c r="G3745" t="str">
        <f t="shared" si="160"/>
        <v>Insert into BlueCreditTypeRainbow Values (, , , , , )</v>
      </c>
    </row>
    <row r="3746" spans="7:7" x14ac:dyDescent="0.25">
      <c r="G3746" t="str">
        <f t="shared" si="160"/>
        <v>Insert into BlueCreditTypeRainbow Values (, , , , , )</v>
      </c>
    </row>
    <row r="3747" spans="7:7" x14ac:dyDescent="0.25">
      <c r="G3747" t="str">
        <f t="shared" si="160"/>
        <v>Insert into BlueCreditTypeRainbow Values (, , , , , )</v>
      </c>
    </row>
    <row r="3748" spans="7:7" x14ac:dyDescent="0.25">
      <c r="G3748" t="str">
        <f t="shared" si="160"/>
        <v>Insert into BlueCreditTypeRainbow Values (, , , , , )</v>
      </c>
    </row>
    <row r="3749" spans="7:7" x14ac:dyDescent="0.25">
      <c r="G3749" t="str">
        <f t="shared" si="160"/>
        <v>Insert into BlueCreditTypeRainbow Values (, , , , , )</v>
      </c>
    </row>
    <row r="3750" spans="7:7" x14ac:dyDescent="0.25">
      <c r="G3750" t="str">
        <f t="shared" si="160"/>
        <v>Insert into BlueCreditTypeRainbow Values (, , , , , )</v>
      </c>
    </row>
    <row r="3751" spans="7:7" x14ac:dyDescent="0.25">
      <c r="G3751" t="str">
        <f t="shared" si="160"/>
        <v>Insert into BlueCreditTypeRainbow Values (, , , , , )</v>
      </c>
    </row>
    <row r="3752" spans="7:7" x14ac:dyDescent="0.25">
      <c r="G3752" t="str">
        <f t="shared" si="160"/>
        <v>Insert into BlueCreditTypeRainbow Values (, , , , , )</v>
      </c>
    </row>
    <row r="3753" spans="7:7" x14ac:dyDescent="0.25">
      <c r="G3753" t="str">
        <f t="shared" si="160"/>
        <v>Insert into BlueCreditTypeRainbow Values (, , , , , )</v>
      </c>
    </row>
    <row r="3754" spans="7:7" x14ac:dyDescent="0.25">
      <c r="G3754" t="str">
        <f t="shared" si="160"/>
        <v>Insert into BlueCreditTypeRainbow Values (, , , , , )</v>
      </c>
    </row>
    <row r="3755" spans="7:7" x14ac:dyDescent="0.25">
      <c r="G3755" t="str">
        <f t="shared" si="160"/>
        <v>Insert into BlueCreditTypeRainbow Values (, , , , , )</v>
      </c>
    </row>
    <row r="3756" spans="7:7" x14ac:dyDescent="0.25">
      <c r="G3756" t="str">
        <f t="shared" si="160"/>
        <v>Insert into BlueCreditTypeRainbow Values (, , , , , )</v>
      </c>
    </row>
    <row r="3757" spans="7:7" x14ac:dyDescent="0.25">
      <c r="G3757" t="str">
        <f t="shared" si="160"/>
        <v>Insert into BlueCreditTypeRainbow Values (, , , , , )</v>
      </c>
    </row>
    <row r="3758" spans="7:7" x14ac:dyDescent="0.25">
      <c r="G3758" t="str">
        <f t="shared" si="160"/>
        <v>Insert into BlueCreditTypeRainbow Values (, , , , , )</v>
      </c>
    </row>
    <row r="3759" spans="7:7" x14ac:dyDescent="0.25">
      <c r="G3759" t="str">
        <f t="shared" si="160"/>
        <v>Insert into BlueCreditTypeRainbow Values (, , , , , )</v>
      </c>
    </row>
    <row r="3760" spans="7:7" x14ac:dyDescent="0.25">
      <c r="G3760" t="str">
        <f t="shared" si="160"/>
        <v>Insert into BlueCreditTypeRainbow Values (, , , , , )</v>
      </c>
    </row>
    <row r="3761" spans="7:7" x14ac:dyDescent="0.25">
      <c r="G3761" t="str">
        <f t="shared" si="160"/>
        <v>Insert into BlueCreditTypeRainbow Values (, , , , , )</v>
      </c>
    </row>
    <row r="3762" spans="7:7" x14ac:dyDescent="0.25">
      <c r="G3762" t="str">
        <f t="shared" si="160"/>
        <v>Insert into BlueCreditTypeRainbow Values (, , , , , )</v>
      </c>
    </row>
    <row r="3763" spans="7:7" x14ac:dyDescent="0.25">
      <c r="G3763" t="str">
        <f t="shared" si="160"/>
        <v>Insert into BlueCreditTypeRainbow Values (, , , , , )</v>
      </c>
    </row>
    <row r="3764" spans="7:7" x14ac:dyDescent="0.25">
      <c r="G3764" t="str">
        <f t="shared" si="160"/>
        <v>Insert into BlueCreditTypeRainbow Values (, , , , , )</v>
      </c>
    </row>
    <row r="3765" spans="7:7" x14ac:dyDescent="0.25">
      <c r="G3765" t="str">
        <f t="shared" si="160"/>
        <v>Insert into BlueCreditTypeRainbow Values (, , , , , )</v>
      </c>
    </row>
    <row r="3766" spans="7:7" x14ac:dyDescent="0.25">
      <c r="G3766" t="str">
        <f t="shared" si="160"/>
        <v>Insert into BlueCreditTypeRainbow Values (, , , , , )</v>
      </c>
    </row>
    <row r="3767" spans="7:7" x14ac:dyDescent="0.25">
      <c r="G3767" t="str">
        <f t="shared" si="160"/>
        <v>Insert into BlueCreditTypeRainbow Values (, , , , , )</v>
      </c>
    </row>
    <row r="3768" spans="7:7" x14ac:dyDescent="0.25">
      <c r="G3768" t="str">
        <f t="shared" si="160"/>
        <v>Insert into BlueCreditTypeRainbow Values (, , , , , )</v>
      </c>
    </row>
    <row r="3769" spans="7:7" x14ac:dyDescent="0.25">
      <c r="G3769" t="str">
        <f t="shared" si="160"/>
        <v>Insert into BlueCreditTypeRainbow Values (, , , , , )</v>
      </c>
    </row>
    <row r="3770" spans="7:7" x14ac:dyDescent="0.25">
      <c r="G3770" t="str">
        <f t="shared" si="160"/>
        <v>Insert into BlueCreditTypeRainbow Values (, , , , , )</v>
      </c>
    </row>
    <row r="3771" spans="7:7" x14ac:dyDescent="0.25">
      <c r="G3771" t="str">
        <f t="shared" si="160"/>
        <v>Insert into BlueCreditTypeRainbow Values (, , , , , )</v>
      </c>
    </row>
    <row r="3772" spans="7:7" x14ac:dyDescent="0.25">
      <c r="G3772" t="str">
        <f t="shared" si="160"/>
        <v>Insert into BlueCreditTypeRainbow Values (, , , , , )</v>
      </c>
    </row>
    <row r="3773" spans="7:7" x14ac:dyDescent="0.25">
      <c r="G3773" t="str">
        <f t="shared" si="160"/>
        <v>Insert into BlueCreditTypeRainbow Values (, , , , , )</v>
      </c>
    </row>
    <row r="3774" spans="7:7" x14ac:dyDescent="0.25">
      <c r="G3774" t="str">
        <f t="shared" si="160"/>
        <v>Insert into BlueCreditTypeRainbow Values (, , , , , )</v>
      </c>
    </row>
    <row r="3775" spans="7:7" x14ac:dyDescent="0.25">
      <c r="G3775" t="str">
        <f t="shared" si="160"/>
        <v>Insert into BlueCreditTypeRainbow Values (, , , , , )</v>
      </c>
    </row>
    <row r="3776" spans="7:7" x14ac:dyDescent="0.25">
      <c r="G3776" t="str">
        <f t="shared" si="160"/>
        <v>Insert into BlueCreditTypeRainbow Values (, , , , , )</v>
      </c>
    </row>
    <row r="3777" spans="7:7" x14ac:dyDescent="0.25">
      <c r="G3777" t="str">
        <f t="shared" si="160"/>
        <v>Insert into BlueCreditTypeRainbow Values (, , , , , )</v>
      </c>
    </row>
    <row r="3778" spans="7:7" x14ac:dyDescent="0.25">
      <c r="G3778" t="str">
        <f t="shared" si="160"/>
        <v>Insert into BlueCreditTypeRainbow Values (, , , , , )</v>
      </c>
    </row>
    <row r="3779" spans="7:7" x14ac:dyDescent="0.25">
      <c r="G3779" t="str">
        <f t="shared" si="160"/>
        <v>Insert into BlueCreditTypeRainbow Values (, , , , , )</v>
      </c>
    </row>
    <row r="3780" spans="7:7" x14ac:dyDescent="0.25">
      <c r="G3780" t="str">
        <f t="shared" si="160"/>
        <v>Insert into BlueCreditTypeRainbow Values (, , , , , )</v>
      </c>
    </row>
    <row r="3781" spans="7:7" x14ac:dyDescent="0.25">
      <c r="G3781" t="str">
        <f t="shared" si="160"/>
        <v>Insert into BlueCreditTypeRainbow Values (, , , , , )</v>
      </c>
    </row>
    <row r="3782" spans="7:7" x14ac:dyDescent="0.25">
      <c r="G3782" t="str">
        <f t="shared" si="160"/>
        <v>Insert into BlueCreditTypeRainbow Values (, , , , , )</v>
      </c>
    </row>
    <row r="3783" spans="7:7" x14ac:dyDescent="0.25">
      <c r="G3783" t="str">
        <f t="shared" si="160"/>
        <v>Insert into BlueCreditTypeRainbow Values (, , , , , )</v>
      </c>
    </row>
    <row r="3784" spans="7:7" x14ac:dyDescent="0.25">
      <c r="G3784" t="str">
        <f t="shared" si="160"/>
        <v>Insert into BlueCreditTypeRainbow Values (, , , , , )</v>
      </c>
    </row>
    <row r="3785" spans="7:7" x14ac:dyDescent="0.25">
      <c r="G3785" t="str">
        <f t="shared" si="160"/>
        <v>Insert into BlueCreditTypeRainbow Values (, , , , , )</v>
      </c>
    </row>
    <row r="3786" spans="7:7" x14ac:dyDescent="0.25">
      <c r="G3786" t="str">
        <f t="shared" si="160"/>
        <v>Insert into BlueCreditTypeRainbow Values (, , , , , )</v>
      </c>
    </row>
    <row r="3787" spans="7:7" x14ac:dyDescent="0.25">
      <c r="G3787" t="str">
        <f t="shared" si="160"/>
        <v>Insert into BlueCreditTypeRainbow Values (, , , , , )</v>
      </c>
    </row>
    <row r="3788" spans="7:7" x14ac:dyDescent="0.25">
      <c r="G3788" t="str">
        <f t="shared" si="160"/>
        <v>Insert into BlueCreditTypeRainbow Values (, , , , , )</v>
      </c>
    </row>
    <row r="3789" spans="7:7" x14ac:dyDescent="0.25">
      <c r="G3789" t="str">
        <f t="shared" si="160"/>
        <v>Insert into BlueCreditTypeRainbow Values (, , , , , )</v>
      </c>
    </row>
    <row r="3790" spans="7:7" x14ac:dyDescent="0.25">
      <c r="G3790" t="str">
        <f t="shared" si="160"/>
        <v>Insert into BlueCreditTypeRainbow Values (, , , , , )</v>
      </c>
    </row>
    <row r="3791" spans="7:7" x14ac:dyDescent="0.25">
      <c r="G3791" t="str">
        <f t="shared" ref="G3791:G3854" si="161">CONCATENATE("Insert into BlueCreditTypeRainbow Values (",A3791,", ",B3791,", ",C3791,", ",D3791,", ",E3791,", ",F3791,")")</f>
        <v>Insert into BlueCreditTypeRainbow Values (, , , , , )</v>
      </c>
    </row>
    <row r="3792" spans="7:7" x14ac:dyDescent="0.25">
      <c r="G3792" t="str">
        <f t="shared" si="161"/>
        <v>Insert into BlueCreditTypeRainbow Values (, , , , , )</v>
      </c>
    </row>
    <row r="3793" spans="7:7" x14ac:dyDescent="0.25">
      <c r="G3793" t="str">
        <f t="shared" si="161"/>
        <v>Insert into BlueCreditTypeRainbow Values (, , , , , )</v>
      </c>
    </row>
    <row r="3794" spans="7:7" x14ac:dyDescent="0.25">
      <c r="G3794" t="str">
        <f t="shared" si="161"/>
        <v>Insert into BlueCreditTypeRainbow Values (, , , , , )</v>
      </c>
    </row>
    <row r="3795" spans="7:7" x14ac:dyDescent="0.25">
      <c r="G3795" t="str">
        <f t="shared" si="161"/>
        <v>Insert into BlueCreditTypeRainbow Values (, , , , , )</v>
      </c>
    </row>
    <row r="3796" spans="7:7" x14ac:dyDescent="0.25">
      <c r="G3796" t="str">
        <f t="shared" si="161"/>
        <v>Insert into BlueCreditTypeRainbow Values (, , , , , )</v>
      </c>
    </row>
    <row r="3797" spans="7:7" x14ac:dyDescent="0.25">
      <c r="G3797" t="str">
        <f t="shared" si="161"/>
        <v>Insert into BlueCreditTypeRainbow Values (, , , , , )</v>
      </c>
    </row>
    <row r="3798" spans="7:7" x14ac:dyDescent="0.25">
      <c r="G3798" t="str">
        <f t="shared" si="161"/>
        <v>Insert into BlueCreditTypeRainbow Values (, , , , , )</v>
      </c>
    </row>
    <row r="3799" spans="7:7" x14ac:dyDescent="0.25">
      <c r="G3799" t="str">
        <f t="shared" si="161"/>
        <v>Insert into BlueCreditTypeRainbow Values (, , , , , )</v>
      </c>
    </row>
    <row r="3800" spans="7:7" x14ac:dyDescent="0.25">
      <c r="G3800" t="str">
        <f t="shared" si="161"/>
        <v>Insert into BlueCreditTypeRainbow Values (, , , , , )</v>
      </c>
    </row>
    <row r="3801" spans="7:7" x14ac:dyDescent="0.25">
      <c r="G3801" t="str">
        <f t="shared" si="161"/>
        <v>Insert into BlueCreditTypeRainbow Values (, , , , , )</v>
      </c>
    </row>
    <row r="3802" spans="7:7" x14ac:dyDescent="0.25">
      <c r="G3802" t="str">
        <f t="shared" si="161"/>
        <v>Insert into BlueCreditTypeRainbow Values (, , , , , )</v>
      </c>
    </row>
    <row r="3803" spans="7:7" x14ac:dyDescent="0.25">
      <c r="G3803" t="str">
        <f t="shared" si="161"/>
        <v>Insert into BlueCreditTypeRainbow Values (, , , , , )</v>
      </c>
    </row>
    <row r="3804" spans="7:7" x14ac:dyDescent="0.25">
      <c r="G3804" t="str">
        <f t="shared" si="161"/>
        <v>Insert into BlueCreditTypeRainbow Values (, , , , , )</v>
      </c>
    </row>
    <row r="3805" spans="7:7" x14ac:dyDescent="0.25">
      <c r="G3805" t="str">
        <f t="shared" si="161"/>
        <v>Insert into BlueCreditTypeRainbow Values (, , , , , )</v>
      </c>
    </row>
    <row r="3806" spans="7:7" x14ac:dyDescent="0.25">
      <c r="G3806" t="str">
        <f t="shared" si="161"/>
        <v>Insert into BlueCreditTypeRainbow Values (, , , , , )</v>
      </c>
    </row>
    <row r="3807" spans="7:7" x14ac:dyDescent="0.25">
      <c r="G3807" t="str">
        <f t="shared" si="161"/>
        <v>Insert into BlueCreditTypeRainbow Values (, , , , , )</v>
      </c>
    </row>
    <row r="3808" spans="7:7" x14ac:dyDescent="0.25">
      <c r="G3808" t="str">
        <f t="shared" si="161"/>
        <v>Insert into BlueCreditTypeRainbow Values (, , , , , )</v>
      </c>
    </row>
    <row r="3809" spans="7:7" x14ac:dyDescent="0.25">
      <c r="G3809" t="str">
        <f t="shared" si="161"/>
        <v>Insert into BlueCreditTypeRainbow Values (, , , , , )</v>
      </c>
    </row>
    <row r="3810" spans="7:7" x14ac:dyDescent="0.25">
      <c r="G3810" t="str">
        <f t="shared" si="161"/>
        <v>Insert into BlueCreditTypeRainbow Values (, , , , , )</v>
      </c>
    </row>
    <row r="3811" spans="7:7" x14ac:dyDescent="0.25">
      <c r="G3811" t="str">
        <f t="shared" si="161"/>
        <v>Insert into BlueCreditTypeRainbow Values (, , , , , )</v>
      </c>
    </row>
    <row r="3812" spans="7:7" x14ac:dyDescent="0.25">
      <c r="G3812" t="str">
        <f t="shared" si="161"/>
        <v>Insert into BlueCreditTypeRainbow Values (, , , , , )</v>
      </c>
    </row>
    <row r="3813" spans="7:7" x14ac:dyDescent="0.25">
      <c r="G3813" t="str">
        <f t="shared" si="161"/>
        <v>Insert into BlueCreditTypeRainbow Values (, , , , , )</v>
      </c>
    </row>
    <row r="3814" spans="7:7" x14ac:dyDescent="0.25">
      <c r="G3814" t="str">
        <f t="shared" si="161"/>
        <v>Insert into BlueCreditTypeRainbow Values (, , , , , )</v>
      </c>
    </row>
    <row r="3815" spans="7:7" x14ac:dyDescent="0.25">
      <c r="G3815" t="str">
        <f t="shared" si="161"/>
        <v>Insert into BlueCreditTypeRainbow Values (, , , , , )</v>
      </c>
    </row>
    <row r="3816" spans="7:7" x14ac:dyDescent="0.25">
      <c r="G3816" t="str">
        <f t="shared" si="161"/>
        <v>Insert into BlueCreditTypeRainbow Values (, , , , , )</v>
      </c>
    </row>
    <row r="3817" spans="7:7" x14ac:dyDescent="0.25">
      <c r="G3817" t="str">
        <f t="shared" si="161"/>
        <v>Insert into BlueCreditTypeRainbow Values (, , , , , )</v>
      </c>
    </row>
    <row r="3818" spans="7:7" x14ac:dyDescent="0.25">
      <c r="G3818" t="str">
        <f t="shared" si="161"/>
        <v>Insert into BlueCreditTypeRainbow Values (, , , , , )</v>
      </c>
    </row>
    <row r="3819" spans="7:7" x14ac:dyDescent="0.25">
      <c r="G3819" t="str">
        <f t="shared" si="161"/>
        <v>Insert into BlueCreditTypeRainbow Values (, , , , , )</v>
      </c>
    </row>
    <row r="3820" spans="7:7" x14ac:dyDescent="0.25">
      <c r="G3820" t="str">
        <f t="shared" si="161"/>
        <v>Insert into BlueCreditTypeRainbow Values (, , , , , )</v>
      </c>
    </row>
    <row r="3821" spans="7:7" x14ac:dyDescent="0.25">
      <c r="G3821" t="str">
        <f t="shared" si="161"/>
        <v>Insert into BlueCreditTypeRainbow Values (, , , , , )</v>
      </c>
    </row>
    <row r="3822" spans="7:7" x14ac:dyDescent="0.25">
      <c r="G3822" t="str">
        <f t="shared" si="161"/>
        <v>Insert into BlueCreditTypeRainbow Values (, , , , , )</v>
      </c>
    </row>
    <row r="3823" spans="7:7" x14ac:dyDescent="0.25">
      <c r="G3823" t="str">
        <f t="shared" si="161"/>
        <v>Insert into BlueCreditTypeRainbow Values (, , , , , )</v>
      </c>
    </row>
    <row r="3824" spans="7:7" x14ac:dyDescent="0.25">
      <c r="G3824" t="str">
        <f t="shared" si="161"/>
        <v>Insert into BlueCreditTypeRainbow Values (, , , , , )</v>
      </c>
    </row>
    <row r="3825" spans="7:7" x14ac:dyDescent="0.25">
      <c r="G3825" t="str">
        <f t="shared" si="161"/>
        <v>Insert into BlueCreditTypeRainbow Values (, , , , , )</v>
      </c>
    </row>
    <row r="3826" spans="7:7" x14ac:dyDescent="0.25">
      <c r="G3826" t="str">
        <f t="shared" si="161"/>
        <v>Insert into BlueCreditTypeRainbow Values (, , , , , )</v>
      </c>
    </row>
    <row r="3827" spans="7:7" x14ac:dyDescent="0.25">
      <c r="G3827" t="str">
        <f t="shared" si="161"/>
        <v>Insert into BlueCreditTypeRainbow Values (, , , , , )</v>
      </c>
    </row>
    <row r="3828" spans="7:7" x14ac:dyDescent="0.25">
      <c r="G3828" t="str">
        <f t="shared" si="161"/>
        <v>Insert into BlueCreditTypeRainbow Values (, , , , , )</v>
      </c>
    </row>
    <row r="3829" spans="7:7" x14ac:dyDescent="0.25">
      <c r="G3829" t="str">
        <f t="shared" si="161"/>
        <v>Insert into BlueCreditTypeRainbow Values (, , , , , )</v>
      </c>
    </row>
    <row r="3830" spans="7:7" x14ac:dyDescent="0.25">
      <c r="G3830" t="str">
        <f t="shared" si="161"/>
        <v>Insert into BlueCreditTypeRainbow Values (, , , , , )</v>
      </c>
    </row>
    <row r="3831" spans="7:7" x14ac:dyDescent="0.25">
      <c r="G3831" t="str">
        <f t="shared" si="161"/>
        <v>Insert into BlueCreditTypeRainbow Values (, , , , , )</v>
      </c>
    </row>
    <row r="3832" spans="7:7" x14ac:dyDescent="0.25">
      <c r="G3832" t="str">
        <f t="shared" si="161"/>
        <v>Insert into BlueCreditTypeRainbow Values (, , , , , )</v>
      </c>
    </row>
    <row r="3833" spans="7:7" x14ac:dyDescent="0.25">
      <c r="G3833" t="str">
        <f t="shared" si="161"/>
        <v>Insert into BlueCreditTypeRainbow Values (, , , , , )</v>
      </c>
    </row>
    <row r="3834" spans="7:7" x14ac:dyDescent="0.25">
      <c r="G3834" t="str">
        <f t="shared" si="161"/>
        <v>Insert into BlueCreditTypeRainbow Values (, , , , , )</v>
      </c>
    </row>
    <row r="3835" spans="7:7" x14ac:dyDescent="0.25">
      <c r="G3835" t="str">
        <f t="shared" si="161"/>
        <v>Insert into BlueCreditTypeRainbow Values (, , , , , )</v>
      </c>
    </row>
    <row r="3836" spans="7:7" x14ac:dyDescent="0.25">
      <c r="G3836" t="str">
        <f t="shared" si="161"/>
        <v>Insert into BlueCreditTypeRainbow Values (, , , , , )</v>
      </c>
    </row>
    <row r="3837" spans="7:7" x14ac:dyDescent="0.25">
      <c r="G3837" t="str">
        <f t="shared" si="161"/>
        <v>Insert into BlueCreditTypeRainbow Values (, , , , , )</v>
      </c>
    </row>
    <row r="3838" spans="7:7" x14ac:dyDescent="0.25">
      <c r="G3838" t="str">
        <f t="shared" si="161"/>
        <v>Insert into BlueCreditTypeRainbow Values (, , , , , )</v>
      </c>
    </row>
    <row r="3839" spans="7:7" x14ac:dyDescent="0.25">
      <c r="G3839" t="str">
        <f t="shared" si="161"/>
        <v>Insert into BlueCreditTypeRainbow Values (, , , , , )</v>
      </c>
    </row>
    <row r="3840" spans="7:7" x14ac:dyDescent="0.25">
      <c r="G3840" t="str">
        <f t="shared" si="161"/>
        <v>Insert into BlueCreditTypeRainbow Values (, , , , , )</v>
      </c>
    </row>
    <row r="3841" spans="7:7" x14ac:dyDescent="0.25">
      <c r="G3841" t="str">
        <f t="shared" si="161"/>
        <v>Insert into BlueCreditTypeRainbow Values (, , , , , )</v>
      </c>
    </row>
    <row r="3842" spans="7:7" x14ac:dyDescent="0.25">
      <c r="G3842" t="str">
        <f t="shared" si="161"/>
        <v>Insert into BlueCreditTypeRainbow Values (, , , , , )</v>
      </c>
    </row>
    <row r="3843" spans="7:7" x14ac:dyDescent="0.25">
      <c r="G3843" t="str">
        <f t="shared" si="161"/>
        <v>Insert into BlueCreditTypeRainbow Values (, , , , , )</v>
      </c>
    </row>
    <row r="3844" spans="7:7" x14ac:dyDescent="0.25">
      <c r="G3844" t="str">
        <f t="shared" si="161"/>
        <v>Insert into BlueCreditTypeRainbow Values (, , , , , )</v>
      </c>
    </row>
    <row r="3845" spans="7:7" x14ac:dyDescent="0.25">
      <c r="G3845" t="str">
        <f t="shared" si="161"/>
        <v>Insert into BlueCreditTypeRainbow Values (, , , , , )</v>
      </c>
    </row>
    <row r="3846" spans="7:7" x14ac:dyDescent="0.25">
      <c r="G3846" t="str">
        <f t="shared" si="161"/>
        <v>Insert into BlueCreditTypeRainbow Values (, , , , , )</v>
      </c>
    </row>
    <row r="3847" spans="7:7" x14ac:dyDescent="0.25">
      <c r="G3847" t="str">
        <f t="shared" si="161"/>
        <v>Insert into BlueCreditTypeRainbow Values (, , , , , )</v>
      </c>
    </row>
    <row r="3848" spans="7:7" x14ac:dyDescent="0.25">
      <c r="G3848" t="str">
        <f t="shared" si="161"/>
        <v>Insert into BlueCreditTypeRainbow Values (, , , , , )</v>
      </c>
    </row>
    <row r="3849" spans="7:7" x14ac:dyDescent="0.25">
      <c r="G3849" t="str">
        <f t="shared" si="161"/>
        <v>Insert into BlueCreditTypeRainbow Values (, , , , , )</v>
      </c>
    </row>
    <row r="3850" spans="7:7" x14ac:dyDescent="0.25">
      <c r="G3850" t="str">
        <f t="shared" si="161"/>
        <v>Insert into BlueCreditTypeRainbow Values (, , , , , )</v>
      </c>
    </row>
    <row r="3851" spans="7:7" x14ac:dyDescent="0.25">
      <c r="G3851" t="str">
        <f t="shared" si="161"/>
        <v>Insert into BlueCreditTypeRainbow Values (, , , , , )</v>
      </c>
    </row>
    <row r="3852" spans="7:7" x14ac:dyDescent="0.25">
      <c r="G3852" t="str">
        <f t="shared" si="161"/>
        <v>Insert into BlueCreditTypeRainbow Values (, , , , , )</v>
      </c>
    </row>
    <row r="3853" spans="7:7" x14ac:dyDescent="0.25">
      <c r="G3853" t="str">
        <f t="shared" si="161"/>
        <v>Insert into BlueCreditTypeRainbow Values (, , , , , )</v>
      </c>
    </row>
    <row r="3854" spans="7:7" x14ac:dyDescent="0.25">
      <c r="G3854" t="str">
        <f t="shared" si="161"/>
        <v>Insert into BlueCreditTypeRainbow Values (, , , , , )</v>
      </c>
    </row>
    <row r="3855" spans="7:7" x14ac:dyDescent="0.25">
      <c r="G3855" t="str">
        <f t="shared" ref="G3855:G3918" si="162">CONCATENATE("Insert into BlueCreditTypeRainbow Values (",A3855,", ",B3855,", ",C3855,", ",D3855,", ",E3855,", ",F3855,")")</f>
        <v>Insert into BlueCreditTypeRainbow Values (, , , , , )</v>
      </c>
    </row>
    <row r="3856" spans="7:7" x14ac:dyDescent="0.25">
      <c r="G3856" t="str">
        <f t="shared" si="162"/>
        <v>Insert into BlueCreditTypeRainbow Values (, , , , , )</v>
      </c>
    </row>
    <row r="3857" spans="7:7" x14ac:dyDescent="0.25">
      <c r="G3857" t="str">
        <f t="shared" si="162"/>
        <v>Insert into BlueCreditTypeRainbow Values (, , , , , )</v>
      </c>
    </row>
    <row r="3858" spans="7:7" x14ac:dyDescent="0.25">
      <c r="G3858" t="str">
        <f t="shared" si="162"/>
        <v>Insert into BlueCreditTypeRainbow Values (, , , , , )</v>
      </c>
    </row>
    <row r="3859" spans="7:7" x14ac:dyDescent="0.25">
      <c r="G3859" t="str">
        <f t="shared" si="162"/>
        <v>Insert into BlueCreditTypeRainbow Values (, , , , , )</v>
      </c>
    </row>
    <row r="3860" spans="7:7" x14ac:dyDescent="0.25">
      <c r="G3860" t="str">
        <f t="shared" si="162"/>
        <v>Insert into BlueCreditTypeRainbow Values (, , , , , )</v>
      </c>
    </row>
    <row r="3861" spans="7:7" x14ac:dyDescent="0.25">
      <c r="G3861" t="str">
        <f t="shared" si="162"/>
        <v>Insert into BlueCreditTypeRainbow Values (, , , , , )</v>
      </c>
    </row>
    <row r="3862" spans="7:7" x14ac:dyDescent="0.25">
      <c r="G3862" t="str">
        <f t="shared" si="162"/>
        <v>Insert into BlueCreditTypeRainbow Values (, , , , , )</v>
      </c>
    </row>
    <row r="3863" spans="7:7" x14ac:dyDescent="0.25">
      <c r="G3863" t="str">
        <f t="shared" si="162"/>
        <v>Insert into BlueCreditTypeRainbow Values (, , , , , )</v>
      </c>
    </row>
    <row r="3864" spans="7:7" x14ac:dyDescent="0.25">
      <c r="G3864" t="str">
        <f t="shared" si="162"/>
        <v>Insert into BlueCreditTypeRainbow Values (, , , , , )</v>
      </c>
    </row>
    <row r="3865" spans="7:7" x14ac:dyDescent="0.25">
      <c r="G3865" t="str">
        <f t="shared" si="162"/>
        <v>Insert into BlueCreditTypeRainbow Values (, , , , , )</v>
      </c>
    </row>
    <row r="3866" spans="7:7" x14ac:dyDescent="0.25">
      <c r="G3866" t="str">
        <f t="shared" si="162"/>
        <v>Insert into BlueCreditTypeRainbow Values (, , , , , )</v>
      </c>
    </row>
    <row r="3867" spans="7:7" x14ac:dyDescent="0.25">
      <c r="G3867" t="str">
        <f t="shared" si="162"/>
        <v>Insert into BlueCreditTypeRainbow Values (, , , , , )</v>
      </c>
    </row>
    <row r="3868" spans="7:7" x14ac:dyDescent="0.25">
      <c r="G3868" t="str">
        <f t="shared" si="162"/>
        <v>Insert into BlueCreditTypeRainbow Values (, , , , , )</v>
      </c>
    </row>
    <row r="3869" spans="7:7" x14ac:dyDescent="0.25">
      <c r="G3869" t="str">
        <f t="shared" si="162"/>
        <v>Insert into BlueCreditTypeRainbow Values (, , , , , )</v>
      </c>
    </row>
    <row r="3870" spans="7:7" x14ac:dyDescent="0.25">
      <c r="G3870" t="str">
        <f t="shared" si="162"/>
        <v>Insert into BlueCreditTypeRainbow Values (, , , , , )</v>
      </c>
    </row>
    <row r="3871" spans="7:7" x14ac:dyDescent="0.25">
      <c r="G3871" t="str">
        <f t="shared" si="162"/>
        <v>Insert into BlueCreditTypeRainbow Values (, , , , , )</v>
      </c>
    </row>
    <row r="3872" spans="7:7" x14ac:dyDescent="0.25">
      <c r="G3872" t="str">
        <f t="shared" si="162"/>
        <v>Insert into BlueCreditTypeRainbow Values (, , , , , )</v>
      </c>
    </row>
    <row r="3873" spans="7:7" x14ac:dyDescent="0.25">
      <c r="G3873" t="str">
        <f t="shared" si="162"/>
        <v>Insert into BlueCreditTypeRainbow Values (, , , , , )</v>
      </c>
    </row>
    <row r="3874" spans="7:7" x14ac:dyDescent="0.25">
      <c r="G3874" t="str">
        <f t="shared" si="162"/>
        <v>Insert into BlueCreditTypeRainbow Values (, , , , , )</v>
      </c>
    </row>
    <row r="3875" spans="7:7" x14ac:dyDescent="0.25">
      <c r="G3875" t="str">
        <f t="shared" si="162"/>
        <v>Insert into BlueCreditTypeRainbow Values (, , , , , )</v>
      </c>
    </row>
    <row r="3876" spans="7:7" x14ac:dyDescent="0.25">
      <c r="G3876" t="str">
        <f t="shared" si="162"/>
        <v>Insert into BlueCreditTypeRainbow Values (, , , , , )</v>
      </c>
    </row>
    <row r="3877" spans="7:7" x14ac:dyDescent="0.25">
      <c r="G3877" t="str">
        <f t="shared" si="162"/>
        <v>Insert into BlueCreditTypeRainbow Values (, , , , , )</v>
      </c>
    </row>
    <row r="3878" spans="7:7" x14ac:dyDescent="0.25">
      <c r="G3878" t="str">
        <f t="shared" si="162"/>
        <v>Insert into BlueCreditTypeRainbow Values (, , , , , )</v>
      </c>
    </row>
    <row r="3879" spans="7:7" x14ac:dyDescent="0.25">
      <c r="G3879" t="str">
        <f t="shared" si="162"/>
        <v>Insert into BlueCreditTypeRainbow Values (, , , , , )</v>
      </c>
    </row>
    <row r="3880" spans="7:7" x14ac:dyDescent="0.25">
      <c r="G3880" t="str">
        <f t="shared" si="162"/>
        <v>Insert into BlueCreditTypeRainbow Values (, , , , , )</v>
      </c>
    </row>
    <row r="3881" spans="7:7" x14ac:dyDescent="0.25">
      <c r="G3881" t="str">
        <f t="shared" si="162"/>
        <v>Insert into BlueCreditTypeRainbow Values (, , , , , )</v>
      </c>
    </row>
    <row r="3882" spans="7:7" x14ac:dyDescent="0.25">
      <c r="G3882" t="str">
        <f t="shared" si="162"/>
        <v>Insert into BlueCreditTypeRainbow Values (, , , , , )</v>
      </c>
    </row>
    <row r="3883" spans="7:7" x14ac:dyDescent="0.25">
      <c r="G3883" t="str">
        <f t="shared" si="162"/>
        <v>Insert into BlueCreditTypeRainbow Values (, , , , , )</v>
      </c>
    </row>
    <row r="3884" spans="7:7" x14ac:dyDescent="0.25">
      <c r="G3884" t="str">
        <f t="shared" si="162"/>
        <v>Insert into BlueCreditTypeRainbow Values (, , , , , )</v>
      </c>
    </row>
    <row r="3885" spans="7:7" x14ac:dyDescent="0.25">
      <c r="G3885" t="str">
        <f t="shared" si="162"/>
        <v>Insert into BlueCreditTypeRainbow Values (, , , , , )</v>
      </c>
    </row>
    <row r="3886" spans="7:7" x14ac:dyDescent="0.25">
      <c r="G3886" t="str">
        <f t="shared" si="162"/>
        <v>Insert into BlueCreditTypeRainbow Values (, , , , , )</v>
      </c>
    </row>
    <row r="3887" spans="7:7" x14ac:dyDescent="0.25">
      <c r="G3887" t="str">
        <f t="shared" si="162"/>
        <v>Insert into BlueCreditTypeRainbow Values (, , , , , )</v>
      </c>
    </row>
    <row r="3888" spans="7:7" x14ac:dyDescent="0.25">
      <c r="G3888" t="str">
        <f t="shared" si="162"/>
        <v>Insert into BlueCreditTypeRainbow Values (, , , , , )</v>
      </c>
    </row>
    <row r="3889" spans="7:7" x14ac:dyDescent="0.25">
      <c r="G3889" t="str">
        <f t="shared" si="162"/>
        <v>Insert into BlueCreditTypeRainbow Values (, , , , , )</v>
      </c>
    </row>
    <row r="3890" spans="7:7" x14ac:dyDescent="0.25">
      <c r="G3890" t="str">
        <f t="shared" si="162"/>
        <v>Insert into BlueCreditTypeRainbow Values (, , , , , )</v>
      </c>
    </row>
    <row r="3891" spans="7:7" x14ac:dyDescent="0.25">
      <c r="G3891" t="str">
        <f t="shared" si="162"/>
        <v>Insert into BlueCreditTypeRainbow Values (, , , , , )</v>
      </c>
    </row>
    <row r="3892" spans="7:7" x14ac:dyDescent="0.25">
      <c r="G3892" t="str">
        <f t="shared" si="162"/>
        <v>Insert into BlueCreditTypeRainbow Values (, , , , , )</v>
      </c>
    </row>
    <row r="3893" spans="7:7" x14ac:dyDescent="0.25">
      <c r="G3893" t="str">
        <f t="shared" si="162"/>
        <v>Insert into BlueCreditTypeRainbow Values (, , , , , )</v>
      </c>
    </row>
    <row r="3894" spans="7:7" x14ac:dyDescent="0.25">
      <c r="G3894" t="str">
        <f t="shared" si="162"/>
        <v>Insert into BlueCreditTypeRainbow Values (, , , , , )</v>
      </c>
    </row>
    <row r="3895" spans="7:7" x14ac:dyDescent="0.25">
      <c r="G3895" t="str">
        <f t="shared" si="162"/>
        <v>Insert into BlueCreditTypeRainbow Values (, , , , , )</v>
      </c>
    </row>
    <row r="3896" spans="7:7" x14ac:dyDescent="0.25">
      <c r="G3896" t="str">
        <f t="shared" si="162"/>
        <v>Insert into BlueCreditTypeRainbow Values (, , , , , )</v>
      </c>
    </row>
    <row r="3897" spans="7:7" x14ac:dyDescent="0.25">
      <c r="G3897" t="str">
        <f t="shared" si="162"/>
        <v>Insert into BlueCreditTypeRainbow Values (, , , , , )</v>
      </c>
    </row>
    <row r="3898" spans="7:7" x14ac:dyDescent="0.25">
      <c r="G3898" t="str">
        <f t="shared" si="162"/>
        <v>Insert into BlueCreditTypeRainbow Values (, , , , , )</v>
      </c>
    </row>
    <row r="3899" spans="7:7" x14ac:dyDescent="0.25">
      <c r="G3899" t="str">
        <f t="shared" si="162"/>
        <v>Insert into BlueCreditTypeRainbow Values (, , , , , )</v>
      </c>
    </row>
    <row r="3900" spans="7:7" x14ac:dyDescent="0.25">
      <c r="G3900" t="str">
        <f t="shared" si="162"/>
        <v>Insert into BlueCreditTypeRainbow Values (, , , , , )</v>
      </c>
    </row>
    <row r="3901" spans="7:7" x14ac:dyDescent="0.25">
      <c r="G3901" t="str">
        <f t="shared" si="162"/>
        <v>Insert into BlueCreditTypeRainbow Values (, , , , , )</v>
      </c>
    </row>
    <row r="3902" spans="7:7" x14ac:dyDescent="0.25">
      <c r="G3902" t="str">
        <f t="shared" si="162"/>
        <v>Insert into BlueCreditTypeRainbow Values (, , , , , )</v>
      </c>
    </row>
    <row r="3903" spans="7:7" x14ac:dyDescent="0.25">
      <c r="G3903" t="str">
        <f t="shared" si="162"/>
        <v>Insert into BlueCreditTypeRainbow Values (, , , , , )</v>
      </c>
    </row>
    <row r="3904" spans="7:7" x14ac:dyDescent="0.25">
      <c r="G3904" t="str">
        <f t="shared" si="162"/>
        <v>Insert into BlueCreditTypeRainbow Values (, , , , , )</v>
      </c>
    </row>
    <row r="3905" spans="7:7" x14ac:dyDescent="0.25">
      <c r="G3905" t="str">
        <f t="shared" si="162"/>
        <v>Insert into BlueCreditTypeRainbow Values (, , , , , )</v>
      </c>
    </row>
    <row r="3906" spans="7:7" x14ac:dyDescent="0.25">
      <c r="G3906" t="str">
        <f t="shared" si="162"/>
        <v>Insert into BlueCreditTypeRainbow Values (, , , , , )</v>
      </c>
    </row>
    <row r="3907" spans="7:7" x14ac:dyDescent="0.25">
      <c r="G3907" t="str">
        <f t="shared" si="162"/>
        <v>Insert into BlueCreditTypeRainbow Values (, , , , , )</v>
      </c>
    </row>
    <row r="3908" spans="7:7" x14ac:dyDescent="0.25">
      <c r="G3908" t="str">
        <f t="shared" si="162"/>
        <v>Insert into BlueCreditTypeRainbow Values (, , , , , )</v>
      </c>
    </row>
    <row r="3909" spans="7:7" x14ac:dyDescent="0.25">
      <c r="G3909" t="str">
        <f t="shared" si="162"/>
        <v>Insert into BlueCreditTypeRainbow Values (, , , , , )</v>
      </c>
    </row>
    <row r="3910" spans="7:7" x14ac:dyDescent="0.25">
      <c r="G3910" t="str">
        <f t="shared" si="162"/>
        <v>Insert into BlueCreditTypeRainbow Values (, , , , , )</v>
      </c>
    </row>
    <row r="3911" spans="7:7" x14ac:dyDescent="0.25">
      <c r="G3911" t="str">
        <f t="shared" si="162"/>
        <v>Insert into BlueCreditTypeRainbow Values (, , , , , )</v>
      </c>
    </row>
    <row r="3912" spans="7:7" x14ac:dyDescent="0.25">
      <c r="G3912" t="str">
        <f t="shared" si="162"/>
        <v>Insert into BlueCreditTypeRainbow Values (, , , , , )</v>
      </c>
    </row>
    <row r="3913" spans="7:7" x14ac:dyDescent="0.25">
      <c r="G3913" t="str">
        <f t="shared" si="162"/>
        <v>Insert into BlueCreditTypeRainbow Values (, , , , , )</v>
      </c>
    </row>
    <row r="3914" spans="7:7" x14ac:dyDescent="0.25">
      <c r="G3914" t="str">
        <f t="shared" si="162"/>
        <v>Insert into BlueCreditTypeRainbow Values (, , , , , )</v>
      </c>
    </row>
    <row r="3915" spans="7:7" x14ac:dyDescent="0.25">
      <c r="G3915" t="str">
        <f t="shared" si="162"/>
        <v>Insert into BlueCreditTypeRainbow Values (, , , , , )</v>
      </c>
    </row>
    <row r="3916" spans="7:7" x14ac:dyDescent="0.25">
      <c r="G3916" t="str">
        <f t="shared" si="162"/>
        <v>Insert into BlueCreditTypeRainbow Values (, , , , , )</v>
      </c>
    </row>
    <row r="3917" spans="7:7" x14ac:dyDescent="0.25">
      <c r="G3917" t="str">
        <f t="shared" si="162"/>
        <v>Insert into BlueCreditTypeRainbow Values (, , , , , )</v>
      </c>
    </row>
    <row r="3918" spans="7:7" x14ac:dyDescent="0.25">
      <c r="G3918" t="str">
        <f t="shared" si="162"/>
        <v>Insert into BlueCreditTypeRainbow Values (, , , , , )</v>
      </c>
    </row>
    <row r="3919" spans="7:7" x14ac:dyDescent="0.25">
      <c r="G3919" t="str">
        <f t="shared" ref="G3919:G3982" si="163">CONCATENATE("Insert into BlueCreditTypeRainbow Values (",A3919,", ",B3919,", ",C3919,", ",D3919,", ",E3919,", ",F3919,")")</f>
        <v>Insert into BlueCreditTypeRainbow Values (, , , , , )</v>
      </c>
    </row>
    <row r="3920" spans="7:7" x14ac:dyDescent="0.25">
      <c r="G3920" t="str">
        <f t="shared" si="163"/>
        <v>Insert into BlueCreditTypeRainbow Values (, , , , , )</v>
      </c>
    </row>
    <row r="3921" spans="7:7" x14ac:dyDescent="0.25">
      <c r="G3921" t="str">
        <f t="shared" si="163"/>
        <v>Insert into BlueCreditTypeRainbow Values (, , , , , )</v>
      </c>
    </row>
    <row r="3922" spans="7:7" x14ac:dyDescent="0.25">
      <c r="G3922" t="str">
        <f t="shared" si="163"/>
        <v>Insert into BlueCreditTypeRainbow Values (, , , , , )</v>
      </c>
    </row>
    <row r="3923" spans="7:7" x14ac:dyDescent="0.25">
      <c r="G3923" t="str">
        <f t="shared" si="163"/>
        <v>Insert into BlueCreditTypeRainbow Values (, , , , , )</v>
      </c>
    </row>
    <row r="3924" spans="7:7" x14ac:dyDescent="0.25">
      <c r="G3924" t="str">
        <f t="shared" si="163"/>
        <v>Insert into BlueCreditTypeRainbow Values (, , , , , )</v>
      </c>
    </row>
    <row r="3925" spans="7:7" x14ac:dyDescent="0.25">
      <c r="G3925" t="str">
        <f t="shared" si="163"/>
        <v>Insert into BlueCreditTypeRainbow Values (, , , , , )</v>
      </c>
    </row>
    <row r="3926" spans="7:7" x14ac:dyDescent="0.25">
      <c r="G3926" t="str">
        <f t="shared" si="163"/>
        <v>Insert into BlueCreditTypeRainbow Values (, , , , , )</v>
      </c>
    </row>
    <row r="3927" spans="7:7" x14ac:dyDescent="0.25">
      <c r="G3927" t="str">
        <f t="shared" si="163"/>
        <v>Insert into BlueCreditTypeRainbow Values (, , , , , )</v>
      </c>
    </row>
    <row r="3928" spans="7:7" x14ac:dyDescent="0.25">
      <c r="G3928" t="str">
        <f t="shared" si="163"/>
        <v>Insert into BlueCreditTypeRainbow Values (, , , , , )</v>
      </c>
    </row>
    <row r="3929" spans="7:7" x14ac:dyDescent="0.25">
      <c r="G3929" t="str">
        <f t="shared" si="163"/>
        <v>Insert into BlueCreditTypeRainbow Values (, , , , , )</v>
      </c>
    </row>
    <row r="3930" spans="7:7" x14ac:dyDescent="0.25">
      <c r="G3930" t="str">
        <f t="shared" si="163"/>
        <v>Insert into BlueCreditTypeRainbow Values (, , , , , )</v>
      </c>
    </row>
    <row r="3931" spans="7:7" x14ac:dyDescent="0.25">
      <c r="G3931" t="str">
        <f t="shared" si="163"/>
        <v>Insert into BlueCreditTypeRainbow Values (, , , , , )</v>
      </c>
    </row>
    <row r="3932" spans="7:7" x14ac:dyDescent="0.25">
      <c r="G3932" t="str">
        <f t="shared" si="163"/>
        <v>Insert into BlueCreditTypeRainbow Values (, , , , , )</v>
      </c>
    </row>
    <row r="3933" spans="7:7" x14ac:dyDescent="0.25">
      <c r="G3933" t="str">
        <f t="shared" si="163"/>
        <v>Insert into BlueCreditTypeRainbow Values (, , , , , )</v>
      </c>
    </row>
    <row r="3934" spans="7:7" x14ac:dyDescent="0.25">
      <c r="G3934" t="str">
        <f t="shared" si="163"/>
        <v>Insert into BlueCreditTypeRainbow Values (, , , , , )</v>
      </c>
    </row>
    <row r="3935" spans="7:7" x14ac:dyDescent="0.25">
      <c r="G3935" t="str">
        <f t="shared" si="163"/>
        <v>Insert into BlueCreditTypeRainbow Values (, , , , , )</v>
      </c>
    </row>
    <row r="3936" spans="7:7" x14ac:dyDescent="0.25">
      <c r="G3936" t="str">
        <f t="shared" si="163"/>
        <v>Insert into BlueCreditTypeRainbow Values (, , , , , )</v>
      </c>
    </row>
    <row r="3937" spans="7:7" x14ac:dyDescent="0.25">
      <c r="G3937" t="str">
        <f t="shared" si="163"/>
        <v>Insert into BlueCreditTypeRainbow Values (, , , , , )</v>
      </c>
    </row>
    <row r="3938" spans="7:7" x14ac:dyDescent="0.25">
      <c r="G3938" t="str">
        <f t="shared" si="163"/>
        <v>Insert into BlueCreditTypeRainbow Values (, , , , , )</v>
      </c>
    </row>
    <row r="3939" spans="7:7" x14ac:dyDescent="0.25">
      <c r="G3939" t="str">
        <f t="shared" si="163"/>
        <v>Insert into BlueCreditTypeRainbow Values (, , , , , )</v>
      </c>
    </row>
    <row r="3940" spans="7:7" x14ac:dyDescent="0.25">
      <c r="G3940" t="str">
        <f t="shared" si="163"/>
        <v>Insert into BlueCreditTypeRainbow Values (, , , , , )</v>
      </c>
    </row>
    <row r="3941" spans="7:7" x14ac:dyDescent="0.25">
      <c r="G3941" t="str">
        <f t="shared" si="163"/>
        <v>Insert into BlueCreditTypeRainbow Values (, , , , , )</v>
      </c>
    </row>
    <row r="3942" spans="7:7" x14ac:dyDescent="0.25">
      <c r="G3942" t="str">
        <f t="shared" si="163"/>
        <v>Insert into BlueCreditTypeRainbow Values (, , , , , )</v>
      </c>
    </row>
    <row r="3943" spans="7:7" x14ac:dyDescent="0.25">
      <c r="G3943" t="str">
        <f t="shared" si="163"/>
        <v>Insert into BlueCreditTypeRainbow Values (, , , , , )</v>
      </c>
    </row>
    <row r="3944" spans="7:7" x14ac:dyDescent="0.25">
      <c r="G3944" t="str">
        <f t="shared" si="163"/>
        <v>Insert into BlueCreditTypeRainbow Values (, , , , , )</v>
      </c>
    </row>
    <row r="3945" spans="7:7" x14ac:dyDescent="0.25">
      <c r="G3945" t="str">
        <f t="shared" si="163"/>
        <v>Insert into BlueCreditTypeRainbow Values (, , , , , )</v>
      </c>
    </row>
    <row r="3946" spans="7:7" x14ac:dyDescent="0.25">
      <c r="G3946" t="str">
        <f t="shared" si="163"/>
        <v>Insert into BlueCreditTypeRainbow Values (, , , , , )</v>
      </c>
    </row>
    <row r="3947" spans="7:7" x14ac:dyDescent="0.25">
      <c r="G3947" t="str">
        <f t="shared" si="163"/>
        <v>Insert into BlueCreditTypeRainbow Values (, , , , , )</v>
      </c>
    </row>
    <row r="3948" spans="7:7" x14ac:dyDescent="0.25">
      <c r="G3948" t="str">
        <f t="shared" si="163"/>
        <v>Insert into BlueCreditTypeRainbow Values (, , , , , )</v>
      </c>
    </row>
    <row r="3949" spans="7:7" x14ac:dyDescent="0.25">
      <c r="G3949" t="str">
        <f t="shared" si="163"/>
        <v>Insert into BlueCreditTypeRainbow Values (, , , , , )</v>
      </c>
    </row>
    <row r="3950" spans="7:7" x14ac:dyDescent="0.25">
      <c r="G3950" t="str">
        <f t="shared" si="163"/>
        <v>Insert into BlueCreditTypeRainbow Values (, , , , , )</v>
      </c>
    </row>
    <row r="3951" spans="7:7" x14ac:dyDescent="0.25">
      <c r="G3951" t="str">
        <f t="shared" si="163"/>
        <v>Insert into BlueCreditTypeRainbow Values (, , , , , )</v>
      </c>
    </row>
    <row r="3952" spans="7:7" x14ac:dyDescent="0.25">
      <c r="G3952" t="str">
        <f t="shared" si="163"/>
        <v>Insert into BlueCreditTypeRainbow Values (, , , , , )</v>
      </c>
    </row>
    <row r="3953" spans="7:7" x14ac:dyDescent="0.25">
      <c r="G3953" t="str">
        <f t="shared" si="163"/>
        <v>Insert into BlueCreditTypeRainbow Values (, , , , , )</v>
      </c>
    </row>
    <row r="3954" spans="7:7" x14ac:dyDescent="0.25">
      <c r="G3954" t="str">
        <f t="shared" si="163"/>
        <v>Insert into BlueCreditTypeRainbow Values (, , , , , )</v>
      </c>
    </row>
    <row r="3955" spans="7:7" x14ac:dyDescent="0.25">
      <c r="G3955" t="str">
        <f t="shared" si="163"/>
        <v>Insert into BlueCreditTypeRainbow Values (, , , , , )</v>
      </c>
    </row>
    <row r="3956" spans="7:7" x14ac:dyDescent="0.25">
      <c r="G3956" t="str">
        <f t="shared" si="163"/>
        <v>Insert into BlueCreditTypeRainbow Values (, , , , , )</v>
      </c>
    </row>
    <row r="3957" spans="7:7" x14ac:dyDescent="0.25">
      <c r="G3957" t="str">
        <f t="shared" si="163"/>
        <v>Insert into BlueCreditTypeRainbow Values (, , , , , )</v>
      </c>
    </row>
    <row r="3958" spans="7:7" x14ac:dyDescent="0.25">
      <c r="G3958" t="str">
        <f t="shared" si="163"/>
        <v>Insert into BlueCreditTypeRainbow Values (, , , , , )</v>
      </c>
    </row>
    <row r="3959" spans="7:7" x14ac:dyDescent="0.25">
      <c r="G3959" t="str">
        <f t="shared" si="163"/>
        <v>Insert into BlueCreditTypeRainbow Values (, , , , , )</v>
      </c>
    </row>
    <row r="3960" spans="7:7" x14ac:dyDescent="0.25">
      <c r="G3960" t="str">
        <f t="shared" si="163"/>
        <v>Insert into BlueCreditTypeRainbow Values (, , , , , )</v>
      </c>
    </row>
    <row r="3961" spans="7:7" x14ac:dyDescent="0.25">
      <c r="G3961" t="str">
        <f t="shared" si="163"/>
        <v>Insert into BlueCreditTypeRainbow Values (, , , , , )</v>
      </c>
    </row>
    <row r="3962" spans="7:7" x14ac:dyDescent="0.25">
      <c r="G3962" t="str">
        <f t="shared" si="163"/>
        <v>Insert into BlueCreditTypeRainbow Values (, , , , , )</v>
      </c>
    </row>
    <row r="3963" spans="7:7" x14ac:dyDescent="0.25">
      <c r="G3963" t="str">
        <f t="shared" si="163"/>
        <v>Insert into BlueCreditTypeRainbow Values (, , , , , )</v>
      </c>
    </row>
    <row r="3964" spans="7:7" x14ac:dyDescent="0.25">
      <c r="G3964" t="str">
        <f t="shared" si="163"/>
        <v>Insert into BlueCreditTypeRainbow Values (, , , , , )</v>
      </c>
    </row>
    <row r="3965" spans="7:7" x14ac:dyDescent="0.25">
      <c r="G3965" t="str">
        <f t="shared" si="163"/>
        <v>Insert into BlueCreditTypeRainbow Values (, , , , , )</v>
      </c>
    </row>
    <row r="3966" spans="7:7" x14ac:dyDescent="0.25">
      <c r="G3966" t="str">
        <f t="shared" si="163"/>
        <v>Insert into BlueCreditTypeRainbow Values (, , , , , )</v>
      </c>
    </row>
    <row r="3967" spans="7:7" x14ac:dyDescent="0.25">
      <c r="G3967" t="str">
        <f t="shared" si="163"/>
        <v>Insert into BlueCreditTypeRainbow Values (, , , , , )</v>
      </c>
    </row>
    <row r="3968" spans="7:7" x14ac:dyDescent="0.25">
      <c r="G3968" t="str">
        <f t="shared" si="163"/>
        <v>Insert into BlueCreditTypeRainbow Values (, , , , , )</v>
      </c>
    </row>
    <row r="3969" spans="7:7" x14ac:dyDescent="0.25">
      <c r="G3969" t="str">
        <f t="shared" si="163"/>
        <v>Insert into BlueCreditTypeRainbow Values (, , , , , )</v>
      </c>
    </row>
    <row r="3970" spans="7:7" x14ac:dyDescent="0.25">
      <c r="G3970" t="str">
        <f t="shared" si="163"/>
        <v>Insert into BlueCreditTypeRainbow Values (, , , , , )</v>
      </c>
    </row>
    <row r="3971" spans="7:7" x14ac:dyDescent="0.25">
      <c r="G3971" t="str">
        <f t="shared" si="163"/>
        <v>Insert into BlueCreditTypeRainbow Values (, , , , , )</v>
      </c>
    </row>
    <row r="3972" spans="7:7" x14ac:dyDescent="0.25">
      <c r="G3972" t="str">
        <f t="shared" si="163"/>
        <v>Insert into BlueCreditTypeRainbow Values (, , , , , )</v>
      </c>
    </row>
    <row r="3973" spans="7:7" x14ac:dyDescent="0.25">
      <c r="G3973" t="str">
        <f t="shared" si="163"/>
        <v>Insert into BlueCreditTypeRainbow Values (, , , , , )</v>
      </c>
    </row>
    <row r="3974" spans="7:7" x14ac:dyDescent="0.25">
      <c r="G3974" t="str">
        <f t="shared" si="163"/>
        <v>Insert into BlueCreditTypeRainbow Values (, , , , , )</v>
      </c>
    </row>
    <row r="3975" spans="7:7" x14ac:dyDescent="0.25">
      <c r="G3975" t="str">
        <f t="shared" si="163"/>
        <v>Insert into BlueCreditTypeRainbow Values (, , , , , )</v>
      </c>
    </row>
    <row r="3976" spans="7:7" x14ac:dyDescent="0.25">
      <c r="G3976" t="str">
        <f t="shared" si="163"/>
        <v>Insert into BlueCreditTypeRainbow Values (, , , , , )</v>
      </c>
    </row>
    <row r="3977" spans="7:7" x14ac:dyDescent="0.25">
      <c r="G3977" t="str">
        <f t="shared" si="163"/>
        <v>Insert into BlueCreditTypeRainbow Values (, , , , , )</v>
      </c>
    </row>
    <row r="3978" spans="7:7" x14ac:dyDescent="0.25">
      <c r="G3978" t="str">
        <f t="shared" si="163"/>
        <v>Insert into BlueCreditTypeRainbow Values (, , , , , )</v>
      </c>
    </row>
    <row r="3979" spans="7:7" x14ac:dyDescent="0.25">
      <c r="G3979" t="str">
        <f t="shared" si="163"/>
        <v>Insert into BlueCreditTypeRainbow Values (, , , , , )</v>
      </c>
    </row>
    <row r="3980" spans="7:7" x14ac:dyDescent="0.25">
      <c r="G3980" t="str">
        <f t="shared" si="163"/>
        <v>Insert into BlueCreditTypeRainbow Values (, , , , , )</v>
      </c>
    </row>
    <row r="3981" spans="7:7" x14ac:dyDescent="0.25">
      <c r="G3981" t="str">
        <f t="shared" si="163"/>
        <v>Insert into BlueCreditTypeRainbow Values (, , , , , )</v>
      </c>
    </row>
    <row r="3982" spans="7:7" x14ac:dyDescent="0.25">
      <c r="G3982" t="str">
        <f t="shared" si="163"/>
        <v>Insert into BlueCreditTypeRainbow Values (, , , , , )</v>
      </c>
    </row>
    <row r="3983" spans="7:7" x14ac:dyDescent="0.25">
      <c r="G3983" t="str">
        <f t="shared" ref="G3983:G4046" si="164">CONCATENATE("Insert into BlueCreditTypeRainbow Values (",A3983,", ",B3983,", ",C3983,", ",D3983,", ",E3983,", ",F3983,")")</f>
        <v>Insert into BlueCreditTypeRainbow Values (, , , , , )</v>
      </c>
    </row>
    <row r="3984" spans="7:7" x14ac:dyDescent="0.25">
      <c r="G3984" t="str">
        <f t="shared" si="164"/>
        <v>Insert into BlueCreditTypeRainbow Values (, , , , , )</v>
      </c>
    </row>
    <row r="3985" spans="7:7" x14ac:dyDescent="0.25">
      <c r="G3985" t="str">
        <f t="shared" si="164"/>
        <v>Insert into BlueCreditTypeRainbow Values (, , , , , )</v>
      </c>
    </row>
    <row r="3986" spans="7:7" x14ac:dyDescent="0.25">
      <c r="G3986" t="str">
        <f t="shared" si="164"/>
        <v>Insert into BlueCreditTypeRainbow Values (, , , , , )</v>
      </c>
    </row>
    <row r="3987" spans="7:7" x14ac:dyDescent="0.25">
      <c r="G3987" t="str">
        <f t="shared" si="164"/>
        <v>Insert into BlueCreditTypeRainbow Values (, , , , , )</v>
      </c>
    </row>
    <row r="3988" spans="7:7" x14ac:dyDescent="0.25">
      <c r="G3988" t="str">
        <f t="shared" si="164"/>
        <v>Insert into BlueCreditTypeRainbow Values (, , , , , )</v>
      </c>
    </row>
    <row r="3989" spans="7:7" x14ac:dyDescent="0.25">
      <c r="G3989" t="str">
        <f t="shared" si="164"/>
        <v>Insert into BlueCreditTypeRainbow Values (, , , , , )</v>
      </c>
    </row>
    <row r="3990" spans="7:7" x14ac:dyDescent="0.25">
      <c r="G3990" t="str">
        <f t="shared" si="164"/>
        <v>Insert into BlueCreditTypeRainbow Values (, , , , , )</v>
      </c>
    </row>
    <row r="3991" spans="7:7" x14ac:dyDescent="0.25">
      <c r="G3991" t="str">
        <f t="shared" si="164"/>
        <v>Insert into BlueCreditTypeRainbow Values (, , , , , )</v>
      </c>
    </row>
    <row r="3992" spans="7:7" x14ac:dyDescent="0.25">
      <c r="G3992" t="str">
        <f t="shared" si="164"/>
        <v>Insert into BlueCreditTypeRainbow Values (, , , , , )</v>
      </c>
    </row>
    <row r="3993" spans="7:7" x14ac:dyDescent="0.25">
      <c r="G3993" t="str">
        <f t="shared" si="164"/>
        <v>Insert into BlueCreditTypeRainbow Values (, , , , , )</v>
      </c>
    </row>
    <row r="3994" spans="7:7" x14ac:dyDescent="0.25">
      <c r="G3994" t="str">
        <f t="shared" si="164"/>
        <v>Insert into BlueCreditTypeRainbow Values (, , , , , )</v>
      </c>
    </row>
    <row r="3995" spans="7:7" x14ac:dyDescent="0.25">
      <c r="G3995" t="str">
        <f t="shared" si="164"/>
        <v>Insert into BlueCreditTypeRainbow Values (, , , , , )</v>
      </c>
    </row>
    <row r="3996" spans="7:7" x14ac:dyDescent="0.25">
      <c r="G3996" t="str">
        <f t="shared" si="164"/>
        <v>Insert into BlueCreditTypeRainbow Values (, , , , , )</v>
      </c>
    </row>
    <row r="3997" spans="7:7" x14ac:dyDescent="0.25">
      <c r="G3997" t="str">
        <f t="shared" si="164"/>
        <v>Insert into BlueCreditTypeRainbow Values (, , , , , )</v>
      </c>
    </row>
    <row r="3998" spans="7:7" x14ac:dyDescent="0.25">
      <c r="G3998" t="str">
        <f t="shared" si="164"/>
        <v>Insert into BlueCreditTypeRainbow Values (, , , , , )</v>
      </c>
    </row>
    <row r="3999" spans="7:7" x14ac:dyDescent="0.25">
      <c r="G3999" t="str">
        <f t="shared" si="164"/>
        <v>Insert into BlueCreditTypeRainbow Values (, , , , , )</v>
      </c>
    </row>
    <row r="4000" spans="7:7" x14ac:dyDescent="0.25">
      <c r="G4000" t="str">
        <f t="shared" si="164"/>
        <v>Insert into BlueCreditTypeRainbow Values (, , , , , )</v>
      </c>
    </row>
    <row r="4001" spans="7:7" x14ac:dyDescent="0.25">
      <c r="G4001" t="str">
        <f t="shared" si="164"/>
        <v>Insert into BlueCreditTypeRainbow Values (, , , , , )</v>
      </c>
    </row>
    <row r="4002" spans="7:7" x14ac:dyDescent="0.25">
      <c r="G4002" t="str">
        <f t="shared" si="164"/>
        <v>Insert into BlueCreditTypeRainbow Values (, , , , , )</v>
      </c>
    </row>
    <row r="4003" spans="7:7" x14ac:dyDescent="0.25">
      <c r="G4003" t="str">
        <f t="shared" si="164"/>
        <v>Insert into BlueCreditTypeRainbow Values (, , , , , )</v>
      </c>
    </row>
    <row r="4004" spans="7:7" x14ac:dyDescent="0.25">
      <c r="G4004" t="str">
        <f t="shared" si="164"/>
        <v>Insert into BlueCreditTypeRainbow Values (, , , , , )</v>
      </c>
    </row>
    <row r="4005" spans="7:7" x14ac:dyDescent="0.25">
      <c r="G4005" t="str">
        <f t="shared" si="164"/>
        <v>Insert into BlueCreditTypeRainbow Values (, , , , , )</v>
      </c>
    </row>
    <row r="4006" spans="7:7" x14ac:dyDescent="0.25">
      <c r="G4006" t="str">
        <f t="shared" si="164"/>
        <v>Insert into BlueCreditTypeRainbow Values (, , , , , )</v>
      </c>
    </row>
    <row r="4007" spans="7:7" x14ac:dyDescent="0.25">
      <c r="G4007" t="str">
        <f t="shared" si="164"/>
        <v>Insert into BlueCreditTypeRainbow Values (, , , , , )</v>
      </c>
    </row>
    <row r="4008" spans="7:7" x14ac:dyDescent="0.25">
      <c r="G4008" t="str">
        <f t="shared" si="164"/>
        <v>Insert into BlueCreditTypeRainbow Values (, , , , , )</v>
      </c>
    </row>
    <row r="4009" spans="7:7" x14ac:dyDescent="0.25">
      <c r="G4009" t="str">
        <f t="shared" si="164"/>
        <v>Insert into BlueCreditTypeRainbow Values (, , , , , )</v>
      </c>
    </row>
    <row r="4010" spans="7:7" x14ac:dyDescent="0.25">
      <c r="G4010" t="str">
        <f t="shared" si="164"/>
        <v>Insert into BlueCreditTypeRainbow Values (, , , , , )</v>
      </c>
    </row>
    <row r="4011" spans="7:7" x14ac:dyDescent="0.25">
      <c r="G4011" t="str">
        <f t="shared" si="164"/>
        <v>Insert into BlueCreditTypeRainbow Values (, , , , , )</v>
      </c>
    </row>
    <row r="4012" spans="7:7" x14ac:dyDescent="0.25">
      <c r="G4012" t="str">
        <f t="shared" si="164"/>
        <v>Insert into BlueCreditTypeRainbow Values (, , , , , )</v>
      </c>
    </row>
    <row r="4013" spans="7:7" x14ac:dyDescent="0.25">
      <c r="G4013" t="str">
        <f t="shared" si="164"/>
        <v>Insert into BlueCreditTypeRainbow Values (, , , , , )</v>
      </c>
    </row>
    <row r="4014" spans="7:7" x14ac:dyDescent="0.25">
      <c r="G4014" t="str">
        <f t="shared" si="164"/>
        <v>Insert into BlueCreditTypeRainbow Values (, , , , , )</v>
      </c>
    </row>
    <row r="4015" spans="7:7" x14ac:dyDescent="0.25">
      <c r="G4015" t="str">
        <f t="shared" si="164"/>
        <v>Insert into BlueCreditTypeRainbow Values (, , , , , )</v>
      </c>
    </row>
    <row r="4016" spans="7:7" x14ac:dyDescent="0.25">
      <c r="G4016" t="str">
        <f t="shared" si="164"/>
        <v>Insert into BlueCreditTypeRainbow Values (, , , , , )</v>
      </c>
    </row>
    <row r="4017" spans="7:7" x14ac:dyDescent="0.25">
      <c r="G4017" t="str">
        <f t="shared" si="164"/>
        <v>Insert into BlueCreditTypeRainbow Values (, , , , , )</v>
      </c>
    </row>
    <row r="4018" spans="7:7" x14ac:dyDescent="0.25">
      <c r="G4018" t="str">
        <f t="shared" si="164"/>
        <v>Insert into BlueCreditTypeRainbow Values (, , , , , )</v>
      </c>
    </row>
    <row r="4019" spans="7:7" x14ac:dyDescent="0.25">
      <c r="G4019" t="str">
        <f t="shared" si="164"/>
        <v>Insert into BlueCreditTypeRainbow Values (, , , , , )</v>
      </c>
    </row>
    <row r="4020" spans="7:7" x14ac:dyDescent="0.25">
      <c r="G4020" t="str">
        <f t="shared" si="164"/>
        <v>Insert into BlueCreditTypeRainbow Values (, , , , , )</v>
      </c>
    </row>
    <row r="4021" spans="7:7" x14ac:dyDescent="0.25">
      <c r="G4021" t="str">
        <f t="shared" si="164"/>
        <v>Insert into BlueCreditTypeRainbow Values (, , , , , )</v>
      </c>
    </row>
    <row r="4022" spans="7:7" x14ac:dyDescent="0.25">
      <c r="G4022" t="str">
        <f t="shared" si="164"/>
        <v>Insert into BlueCreditTypeRainbow Values (, , , , , )</v>
      </c>
    </row>
    <row r="4023" spans="7:7" x14ac:dyDescent="0.25">
      <c r="G4023" t="str">
        <f t="shared" si="164"/>
        <v>Insert into BlueCreditTypeRainbow Values (, , , , , )</v>
      </c>
    </row>
    <row r="4024" spans="7:7" x14ac:dyDescent="0.25">
      <c r="G4024" t="str">
        <f t="shared" si="164"/>
        <v>Insert into BlueCreditTypeRainbow Values (, , , , , )</v>
      </c>
    </row>
    <row r="4025" spans="7:7" x14ac:dyDescent="0.25">
      <c r="G4025" t="str">
        <f t="shared" si="164"/>
        <v>Insert into BlueCreditTypeRainbow Values (, , , , , )</v>
      </c>
    </row>
    <row r="4026" spans="7:7" x14ac:dyDescent="0.25">
      <c r="G4026" t="str">
        <f t="shared" si="164"/>
        <v>Insert into BlueCreditTypeRainbow Values (, , , , , )</v>
      </c>
    </row>
    <row r="4027" spans="7:7" x14ac:dyDescent="0.25">
      <c r="G4027" t="str">
        <f t="shared" si="164"/>
        <v>Insert into BlueCreditTypeRainbow Values (, , , , , )</v>
      </c>
    </row>
    <row r="4028" spans="7:7" x14ac:dyDescent="0.25">
      <c r="G4028" t="str">
        <f t="shared" si="164"/>
        <v>Insert into BlueCreditTypeRainbow Values (, , , , , )</v>
      </c>
    </row>
    <row r="4029" spans="7:7" x14ac:dyDescent="0.25">
      <c r="G4029" t="str">
        <f t="shared" si="164"/>
        <v>Insert into BlueCreditTypeRainbow Values (, , , , , )</v>
      </c>
    </row>
    <row r="4030" spans="7:7" x14ac:dyDescent="0.25">
      <c r="G4030" t="str">
        <f t="shared" si="164"/>
        <v>Insert into BlueCreditTypeRainbow Values (, , , , , )</v>
      </c>
    </row>
    <row r="4031" spans="7:7" x14ac:dyDescent="0.25">
      <c r="G4031" t="str">
        <f t="shared" si="164"/>
        <v>Insert into BlueCreditTypeRainbow Values (, , , , , )</v>
      </c>
    </row>
    <row r="4032" spans="7:7" x14ac:dyDescent="0.25">
      <c r="G4032" t="str">
        <f t="shared" si="164"/>
        <v>Insert into BlueCreditTypeRainbow Values (, , , , , )</v>
      </c>
    </row>
    <row r="4033" spans="7:7" x14ac:dyDescent="0.25">
      <c r="G4033" t="str">
        <f t="shared" si="164"/>
        <v>Insert into BlueCreditTypeRainbow Values (, , , , , )</v>
      </c>
    </row>
    <row r="4034" spans="7:7" x14ac:dyDescent="0.25">
      <c r="G4034" t="str">
        <f t="shared" si="164"/>
        <v>Insert into BlueCreditTypeRainbow Values (, , , , , )</v>
      </c>
    </row>
    <row r="4035" spans="7:7" x14ac:dyDescent="0.25">
      <c r="G4035" t="str">
        <f t="shared" si="164"/>
        <v>Insert into BlueCreditTypeRainbow Values (, , , , , )</v>
      </c>
    </row>
    <row r="4036" spans="7:7" x14ac:dyDescent="0.25">
      <c r="G4036" t="str">
        <f t="shared" si="164"/>
        <v>Insert into BlueCreditTypeRainbow Values (, , , , , )</v>
      </c>
    </row>
    <row r="4037" spans="7:7" x14ac:dyDescent="0.25">
      <c r="G4037" t="str">
        <f t="shared" si="164"/>
        <v>Insert into BlueCreditTypeRainbow Values (, , , , , )</v>
      </c>
    </row>
    <row r="4038" spans="7:7" x14ac:dyDescent="0.25">
      <c r="G4038" t="str">
        <f t="shared" si="164"/>
        <v>Insert into BlueCreditTypeRainbow Values (, , , , , )</v>
      </c>
    </row>
    <row r="4039" spans="7:7" x14ac:dyDescent="0.25">
      <c r="G4039" t="str">
        <f t="shared" si="164"/>
        <v>Insert into BlueCreditTypeRainbow Values (, , , , , )</v>
      </c>
    </row>
    <row r="4040" spans="7:7" x14ac:dyDescent="0.25">
      <c r="G4040" t="str">
        <f t="shared" si="164"/>
        <v>Insert into BlueCreditTypeRainbow Values (, , , , , )</v>
      </c>
    </row>
    <row r="4041" spans="7:7" x14ac:dyDescent="0.25">
      <c r="G4041" t="str">
        <f t="shared" si="164"/>
        <v>Insert into BlueCreditTypeRainbow Values (, , , , , )</v>
      </c>
    </row>
    <row r="4042" spans="7:7" x14ac:dyDescent="0.25">
      <c r="G4042" t="str">
        <f t="shared" si="164"/>
        <v>Insert into BlueCreditTypeRainbow Values (, , , , , )</v>
      </c>
    </row>
    <row r="4043" spans="7:7" x14ac:dyDescent="0.25">
      <c r="G4043" t="str">
        <f t="shared" si="164"/>
        <v>Insert into BlueCreditTypeRainbow Values (, , , , , )</v>
      </c>
    </row>
    <row r="4044" spans="7:7" x14ac:dyDescent="0.25">
      <c r="G4044" t="str">
        <f t="shared" si="164"/>
        <v>Insert into BlueCreditTypeRainbow Values (, , , , , )</v>
      </c>
    </row>
    <row r="4045" spans="7:7" x14ac:dyDescent="0.25">
      <c r="G4045" t="str">
        <f t="shared" si="164"/>
        <v>Insert into BlueCreditTypeRainbow Values (, , , , , )</v>
      </c>
    </row>
    <row r="4046" spans="7:7" x14ac:dyDescent="0.25">
      <c r="G4046" t="str">
        <f t="shared" si="164"/>
        <v>Insert into BlueCreditTypeRainbow Values (, , , , , )</v>
      </c>
    </row>
    <row r="4047" spans="7:7" x14ac:dyDescent="0.25">
      <c r="G4047" t="str">
        <f t="shared" ref="G4047:G4110" si="165">CONCATENATE("Insert into BlueCreditTypeRainbow Values (",A4047,", ",B4047,", ",C4047,", ",D4047,", ",E4047,", ",F4047,")")</f>
        <v>Insert into BlueCreditTypeRainbow Values (, , , , , )</v>
      </c>
    </row>
    <row r="4048" spans="7:7" x14ac:dyDescent="0.25">
      <c r="G4048" t="str">
        <f t="shared" si="165"/>
        <v>Insert into BlueCreditTypeRainbow Values (, , , , , )</v>
      </c>
    </row>
    <row r="4049" spans="7:7" x14ac:dyDescent="0.25">
      <c r="G4049" t="str">
        <f t="shared" si="165"/>
        <v>Insert into BlueCreditTypeRainbow Values (, , , , , )</v>
      </c>
    </row>
    <row r="4050" spans="7:7" x14ac:dyDescent="0.25">
      <c r="G4050" t="str">
        <f t="shared" si="165"/>
        <v>Insert into BlueCreditTypeRainbow Values (, , , , , )</v>
      </c>
    </row>
    <row r="4051" spans="7:7" x14ac:dyDescent="0.25">
      <c r="G4051" t="str">
        <f t="shared" si="165"/>
        <v>Insert into BlueCreditTypeRainbow Values (, , , , , )</v>
      </c>
    </row>
    <row r="4052" spans="7:7" x14ac:dyDescent="0.25">
      <c r="G4052" t="str">
        <f t="shared" si="165"/>
        <v>Insert into BlueCreditTypeRainbow Values (, , , , , )</v>
      </c>
    </row>
    <row r="4053" spans="7:7" x14ac:dyDescent="0.25">
      <c r="G4053" t="str">
        <f t="shared" si="165"/>
        <v>Insert into BlueCreditTypeRainbow Values (, , , , , )</v>
      </c>
    </row>
    <row r="4054" spans="7:7" x14ac:dyDescent="0.25">
      <c r="G4054" t="str">
        <f t="shared" si="165"/>
        <v>Insert into BlueCreditTypeRainbow Values (, , , , , )</v>
      </c>
    </row>
    <row r="4055" spans="7:7" x14ac:dyDescent="0.25">
      <c r="G4055" t="str">
        <f t="shared" si="165"/>
        <v>Insert into BlueCreditTypeRainbow Values (, , , , , )</v>
      </c>
    </row>
    <row r="4056" spans="7:7" x14ac:dyDescent="0.25">
      <c r="G4056" t="str">
        <f t="shared" si="165"/>
        <v>Insert into BlueCreditTypeRainbow Values (, , , , , )</v>
      </c>
    </row>
    <row r="4057" spans="7:7" x14ac:dyDescent="0.25">
      <c r="G4057" t="str">
        <f t="shared" si="165"/>
        <v>Insert into BlueCreditTypeRainbow Values (, , , , , )</v>
      </c>
    </row>
    <row r="4058" spans="7:7" x14ac:dyDescent="0.25">
      <c r="G4058" t="str">
        <f t="shared" si="165"/>
        <v>Insert into BlueCreditTypeRainbow Values (, , , , , )</v>
      </c>
    </row>
    <row r="4059" spans="7:7" x14ac:dyDescent="0.25">
      <c r="G4059" t="str">
        <f t="shared" si="165"/>
        <v>Insert into BlueCreditTypeRainbow Values (, , , , , )</v>
      </c>
    </row>
    <row r="4060" spans="7:7" x14ac:dyDescent="0.25">
      <c r="G4060" t="str">
        <f t="shared" si="165"/>
        <v>Insert into BlueCreditTypeRainbow Values (, , , , , )</v>
      </c>
    </row>
    <row r="4061" spans="7:7" x14ac:dyDescent="0.25">
      <c r="G4061" t="str">
        <f t="shared" si="165"/>
        <v>Insert into BlueCreditTypeRainbow Values (, , , , , )</v>
      </c>
    </row>
    <row r="4062" spans="7:7" x14ac:dyDescent="0.25">
      <c r="G4062" t="str">
        <f t="shared" si="165"/>
        <v>Insert into BlueCreditTypeRainbow Values (, , , , , )</v>
      </c>
    </row>
    <row r="4063" spans="7:7" x14ac:dyDescent="0.25">
      <c r="G4063" t="str">
        <f t="shared" si="165"/>
        <v>Insert into BlueCreditTypeRainbow Values (, , , , , )</v>
      </c>
    </row>
    <row r="4064" spans="7:7" x14ac:dyDescent="0.25">
      <c r="G4064" t="str">
        <f t="shared" si="165"/>
        <v>Insert into BlueCreditTypeRainbow Values (, , , , , )</v>
      </c>
    </row>
    <row r="4065" spans="7:7" x14ac:dyDescent="0.25">
      <c r="G4065" t="str">
        <f t="shared" si="165"/>
        <v>Insert into BlueCreditTypeRainbow Values (, , , , , )</v>
      </c>
    </row>
    <row r="4066" spans="7:7" x14ac:dyDescent="0.25">
      <c r="G4066" t="str">
        <f t="shared" si="165"/>
        <v>Insert into BlueCreditTypeRainbow Values (, , , , , )</v>
      </c>
    </row>
    <row r="4067" spans="7:7" x14ac:dyDescent="0.25">
      <c r="G4067" t="str">
        <f t="shared" si="165"/>
        <v>Insert into BlueCreditTypeRainbow Values (, , , , , )</v>
      </c>
    </row>
    <row r="4068" spans="7:7" x14ac:dyDescent="0.25">
      <c r="G4068" t="str">
        <f t="shared" si="165"/>
        <v>Insert into BlueCreditTypeRainbow Values (, , , , , )</v>
      </c>
    </row>
    <row r="4069" spans="7:7" x14ac:dyDescent="0.25">
      <c r="G4069" t="str">
        <f t="shared" si="165"/>
        <v>Insert into BlueCreditTypeRainbow Values (, , , , , )</v>
      </c>
    </row>
    <row r="4070" spans="7:7" x14ac:dyDescent="0.25">
      <c r="G4070" t="str">
        <f t="shared" si="165"/>
        <v>Insert into BlueCreditTypeRainbow Values (, , , , , )</v>
      </c>
    </row>
    <row r="4071" spans="7:7" x14ac:dyDescent="0.25">
      <c r="G4071" t="str">
        <f t="shared" si="165"/>
        <v>Insert into BlueCreditTypeRainbow Values (, , , , , )</v>
      </c>
    </row>
    <row r="4072" spans="7:7" x14ac:dyDescent="0.25">
      <c r="G4072" t="str">
        <f t="shared" si="165"/>
        <v>Insert into BlueCreditTypeRainbow Values (, , , , , )</v>
      </c>
    </row>
    <row r="4073" spans="7:7" x14ac:dyDescent="0.25">
      <c r="G4073" t="str">
        <f t="shared" si="165"/>
        <v>Insert into BlueCreditTypeRainbow Values (, , , , , )</v>
      </c>
    </row>
    <row r="4074" spans="7:7" x14ac:dyDescent="0.25">
      <c r="G4074" t="str">
        <f t="shared" si="165"/>
        <v>Insert into BlueCreditTypeRainbow Values (, , , , , )</v>
      </c>
    </row>
    <row r="4075" spans="7:7" x14ac:dyDescent="0.25">
      <c r="G4075" t="str">
        <f t="shared" si="165"/>
        <v>Insert into BlueCreditTypeRainbow Values (, , , , , )</v>
      </c>
    </row>
    <row r="4076" spans="7:7" x14ac:dyDescent="0.25">
      <c r="G4076" t="str">
        <f t="shared" si="165"/>
        <v>Insert into BlueCreditTypeRainbow Values (, , , , , )</v>
      </c>
    </row>
    <row r="4077" spans="7:7" x14ac:dyDescent="0.25">
      <c r="G4077" t="str">
        <f t="shared" si="165"/>
        <v>Insert into BlueCreditTypeRainbow Values (, , , , , )</v>
      </c>
    </row>
    <row r="4078" spans="7:7" x14ac:dyDescent="0.25">
      <c r="G4078" t="str">
        <f t="shared" si="165"/>
        <v>Insert into BlueCreditTypeRainbow Values (, , , , , )</v>
      </c>
    </row>
    <row r="4079" spans="7:7" x14ac:dyDescent="0.25">
      <c r="G4079" t="str">
        <f t="shared" si="165"/>
        <v>Insert into BlueCreditTypeRainbow Values (, , , , , )</v>
      </c>
    </row>
    <row r="4080" spans="7:7" x14ac:dyDescent="0.25">
      <c r="G4080" t="str">
        <f t="shared" si="165"/>
        <v>Insert into BlueCreditTypeRainbow Values (, , , , , )</v>
      </c>
    </row>
    <row r="4081" spans="7:7" x14ac:dyDescent="0.25">
      <c r="G4081" t="str">
        <f t="shared" si="165"/>
        <v>Insert into BlueCreditTypeRainbow Values (, , , , , )</v>
      </c>
    </row>
    <row r="4082" spans="7:7" x14ac:dyDescent="0.25">
      <c r="G4082" t="str">
        <f t="shared" si="165"/>
        <v>Insert into BlueCreditTypeRainbow Values (, , , , , )</v>
      </c>
    </row>
    <row r="4083" spans="7:7" x14ac:dyDescent="0.25">
      <c r="G4083" t="str">
        <f t="shared" si="165"/>
        <v>Insert into BlueCreditTypeRainbow Values (, , , , , )</v>
      </c>
    </row>
    <row r="4084" spans="7:7" x14ac:dyDescent="0.25">
      <c r="G4084" t="str">
        <f t="shared" si="165"/>
        <v>Insert into BlueCreditTypeRainbow Values (, , , , , )</v>
      </c>
    </row>
    <row r="4085" spans="7:7" x14ac:dyDescent="0.25">
      <c r="G4085" t="str">
        <f t="shared" si="165"/>
        <v>Insert into BlueCreditTypeRainbow Values (, , , , , )</v>
      </c>
    </row>
    <row r="4086" spans="7:7" x14ac:dyDescent="0.25">
      <c r="G4086" t="str">
        <f t="shared" si="165"/>
        <v>Insert into BlueCreditTypeRainbow Values (, , , , , )</v>
      </c>
    </row>
    <row r="4087" spans="7:7" x14ac:dyDescent="0.25">
      <c r="G4087" t="str">
        <f t="shared" si="165"/>
        <v>Insert into BlueCreditTypeRainbow Values (, , , , , )</v>
      </c>
    </row>
    <row r="4088" spans="7:7" x14ac:dyDescent="0.25">
      <c r="G4088" t="str">
        <f t="shared" si="165"/>
        <v>Insert into BlueCreditTypeRainbow Values (, , , , , )</v>
      </c>
    </row>
    <row r="4089" spans="7:7" x14ac:dyDescent="0.25">
      <c r="G4089" t="str">
        <f t="shared" si="165"/>
        <v>Insert into BlueCreditTypeRainbow Values (, , , , , )</v>
      </c>
    </row>
    <row r="4090" spans="7:7" x14ac:dyDescent="0.25">
      <c r="G4090" t="str">
        <f t="shared" si="165"/>
        <v>Insert into BlueCreditTypeRainbow Values (, , , , , )</v>
      </c>
    </row>
    <row r="4091" spans="7:7" x14ac:dyDescent="0.25">
      <c r="G4091" t="str">
        <f t="shared" si="165"/>
        <v>Insert into BlueCreditTypeRainbow Values (, , , , , )</v>
      </c>
    </row>
    <row r="4092" spans="7:7" x14ac:dyDescent="0.25">
      <c r="G4092" t="str">
        <f t="shared" si="165"/>
        <v>Insert into BlueCreditTypeRainbow Values (, , , , , )</v>
      </c>
    </row>
    <row r="4093" spans="7:7" x14ac:dyDescent="0.25">
      <c r="G4093" t="str">
        <f t="shared" si="165"/>
        <v>Insert into BlueCreditTypeRainbow Values (, , , , , )</v>
      </c>
    </row>
    <row r="4094" spans="7:7" x14ac:dyDescent="0.25">
      <c r="G4094" t="str">
        <f t="shared" si="165"/>
        <v>Insert into BlueCreditTypeRainbow Values (, , , , , )</v>
      </c>
    </row>
    <row r="4095" spans="7:7" x14ac:dyDescent="0.25">
      <c r="G4095" t="str">
        <f t="shared" si="165"/>
        <v>Insert into BlueCreditTypeRainbow Values (, , , , , )</v>
      </c>
    </row>
    <row r="4096" spans="7:7" x14ac:dyDescent="0.25">
      <c r="G4096" t="str">
        <f t="shared" si="165"/>
        <v>Insert into BlueCreditTypeRainbow Values (, , , , , )</v>
      </c>
    </row>
    <row r="4097" spans="7:7" x14ac:dyDescent="0.25">
      <c r="G4097" t="str">
        <f t="shared" si="165"/>
        <v>Insert into BlueCreditTypeRainbow Values (, , , , , )</v>
      </c>
    </row>
    <row r="4098" spans="7:7" x14ac:dyDescent="0.25">
      <c r="G4098" t="str">
        <f t="shared" si="165"/>
        <v>Insert into BlueCreditTypeRainbow Values (, , , , , )</v>
      </c>
    </row>
    <row r="4099" spans="7:7" x14ac:dyDescent="0.25">
      <c r="G4099" t="str">
        <f t="shared" si="165"/>
        <v>Insert into BlueCreditTypeRainbow Values (, , , , , )</v>
      </c>
    </row>
    <row r="4100" spans="7:7" x14ac:dyDescent="0.25">
      <c r="G4100" t="str">
        <f t="shared" si="165"/>
        <v>Insert into BlueCreditTypeRainbow Values (, , , , , )</v>
      </c>
    </row>
    <row r="4101" spans="7:7" x14ac:dyDescent="0.25">
      <c r="G4101" t="str">
        <f t="shared" si="165"/>
        <v>Insert into BlueCreditTypeRainbow Values (, , , , , )</v>
      </c>
    </row>
    <row r="4102" spans="7:7" x14ac:dyDescent="0.25">
      <c r="G4102" t="str">
        <f t="shared" si="165"/>
        <v>Insert into BlueCreditTypeRainbow Values (, , , , , )</v>
      </c>
    </row>
    <row r="4103" spans="7:7" x14ac:dyDescent="0.25">
      <c r="G4103" t="str">
        <f t="shared" si="165"/>
        <v>Insert into BlueCreditTypeRainbow Values (, , , , , )</v>
      </c>
    </row>
    <row r="4104" spans="7:7" x14ac:dyDescent="0.25">
      <c r="G4104" t="str">
        <f t="shared" si="165"/>
        <v>Insert into BlueCreditTypeRainbow Values (, , , , , )</v>
      </c>
    </row>
    <row r="4105" spans="7:7" x14ac:dyDescent="0.25">
      <c r="G4105" t="str">
        <f t="shared" si="165"/>
        <v>Insert into BlueCreditTypeRainbow Values (, , , , , )</v>
      </c>
    </row>
    <row r="4106" spans="7:7" x14ac:dyDescent="0.25">
      <c r="G4106" t="str">
        <f t="shared" si="165"/>
        <v>Insert into BlueCreditTypeRainbow Values (, , , , , )</v>
      </c>
    </row>
    <row r="4107" spans="7:7" x14ac:dyDescent="0.25">
      <c r="G4107" t="str">
        <f t="shared" si="165"/>
        <v>Insert into BlueCreditTypeRainbow Values (, , , , , )</v>
      </c>
    </row>
    <row r="4108" spans="7:7" x14ac:dyDescent="0.25">
      <c r="G4108" t="str">
        <f t="shared" si="165"/>
        <v>Insert into BlueCreditTypeRainbow Values (, , , , , )</v>
      </c>
    </row>
    <row r="4109" spans="7:7" x14ac:dyDescent="0.25">
      <c r="G4109" t="str">
        <f t="shared" si="165"/>
        <v>Insert into BlueCreditTypeRainbow Values (, , , , , )</v>
      </c>
    </row>
    <row r="4110" spans="7:7" x14ac:dyDescent="0.25">
      <c r="G4110" t="str">
        <f t="shared" si="165"/>
        <v>Insert into BlueCreditTypeRainbow Values (, , , , , )</v>
      </c>
    </row>
    <row r="4111" spans="7:7" x14ac:dyDescent="0.25">
      <c r="G4111" t="str">
        <f t="shared" ref="G4111:G4174" si="166">CONCATENATE("Insert into BlueCreditTypeRainbow Values (",A4111,", ",B4111,", ",C4111,", ",D4111,", ",E4111,", ",F4111,")")</f>
        <v>Insert into BlueCreditTypeRainbow Values (, , , , , )</v>
      </c>
    </row>
    <row r="4112" spans="7:7" x14ac:dyDescent="0.25">
      <c r="G4112" t="str">
        <f t="shared" si="166"/>
        <v>Insert into BlueCreditTypeRainbow Values (, , , , , )</v>
      </c>
    </row>
    <row r="4113" spans="7:7" x14ac:dyDescent="0.25">
      <c r="G4113" t="str">
        <f t="shared" si="166"/>
        <v>Insert into BlueCreditTypeRainbow Values (, , , , , )</v>
      </c>
    </row>
    <row r="4114" spans="7:7" x14ac:dyDescent="0.25">
      <c r="G4114" t="str">
        <f t="shared" si="166"/>
        <v>Insert into BlueCreditTypeRainbow Values (, , , , , )</v>
      </c>
    </row>
    <row r="4115" spans="7:7" x14ac:dyDescent="0.25">
      <c r="G4115" t="str">
        <f t="shared" si="166"/>
        <v>Insert into BlueCreditTypeRainbow Values (, , , , , )</v>
      </c>
    </row>
    <row r="4116" spans="7:7" x14ac:dyDescent="0.25">
      <c r="G4116" t="str">
        <f t="shared" si="166"/>
        <v>Insert into BlueCreditTypeRainbow Values (, , , , , )</v>
      </c>
    </row>
    <row r="4117" spans="7:7" x14ac:dyDescent="0.25">
      <c r="G4117" t="str">
        <f t="shared" si="166"/>
        <v>Insert into BlueCreditTypeRainbow Values (, , , , , )</v>
      </c>
    </row>
    <row r="4118" spans="7:7" x14ac:dyDescent="0.25">
      <c r="G4118" t="str">
        <f t="shared" si="166"/>
        <v>Insert into BlueCreditTypeRainbow Values (, , , , , )</v>
      </c>
    </row>
    <row r="4119" spans="7:7" x14ac:dyDescent="0.25">
      <c r="G4119" t="str">
        <f t="shared" si="166"/>
        <v>Insert into BlueCreditTypeRainbow Values (, , , , , )</v>
      </c>
    </row>
    <row r="4120" spans="7:7" x14ac:dyDescent="0.25">
      <c r="G4120" t="str">
        <f t="shared" si="166"/>
        <v>Insert into BlueCreditTypeRainbow Values (, , , , , )</v>
      </c>
    </row>
    <row r="4121" spans="7:7" x14ac:dyDescent="0.25">
      <c r="G4121" t="str">
        <f t="shared" si="166"/>
        <v>Insert into BlueCreditTypeRainbow Values (, , , , , )</v>
      </c>
    </row>
    <row r="4122" spans="7:7" x14ac:dyDescent="0.25">
      <c r="G4122" t="str">
        <f t="shared" si="166"/>
        <v>Insert into BlueCreditTypeRainbow Values (, , , , , )</v>
      </c>
    </row>
    <row r="4123" spans="7:7" x14ac:dyDescent="0.25">
      <c r="G4123" t="str">
        <f t="shared" si="166"/>
        <v>Insert into BlueCreditTypeRainbow Values (, , , , , )</v>
      </c>
    </row>
    <row r="4124" spans="7:7" x14ac:dyDescent="0.25">
      <c r="G4124" t="str">
        <f t="shared" si="166"/>
        <v>Insert into BlueCreditTypeRainbow Values (, , , , , )</v>
      </c>
    </row>
    <row r="4125" spans="7:7" x14ac:dyDescent="0.25">
      <c r="G4125" t="str">
        <f t="shared" si="166"/>
        <v>Insert into BlueCreditTypeRainbow Values (, , , , , )</v>
      </c>
    </row>
    <row r="4126" spans="7:7" x14ac:dyDescent="0.25">
      <c r="G4126" t="str">
        <f t="shared" si="166"/>
        <v>Insert into BlueCreditTypeRainbow Values (, , , , , )</v>
      </c>
    </row>
    <row r="4127" spans="7:7" x14ac:dyDescent="0.25">
      <c r="G4127" t="str">
        <f t="shared" si="166"/>
        <v>Insert into BlueCreditTypeRainbow Values (, , , , , )</v>
      </c>
    </row>
    <row r="4128" spans="7:7" x14ac:dyDescent="0.25">
      <c r="G4128" t="str">
        <f t="shared" si="166"/>
        <v>Insert into BlueCreditTypeRainbow Values (, , , , , )</v>
      </c>
    </row>
    <row r="4129" spans="7:7" x14ac:dyDescent="0.25">
      <c r="G4129" t="str">
        <f t="shared" si="166"/>
        <v>Insert into BlueCreditTypeRainbow Values (, , , , , )</v>
      </c>
    </row>
    <row r="4130" spans="7:7" x14ac:dyDescent="0.25">
      <c r="G4130" t="str">
        <f t="shared" si="166"/>
        <v>Insert into BlueCreditTypeRainbow Values (, , , , , )</v>
      </c>
    </row>
    <row r="4131" spans="7:7" x14ac:dyDescent="0.25">
      <c r="G4131" t="str">
        <f t="shared" si="166"/>
        <v>Insert into BlueCreditTypeRainbow Values (, , , , , )</v>
      </c>
    </row>
    <row r="4132" spans="7:7" x14ac:dyDescent="0.25">
      <c r="G4132" t="str">
        <f t="shared" si="166"/>
        <v>Insert into BlueCreditTypeRainbow Values (, , , , , )</v>
      </c>
    </row>
    <row r="4133" spans="7:7" x14ac:dyDescent="0.25">
      <c r="G4133" t="str">
        <f t="shared" si="166"/>
        <v>Insert into BlueCreditTypeRainbow Values (, , , , , )</v>
      </c>
    </row>
    <row r="4134" spans="7:7" x14ac:dyDescent="0.25">
      <c r="G4134" t="str">
        <f t="shared" si="166"/>
        <v>Insert into BlueCreditTypeRainbow Values (, , , , , )</v>
      </c>
    </row>
    <row r="4135" spans="7:7" x14ac:dyDescent="0.25">
      <c r="G4135" t="str">
        <f t="shared" si="166"/>
        <v>Insert into BlueCreditTypeRainbow Values (, , , , , )</v>
      </c>
    </row>
    <row r="4136" spans="7:7" x14ac:dyDescent="0.25">
      <c r="G4136" t="str">
        <f t="shared" si="166"/>
        <v>Insert into BlueCreditTypeRainbow Values (, , , , , )</v>
      </c>
    </row>
    <row r="4137" spans="7:7" x14ac:dyDescent="0.25">
      <c r="G4137" t="str">
        <f t="shared" si="166"/>
        <v>Insert into BlueCreditTypeRainbow Values (, , , , , )</v>
      </c>
    </row>
    <row r="4138" spans="7:7" x14ac:dyDescent="0.25">
      <c r="G4138" t="str">
        <f t="shared" si="166"/>
        <v>Insert into BlueCreditTypeRainbow Values (, , , , , )</v>
      </c>
    </row>
    <row r="4139" spans="7:7" x14ac:dyDescent="0.25">
      <c r="G4139" t="str">
        <f t="shared" si="166"/>
        <v>Insert into BlueCreditTypeRainbow Values (, , , , , )</v>
      </c>
    </row>
    <row r="4140" spans="7:7" x14ac:dyDescent="0.25">
      <c r="G4140" t="str">
        <f t="shared" si="166"/>
        <v>Insert into BlueCreditTypeRainbow Values (, , , , , )</v>
      </c>
    </row>
    <row r="4141" spans="7:7" x14ac:dyDescent="0.25">
      <c r="G4141" t="str">
        <f t="shared" si="166"/>
        <v>Insert into BlueCreditTypeRainbow Values (, , , , , )</v>
      </c>
    </row>
    <row r="4142" spans="7:7" x14ac:dyDescent="0.25">
      <c r="G4142" t="str">
        <f t="shared" si="166"/>
        <v>Insert into BlueCreditTypeRainbow Values (, , , , , )</v>
      </c>
    </row>
    <row r="4143" spans="7:7" x14ac:dyDescent="0.25">
      <c r="G4143" t="str">
        <f t="shared" si="166"/>
        <v>Insert into BlueCreditTypeRainbow Values (, , , , , )</v>
      </c>
    </row>
    <row r="4144" spans="7:7" x14ac:dyDescent="0.25">
      <c r="G4144" t="str">
        <f t="shared" si="166"/>
        <v>Insert into BlueCreditTypeRainbow Values (, , , , , )</v>
      </c>
    </row>
    <row r="4145" spans="7:7" x14ac:dyDescent="0.25">
      <c r="G4145" t="str">
        <f t="shared" si="166"/>
        <v>Insert into BlueCreditTypeRainbow Values (, , , , , )</v>
      </c>
    </row>
    <row r="4146" spans="7:7" x14ac:dyDescent="0.25">
      <c r="G4146" t="str">
        <f t="shared" si="166"/>
        <v>Insert into BlueCreditTypeRainbow Values (, , , , , )</v>
      </c>
    </row>
    <row r="4147" spans="7:7" x14ac:dyDescent="0.25">
      <c r="G4147" t="str">
        <f t="shared" si="166"/>
        <v>Insert into BlueCreditTypeRainbow Values (, , , , , )</v>
      </c>
    </row>
    <row r="4148" spans="7:7" x14ac:dyDescent="0.25">
      <c r="G4148" t="str">
        <f t="shared" si="166"/>
        <v>Insert into BlueCreditTypeRainbow Values (, , , , , )</v>
      </c>
    </row>
    <row r="4149" spans="7:7" x14ac:dyDescent="0.25">
      <c r="G4149" t="str">
        <f t="shared" si="166"/>
        <v>Insert into BlueCreditTypeRainbow Values (, , , , , )</v>
      </c>
    </row>
    <row r="4150" spans="7:7" x14ac:dyDescent="0.25">
      <c r="G4150" t="str">
        <f t="shared" si="166"/>
        <v>Insert into BlueCreditTypeRainbow Values (, , , , , )</v>
      </c>
    </row>
    <row r="4151" spans="7:7" x14ac:dyDescent="0.25">
      <c r="G4151" t="str">
        <f t="shared" si="166"/>
        <v>Insert into BlueCreditTypeRainbow Values (, , , , , )</v>
      </c>
    </row>
    <row r="4152" spans="7:7" x14ac:dyDescent="0.25">
      <c r="G4152" t="str">
        <f t="shared" si="166"/>
        <v>Insert into BlueCreditTypeRainbow Values (, , , , , )</v>
      </c>
    </row>
    <row r="4153" spans="7:7" x14ac:dyDescent="0.25">
      <c r="G4153" t="str">
        <f t="shared" si="166"/>
        <v>Insert into BlueCreditTypeRainbow Values (, , , , , )</v>
      </c>
    </row>
    <row r="4154" spans="7:7" x14ac:dyDescent="0.25">
      <c r="G4154" t="str">
        <f t="shared" si="166"/>
        <v>Insert into BlueCreditTypeRainbow Values (, , , , , )</v>
      </c>
    </row>
    <row r="4155" spans="7:7" x14ac:dyDescent="0.25">
      <c r="G4155" t="str">
        <f t="shared" si="166"/>
        <v>Insert into BlueCreditTypeRainbow Values (, , , , , )</v>
      </c>
    </row>
    <row r="4156" spans="7:7" x14ac:dyDescent="0.25">
      <c r="G4156" t="str">
        <f t="shared" si="166"/>
        <v>Insert into BlueCreditTypeRainbow Values (, , , , , )</v>
      </c>
    </row>
    <row r="4157" spans="7:7" x14ac:dyDescent="0.25">
      <c r="G4157" t="str">
        <f t="shared" si="166"/>
        <v>Insert into BlueCreditTypeRainbow Values (, , , , , )</v>
      </c>
    </row>
    <row r="4158" spans="7:7" x14ac:dyDescent="0.25">
      <c r="G4158" t="str">
        <f t="shared" si="166"/>
        <v>Insert into BlueCreditTypeRainbow Values (, , , , , )</v>
      </c>
    </row>
    <row r="4159" spans="7:7" x14ac:dyDescent="0.25">
      <c r="G4159" t="str">
        <f t="shared" si="166"/>
        <v>Insert into BlueCreditTypeRainbow Values (, , , , , )</v>
      </c>
    </row>
    <row r="4160" spans="7:7" x14ac:dyDescent="0.25">
      <c r="G4160" t="str">
        <f t="shared" si="166"/>
        <v>Insert into BlueCreditTypeRainbow Values (, , , , , )</v>
      </c>
    </row>
    <row r="4161" spans="7:7" x14ac:dyDescent="0.25">
      <c r="G4161" t="str">
        <f t="shared" si="166"/>
        <v>Insert into BlueCreditTypeRainbow Values (, , , , , )</v>
      </c>
    </row>
    <row r="4162" spans="7:7" x14ac:dyDescent="0.25">
      <c r="G4162" t="str">
        <f t="shared" si="166"/>
        <v>Insert into BlueCreditTypeRainbow Values (, , , , , )</v>
      </c>
    </row>
    <row r="4163" spans="7:7" x14ac:dyDescent="0.25">
      <c r="G4163" t="str">
        <f t="shared" si="166"/>
        <v>Insert into BlueCreditTypeRainbow Values (, , , , , )</v>
      </c>
    </row>
    <row r="4164" spans="7:7" x14ac:dyDescent="0.25">
      <c r="G4164" t="str">
        <f t="shared" si="166"/>
        <v>Insert into BlueCreditTypeRainbow Values (, , , , , )</v>
      </c>
    </row>
    <row r="4165" spans="7:7" x14ac:dyDescent="0.25">
      <c r="G4165" t="str">
        <f t="shared" si="166"/>
        <v>Insert into BlueCreditTypeRainbow Values (, , , , , )</v>
      </c>
    </row>
    <row r="4166" spans="7:7" x14ac:dyDescent="0.25">
      <c r="G4166" t="str">
        <f t="shared" si="166"/>
        <v>Insert into BlueCreditTypeRainbow Values (, , , , , )</v>
      </c>
    </row>
    <row r="4167" spans="7:7" x14ac:dyDescent="0.25">
      <c r="G4167" t="str">
        <f t="shared" si="166"/>
        <v>Insert into BlueCreditTypeRainbow Values (, , , , , )</v>
      </c>
    </row>
    <row r="4168" spans="7:7" x14ac:dyDescent="0.25">
      <c r="G4168" t="str">
        <f t="shared" si="166"/>
        <v>Insert into BlueCreditTypeRainbow Values (, , , , , )</v>
      </c>
    </row>
    <row r="4169" spans="7:7" x14ac:dyDescent="0.25">
      <c r="G4169" t="str">
        <f t="shared" si="166"/>
        <v>Insert into BlueCreditTypeRainbow Values (, , , , , )</v>
      </c>
    </row>
    <row r="4170" spans="7:7" x14ac:dyDescent="0.25">
      <c r="G4170" t="str">
        <f t="shared" si="166"/>
        <v>Insert into BlueCreditTypeRainbow Values (, , , , , )</v>
      </c>
    </row>
    <row r="4171" spans="7:7" x14ac:dyDescent="0.25">
      <c r="G4171" t="str">
        <f t="shared" si="166"/>
        <v>Insert into BlueCreditTypeRainbow Values (, , , , , )</v>
      </c>
    </row>
    <row r="4172" spans="7:7" x14ac:dyDescent="0.25">
      <c r="G4172" t="str">
        <f t="shared" si="166"/>
        <v>Insert into BlueCreditTypeRainbow Values (, , , , , )</v>
      </c>
    </row>
    <row r="4173" spans="7:7" x14ac:dyDescent="0.25">
      <c r="G4173" t="str">
        <f t="shared" si="166"/>
        <v>Insert into BlueCreditTypeRainbow Values (, , , , , )</v>
      </c>
    </row>
    <row r="4174" spans="7:7" x14ac:dyDescent="0.25">
      <c r="G4174" t="str">
        <f t="shared" si="166"/>
        <v>Insert into BlueCreditTypeRainbow Values (, , , , , )</v>
      </c>
    </row>
    <row r="4175" spans="7:7" x14ac:dyDescent="0.25">
      <c r="G4175" t="str">
        <f t="shared" ref="G4175:G4238" si="167">CONCATENATE("Insert into BlueCreditTypeRainbow Values (",A4175,", ",B4175,", ",C4175,", ",D4175,", ",E4175,", ",F4175,")")</f>
        <v>Insert into BlueCreditTypeRainbow Values (, , , , , )</v>
      </c>
    </row>
    <row r="4176" spans="7:7" x14ac:dyDescent="0.25">
      <c r="G4176" t="str">
        <f t="shared" si="167"/>
        <v>Insert into BlueCreditTypeRainbow Values (, , , , , )</v>
      </c>
    </row>
    <row r="4177" spans="7:7" x14ac:dyDescent="0.25">
      <c r="G4177" t="str">
        <f t="shared" si="167"/>
        <v>Insert into BlueCreditTypeRainbow Values (, , , , , )</v>
      </c>
    </row>
    <row r="4178" spans="7:7" x14ac:dyDescent="0.25">
      <c r="G4178" t="str">
        <f t="shared" si="167"/>
        <v>Insert into BlueCreditTypeRainbow Values (, , , , , )</v>
      </c>
    </row>
    <row r="4179" spans="7:7" x14ac:dyDescent="0.25">
      <c r="G4179" t="str">
        <f t="shared" si="167"/>
        <v>Insert into BlueCreditTypeRainbow Values (, , , , , )</v>
      </c>
    </row>
    <row r="4180" spans="7:7" x14ac:dyDescent="0.25">
      <c r="G4180" t="str">
        <f t="shared" si="167"/>
        <v>Insert into BlueCreditTypeRainbow Values (, , , , , )</v>
      </c>
    </row>
    <row r="4181" spans="7:7" x14ac:dyDescent="0.25">
      <c r="G4181" t="str">
        <f t="shared" si="167"/>
        <v>Insert into BlueCreditTypeRainbow Values (, , , , , )</v>
      </c>
    </row>
    <row r="4182" spans="7:7" x14ac:dyDescent="0.25">
      <c r="G4182" t="str">
        <f t="shared" si="167"/>
        <v>Insert into BlueCreditTypeRainbow Values (, , , , , )</v>
      </c>
    </row>
    <row r="4183" spans="7:7" x14ac:dyDescent="0.25">
      <c r="G4183" t="str">
        <f t="shared" si="167"/>
        <v>Insert into BlueCreditTypeRainbow Values (, , , , , )</v>
      </c>
    </row>
    <row r="4184" spans="7:7" x14ac:dyDescent="0.25">
      <c r="G4184" t="str">
        <f t="shared" si="167"/>
        <v>Insert into BlueCreditTypeRainbow Values (, , , , , )</v>
      </c>
    </row>
    <row r="4185" spans="7:7" x14ac:dyDescent="0.25">
      <c r="G4185" t="str">
        <f t="shared" si="167"/>
        <v>Insert into BlueCreditTypeRainbow Values (, , , , , )</v>
      </c>
    </row>
    <row r="4186" spans="7:7" x14ac:dyDescent="0.25">
      <c r="G4186" t="str">
        <f t="shared" si="167"/>
        <v>Insert into BlueCreditTypeRainbow Values (, , , , , )</v>
      </c>
    </row>
    <row r="4187" spans="7:7" x14ac:dyDescent="0.25">
      <c r="G4187" t="str">
        <f t="shared" si="167"/>
        <v>Insert into BlueCreditTypeRainbow Values (, , , , , )</v>
      </c>
    </row>
    <row r="4188" spans="7:7" x14ac:dyDescent="0.25">
      <c r="G4188" t="str">
        <f t="shared" si="167"/>
        <v>Insert into BlueCreditTypeRainbow Values (, , , , , )</v>
      </c>
    </row>
    <row r="4189" spans="7:7" x14ac:dyDescent="0.25">
      <c r="G4189" t="str">
        <f t="shared" si="167"/>
        <v>Insert into BlueCreditTypeRainbow Values (, , , , , )</v>
      </c>
    </row>
    <row r="4190" spans="7:7" x14ac:dyDescent="0.25">
      <c r="G4190" t="str">
        <f t="shared" si="167"/>
        <v>Insert into BlueCreditTypeRainbow Values (, , , , , )</v>
      </c>
    </row>
    <row r="4191" spans="7:7" x14ac:dyDescent="0.25">
      <c r="G4191" t="str">
        <f t="shared" si="167"/>
        <v>Insert into BlueCreditTypeRainbow Values (, , , , , )</v>
      </c>
    </row>
    <row r="4192" spans="7:7" x14ac:dyDescent="0.25">
      <c r="G4192" t="str">
        <f t="shared" si="167"/>
        <v>Insert into BlueCreditTypeRainbow Values (, , , , , )</v>
      </c>
    </row>
    <row r="4193" spans="7:7" x14ac:dyDescent="0.25">
      <c r="G4193" t="str">
        <f t="shared" si="167"/>
        <v>Insert into BlueCreditTypeRainbow Values (, , , , , )</v>
      </c>
    </row>
    <row r="4194" spans="7:7" x14ac:dyDescent="0.25">
      <c r="G4194" t="str">
        <f t="shared" si="167"/>
        <v>Insert into BlueCreditTypeRainbow Values (, , , , , )</v>
      </c>
    </row>
    <row r="4195" spans="7:7" x14ac:dyDescent="0.25">
      <c r="G4195" t="str">
        <f t="shared" si="167"/>
        <v>Insert into BlueCreditTypeRainbow Values (, , , , , )</v>
      </c>
    </row>
    <row r="4196" spans="7:7" x14ac:dyDescent="0.25">
      <c r="G4196" t="str">
        <f t="shared" si="167"/>
        <v>Insert into BlueCreditTypeRainbow Values (, , , , , )</v>
      </c>
    </row>
    <row r="4197" spans="7:7" x14ac:dyDescent="0.25">
      <c r="G4197" t="str">
        <f t="shared" si="167"/>
        <v>Insert into BlueCreditTypeRainbow Values (, , , , , )</v>
      </c>
    </row>
    <row r="4198" spans="7:7" x14ac:dyDescent="0.25">
      <c r="G4198" t="str">
        <f t="shared" si="167"/>
        <v>Insert into BlueCreditTypeRainbow Values (, , , , , )</v>
      </c>
    </row>
    <row r="4199" spans="7:7" x14ac:dyDescent="0.25">
      <c r="G4199" t="str">
        <f t="shared" si="167"/>
        <v>Insert into BlueCreditTypeRainbow Values (, , , , , )</v>
      </c>
    </row>
    <row r="4200" spans="7:7" x14ac:dyDescent="0.25">
      <c r="G4200" t="str">
        <f t="shared" si="167"/>
        <v>Insert into BlueCreditTypeRainbow Values (, , , , , )</v>
      </c>
    </row>
    <row r="4201" spans="7:7" x14ac:dyDescent="0.25">
      <c r="G4201" t="str">
        <f t="shared" si="167"/>
        <v>Insert into BlueCreditTypeRainbow Values (, , , , , )</v>
      </c>
    </row>
    <row r="4202" spans="7:7" x14ac:dyDescent="0.25">
      <c r="G4202" t="str">
        <f t="shared" si="167"/>
        <v>Insert into BlueCreditTypeRainbow Values (, , , , , )</v>
      </c>
    </row>
    <row r="4203" spans="7:7" x14ac:dyDescent="0.25">
      <c r="G4203" t="str">
        <f t="shared" si="167"/>
        <v>Insert into BlueCreditTypeRainbow Values (, , , , , )</v>
      </c>
    </row>
    <row r="4204" spans="7:7" x14ac:dyDescent="0.25">
      <c r="G4204" t="str">
        <f t="shared" si="167"/>
        <v>Insert into BlueCreditTypeRainbow Values (, , , , , )</v>
      </c>
    </row>
    <row r="4205" spans="7:7" x14ac:dyDescent="0.25">
      <c r="G4205" t="str">
        <f t="shared" si="167"/>
        <v>Insert into BlueCreditTypeRainbow Values (, , , , , )</v>
      </c>
    </row>
    <row r="4206" spans="7:7" x14ac:dyDescent="0.25">
      <c r="G4206" t="str">
        <f t="shared" si="167"/>
        <v>Insert into BlueCreditTypeRainbow Values (, , , , , )</v>
      </c>
    </row>
    <row r="4207" spans="7:7" x14ac:dyDescent="0.25">
      <c r="G4207" t="str">
        <f t="shared" si="167"/>
        <v>Insert into BlueCreditTypeRainbow Values (, , , , , )</v>
      </c>
    </row>
    <row r="4208" spans="7:7" x14ac:dyDescent="0.25">
      <c r="G4208" t="str">
        <f t="shared" si="167"/>
        <v>Insert into BlueCreditTypeRainbow Values (, , , , , )</v>
      </c>
    </row>
    <row r="4209" spans="7:7" x14ac:dyDescent="0.25">
      <c r="G4209" t="str">
        <f t="shared" si="167"/>
        <v>Insert into BlueCreditTypeRainbow Values (, , , , , )</v>
      </c>
    </row>
    <row r="4210" spans="7:7" x14ac:dyDescent="0.25">
      <c r="G4210" t="str">
        <f t="shared" si="167"/>
        <v>Insert into BlueCreditTypeRainbow Values (, , , , , )</v>
      </c>
    </row>
    <row r="4211" spans="7:7" x14ac:dyDescent="0.25">
      <c r="G4211" t="str">
        <f t="shared" si="167"/>
        <v>Insert into BlueCreditTypeRainbow Values (, , , , , )</v>
      </c>
    </row>
    <row r="4212" spans="7:7" x14ac:dyDescent="0.25">
      <c r="G4212" t="str">
        <f t="shared" si="167"/>
        <v>Insert into BlueCreditTypeRainbow Values (, , , , , )</v>
      </c>
    </row>
    <row r="4213" spans="7:7" x14ac:dyDescent="0.25">
      <c r="G4213" t="str">
        <f t="shared" si="167"/>
        <v>Insert into BlueCreditTypeRainbow Values (, , , , , )</v>
      </c>
    </row>
    <row r="4214" spans="7:7" x14ac:dyDescent="0.25">
      <c r="G4214" t="str">
        <f t="shared" si="167"/>
        <v>Insert into BlueCreditTypeRainbow Values (, , , , , )</v>
      </c>
    </row>
    <row r="4215" spans="7:7" x14ac:dyDescent="0.25">
      <c r="G4215" t="str">
        <f t="shared" si="167"/>
        <v>Insert into BlueCreditTypeRainbow Values (, , , , , )</v>
      </c>
    </row>
    <row r="4216" spans="7:7" x14ac:dyDescent="0.25">
      <c r="G4216" t="str">
        <f t="shared" si="167"/>
        <v>Insert into BlueCreditTypeRainbow Values (, , , , , )</v>
      </c>
    </row>
    <row r="4217" spans="7:7" x14ac:dyDescent="0.25">
      <c r="G4217" t="str">
        <f t="shared" si="167"/>
        <v>Insert into BlueCreditTypeRainbow Values (, , , , , )</v>
      </c>
    </row>
    <row r="4218" spans="7:7" x14ac:dyDescent="0.25">
      <c r="G4218" t="str">
        <f t="shared" si="167"/>
        <v>Insert into BlueCreditTypeRainbow Values (, , , , , )</v>
      </c>
    </row>
    <row r="4219" spans="7:7" x14ac:dyDescent="0.25">
      <c r="G4219" t="str">
        <f t="shared" si="167"/>
        <v>Insert into BlueCreditTypeRainbow Values (, , , , , )</v>
      </c>
    </row>
    <row r="4220" spans="7:7" x14ac:dyDescent="0.25">
      <c r="G4220" t="str">
        <f t="shared" si="167"/>
        <v>Insert into BlueCreditTypeRainbow Values (, , , , , )</v>
      </c>
    </row>
    <row r="4221" spans="7:7" x14ac:dyDescent="0.25">
      <c r="G4221" t="str">
        <f t="shared" si="167"/>
        <v>Insert into BlueCreditTypeRainbow Values (, , , , , )</v>
      </c>
    </row>
    <row r="4222" spans="7:7" x14ac:dyDescent="0.25">
      <c r="G4222" t="str">
        <f t="shared" si="167"/>
        <v>Insert into BlueCreditTypeRainbow Values (, , , , , )</v>
      </c>
    </row>
    <row r="4223" spans="7:7" x14ac:dyDescent="0.25">
      <c r="G4223" t="str">
        <f t="shared" si="167"/>
        <v>Insert into BlueCreditTypeRainbow Values (, , , , , )</v>
      </c>
    </row>
    <row r="4224" spans="7:7" x14ac:dyDescent="0.25">
      <c r="G4224" t="str">
        <f t="shared" si="167"/>
        <v>Insert into BlueCreditTypeRainbow Values (, , , , , )</v>
      </c>
    </row>
    <row r="4225" spans="7:7" x14ac:dyDescent="0.25">
      <c r="G4225" t="str">
        <f t="shared" si="167"/>
        <v>Insert into BlueCreditTypeRainbow Values (, , , , , )</v>
      </c>
    </row>
    <row r="4226" spans="7:7" x14ac:dyDescent="0.25">
      <c r="G4226" t="str">
        <f t="shared" si="167"/>
        <v>Insert into BlueCreditTypeRainbow Values (, , , , , )</v>
      </c>
    </row>
    <row r="4227" spans="7:7" x14ac:dyDescent="0.25">
      <c r="G4227" t="str">
        <f t="shared" si="167"/>
        <v>Insert into BlueCreditTypeRainbow Values (, , , , , )</v>
      </c>
    </row>
    <row r="4228" spans="7:7" x14ac:dyDescent="0.25">
      <c r="G4228" t="str">
        <f t="shared" si="167"/>
        <v>Insert into BlueCreditTypeRainbow Values (, , , , , )</v>
      </c>
    </row>
    <row r="4229" spans="7:7" x14ac:dyDescent="0.25">
      <c r="G4229" t="str">
        <f t="shared" si="167"/>
        <v>Insert into BlueCreditTypeRainbow Values (, , , , , )</v>
      </c>
    </row>
    <row r="4230" spans="7:7" x14ac:dyDescent="0.25">
      <c r="G4230" t="str">
        <f t="shared" si="167"/>
        <v>Insert into BlueCreditTypeRainbow Values (, , , , , )</v>
      </c>
    </row>
    <row r="4231" spans="7:7" x14ac:dyDescent="0.25">
      <c r="G4231" t="str">
        <f t="shared" si="167"/>
        <v>Insert into BlueCreditTypeRainbow Values (, , , , , )</v>
      </c>
    </row>
    <row r="4232" spans="7:7" x14ac:dyDescent="0.25">
      <c r="G4232" t="str">
        <f t="shared" si="167"/>
        <v>Insert into BlueCreditTypeRainbow Values (, , , , , )</v>
      </c>
    </row>
    <row r="4233" spans="7:7" x14ac:dyDescent="0.25">
      <c r="G4233" t="str">
        <f t="shared" si="167"/>
        <v>Insert into BlueCreditTypeRainbow Values (, , , , , )</v>
      </c>
    </row>
    <row r="4234" spans="7:7" x14ac:dyDescent="0.25">
      <c r="G4234" t="str">
        <f t="shared" si="167"/>
        <v>Insert into BlueCreditTypeRainbow Values (, , , , , )</v>
      </c>
    </row>
    <row r="4235" spans="7:7" x14ac:dyDescent="0.25">
      <c r="G4235" t="str">
        <f t="shared" si="167"/>
        <v>Insert into BlueCreditTypeRainbow Values (, , , , , )</v>
      </c>
    </row>
    <row r="4236" spans="7:7" x14ac:dyDescent="0.25">
      <c r="G4236" t="str">
        <f t="shared" si="167"/>
        <v>Insert into BlueCreditTypeRainbow Values (, , , , , )</v>
      </c>
    </row>
    <row r="4237" spans="7:7" x14ac:dyDescent="0.25">
      <c r="G4237" t="str">
        <f t="shared" si="167"/>
        <v>Insert into BlueCreditTypeRainbow Values (, , , , , )</v>
      </c>
    </row>
    <row r="4238" spans="7:7" x14ac:dyDescent="0.25">
      <c r="G4238" t="str">
        <f t="shared" si="167"/>
        <v>Insert into BlueCreditTypeRainbow Values (, , , , , )</v>
      </c>
    </row>
    <row r="4239" spans="7:7" x14ac:dyDescent="0.25">
      <c r="G4239" t="str">
        <f t="shared" ref="G4239:G4302" si="168">CONCATENATE("Insert into BlueCreditTypeRainbow Values (",A4239,", ",B4239,", ",C4239,", ",D4239,", ",E4239,", ",F4239,")")</f>
        <v>Insert into BlueCreditTypeRainbow Values (, , , , , )</v>
      </c>
    </row>
    <row r="4240" spans="7:7" x14ac:dyDescent="0.25">
      <c r="G4240" t="str">
        <f t="shared" si="168"/>
        <v>Insert into BlueCreditTypeRainbow Values (, , , , , )</v>
      </c>
    </row>
    <row r="4241" spans="7:7" x14ac:dyDescent="0.25">
      <c r="G4241" t="str">
        <f t="shared" si="168"/>
        <v>Insert into BlueCreditTypeRainbow Values (, , , , , )</v>
      </c>
    </row>
    <row r="4242" spans="7:7" x14ac:dyDescent="0.25">
      <c r="G4242" t="str">
        <f t="shared" si="168"/>
        <v>Insert into BlueCreditTypeRainbow Values (, , , , , )</v>
      </c>
    </row>
    <row r="4243" spans="7:7" x14ac:dyDescent="0.25">
      <c r="G4243" t="str">
        <f t="shared" si="168"/>
        <v>Insert into BlueCreditTypeRainbow Values (, , , , , )</v>
      </c>
    </row>
    <row r="4244" spans="7:7" x14ac:dyDescent="0.25">
      <c r="G4244" t="str">
        <f t="shared" si="168"/>
        <v>Insert into BlueCreditTypeRainbow Values (, , , , , )</v>
      </c>
    </row>
    <row r="4245" spans="7:7" x14ac:dyDescent="0.25">
      <c r="G4245" t="str">
        <f t="shared" si="168"/>
        <v>Insert into BlueCreditTypeRainbow Values (, , , , , )</v>
      </c>
    </row>
    <row r="4246" spans="7:7" x14ac:dyDescent="0.25">
      <c r="G4246" t="str">
        <f t="shared" si="168"/>
        <v>Insert into BlueCreditTypeRainbow Values (, , , , , )</v>
      </c>
    </row>
    <row r="4247" spans="7:7" x14ac:dyDescent="0.25">
      <c r="G4247" t="str">
        <f t="shared" si="168"/>
        <v>Insert into BlueCreditTypeRainbow Values (, , , , , )</v>
      </c>
    </row>
    <row r="4248" spans="7:7" x14ac:dyDescent="0.25">
      <c r="G4248" t="str">
        <f t="shared" si="168"/>
        <v>Insert into BlueCreditTypeRainbow Values (, , , , , )</v>
      </c>
    </row>
    <row r="4249" spans="7:7" x14ac:dyDescent="0.25">
      <c r="G4249" t="str">
        <f t="shared" si="168"/>
        <v>Insert into BlueCreditTypeRainbow Values (, , , , , )</v>
      </c>
    </row>
    <row r="4250" spans="7:7" x14ac:dyDescent="0.25">
      <c r="G4250" t="str">
        <f t="shared" si="168"/>
        <v>Insert into BlueCreditTypeRainbow Values (, , , , , )</v>
      </c>
    </row>
    <row r="4251" spans="7:7" x14ac:dyDescent="0.25">
      <c r="G4251" t="str">
        <f t="shared" si="168"/>
        <v>Insert into BlueCreditTypeRainbow Values (, , , , , )</v>
      </c>
    </row>
    <row r="4252" spans="7:7" x14ac:dyDescent="0.25">
      <c r="G4252" t="str">
        <f t="shared" si="168"/>
        <v>Insert into BlueCreditTypeRainbow Values (, , , , , )</v>
      </c>
    </row>
    <row r="4253" spans="7:7" x14ac:dyDescent="0.25">
      <c r="G4253" t="str">
        <f t="shared" si="168"/>
        <v>Insert into BlueCreditTypeRainbow Values (, , , , , )</v>
      </c>
    </row>
    <row r="4254" spans="7:7" x14ac:dyDescent="0.25">
      <c r="G4254" t="str">
        <f t="shared" si="168"/>
        <v>Insert into BlueCreditTypeRainbow Values (, , , , , )</v>
      </c>
    </row>
    <row r="4255" spans="7:7" x14ac:dyDescent="0.25">
      <c r="G4255" t="str">
        <f t="shared" si="168"/>
        <v>Insert into BlueCreditTypeRainbow Values (, , , , , )</v>
      </c>
    </row>
    <row r="4256" spans="7:7" x14ac:dyDescent="0.25">
      <c r="G4256" t="str">
        <f t="shared" si="168"/>
        <v>Insert into BlueCreditTypeRainbow Values (, , , , , )</v>
      </c>
    </row>
    <row r="4257" spans="7:7" x14ac:dyDescent="0.25">
      <c r="G4257" t="str">
        <f t="shared" si="168"/>
        <v>Insert into BlueCreditTypeRainbow Values (, , , , , )</v>
      </c>
    </row>
    <row r="4258" spans="7:7" x14ac:dyDescent="0.25">
      <c r="G4258" t="str">
        <f t="shared" si="168"/>
        <v>Insert into BlueCreditTypeRainbow Values (, , , , , )</v>
      </c>
    </row>
    <row r="4259" spans="7:7" x14ac:dyDescent="0.25">
      <c r="G4259" t="str">
        <f t="shared" si="168"/>
        <v>Insert into BlueCreditTypeRainbow Values (, , , , , )</v>
      </c>
    </row>
    <row r="4260" spans="7:7" x14ac:dyDescent="0.25">
      <c r="G4260" t="str">
        <f t="shared" si="168"/>
        <v>Insert into BlueCreditTypeRainbow Values (, , , , , )</v>
      </c>
    </row>
    <row r="4261" spans="7:7" x14ac:dyDescent="0.25">
      <c r="G4261" t="str">
        <f t="shared" si="168"/>
        <v>Insert into BlueCreditTypeRainbow Values (, , , , , )</v>
      </c>
    </row>
    <row r="4262" spans="7:7" x14ac:dyDescent="0.25">
      <c r="G4262" t="str">
        <f t="shared" si="168"/>
        <v>Insert into BlueCreditTypeRainbow Values (, , , , , )</v>
      </c>
    </row>
    <row r="4263" spans="7:7" x14ac:dyDescent="0.25">
      <c r="G4263" t="str">
        <f t="shared" si="168"/>
        <v>Insert into BlueCreditTypeRainbow Values (, , , , , )</v>
      </c>
    </row>
    <row r="4264" spans="7:7" x14ac:dyDescent="0.25">
      <c r="G4264" t="str">
        <f t="shared" si="168"/>
        <v>Insert into BlueCreditTypeRainbow Values (, , , , , )</v>
      </c>
    </row>
    <row r="4265" spans="7:7" x14ac:dyDescent="0.25">
      <c r="G4265" t="str">
        <f t="shared" si="168"/>
        <v>Insert into BlueCreditTypeRainbow Values (, , , , , )</v>
      </c>
    </row>
    <row r="4266" spans="7:7" x14ac:dyDescent="0.25">
      <c r="G4266" t="str">
        <f t="shared" si="168"/>
        <v>Insert into BlueCreditTypeRainbow Values (, , , , , )</v>
      </c>
    </row>
    <row r="4267" spans="7:7" x14ac:dyDescent="0.25">
      <c r="G4267" t="str">
        <f t="shared" si="168"/>
        <v>Insert into BlueCreditTypeRainbow Values (, , , , , )</v>
      </c>
    </row>
    <row r="4268" spans="7:7" x14ac:dyDescent="0.25">
      <c r="G4268" t="str">
        <f t="shared" si="168"/>
        <v>Insert into BlueCreditTypeRainbow Values (, , , , , )</v>
      </c>
    </row>
    <row r="4269" spans="7:7" x14ac:dyDescent="0.25">
      <c r="G4269" t="str">
        <f t="shared" si="168"/>
        <v>Insert into BlueCreditTypeRainbow Values (, , , , , )</v>
      </c>
    </row>
    <row r="4270" spans="7:7" x14ac:dyDescent="0.25">
      <c r="G4270" t="str">
        <f t="shared" si="168"/>
        <v>Insert into BlueCreditTypeRainbow Values (, , , , , )</v>
      </c>
    </row>
    <row r="4271" spans="7:7" x14ac:dyDescent="0.25">
      <c r="G4271" t="str">
        <f t="shared" si="168"/>
        <v>Insert into BlueCreditTypeRainbow Values (, , , , , )</v>
      </c>
    </row>
    <row r="4272" spans="7:7" x14ac:dyDescent="0.25">
      <c r="G4272" t="str">
        <f t="shared" si="168"/>
        <v>Insert into BlueCreditTypeRainbow Values (, , , , , )</v>
      </c>
    </row>
    <row r="4273" spans="7:7" x14ac:dyDescent="0.25">
      <c r="G4273" t="str">
        <f t="shared" si="168"/>
        <v>Insert into BlueCreditTypeRainbow Values (, , , , , )</v>
      </c>
    </row>
    <row r="4274" spans="7:7" x14ac:dyDescent="0.25">
      <c r="G4274" t="str">
        <f t="shared" si="168"/>
        <v>Insert into BlueCreditTypeRainbow Values (, , , , , )</v>
      </c>
    </row>
    <row r="4275" spans="7:7" x14ac:dyDescent="0.25">
      <c r="G4275" t="str">
        <f t="shared" si="168"/>
        <v>Insert into BlueCreditTypeRainbow Values (, , , , , )</v>
      </c>
    </row>
    <row r="4276" spans="7:7" x14ac:dyDescent="0.25">
      <c r="G4276" t="str">
        <f t="shared" si="168"/>
        <v>Insert into BlueCreditTypeRainbow Values (, , , , , )</v>
      </c>
    </row>
    <row r="4277" spans="7:7" x14ac:dyDescent="0.25">
      <c r="G4277" t="str">
        <f t="shared" si="168"/>
        <v>Insert into BlueCreditTypeRainbow Values (, , , , , )</v>
      </c>
    </row>
    <row r="4278" spans="7:7" x14ac:dyDescent="0.25">
      <c r="G4278" t="str">
        <f t="shared" si="168"/>
        <v>Insert into BlueCreditTypeRainbow Values (, , , , , )</v>
      </c>
    </row>
    <row r="4279" spans="7:7" x14ac:dyDescent="0.25">
      <c r="G4279" t="str">
        <f t="shared" si="168"/>
        <v>Insert into BlueCreditTypeRainbow Values (, , , , , )</v>
      </c>
    </row>
    <row r="4280" spans="7:7" x14ac:dyDescent="0.25">
      <c r="G4280" t="str">
        <f t="shared" si="168"/>
        <v>Insert into BlueCreditTypeRainbow Values (, , , , , )</v>
      </c>
    </row>
    <row r="4281" spans="7:7" x14ac:dyDescent="0.25">
      <c r="G4281" t="str">
        <f t="shared" si="168"/>
        <v>Insert into BlueCreditTypeRainbow Values (, , , , , )</v>
      </c>
    </row>
    <row r="4282" spans="7:7" x14ac:dyDescent="0.25">
      <c r="G4282" t="str">
        <f t="shared" si="168"/>
        <v>Insert into BlueCreditTypeRainbow Values (, , , , , )</v>
      </c>
    </row>
    <row r="4283" spans="7:7" x14ac:dyDescent="0.25">
      <c r="G4283" t="str">
        <f t="shared" si="168"/>
        <v>Insert into BlueCreditTypeRainbow Values (, , , , , )</v>
      </c>
    </row>
    <row r="4284" spans="7:7" x14ac:dyDescent="0.25">
      <c r="G4284" t="str">
        <f t="shared" si="168"/>
        <v>Insert into BlueCreditTypeRainbow Values (, , , , , )</v>
      </c>
    </row>
    <row r="4285" spans="7:7" x14ac:dyDescent="0.25">
      <c r="G4285" t="str">
        <f t="shared" si="168"/>
        <v>Insert into BlueCreditTypeRainbow Values (, , , , , )</v>
      </c>
    </row>
    <row r="4286" spans="7:7" x14ac:dyDescent="0.25">
      <c r="G4286" t="str">
        <f t="shared" si="168"/>
        <v>Insert into BlueCreditTypeRainbow Values (, , , , , )</v>
      </c>
    </row>
    <row r="4287" spans="7:7" x14ac:dyDescent="0.25">
      <c r="G4287" t="str">
        <f t="shared" si="168"/>
        <v>Insert into BlueCreditTypeRainbow Values (, , , , , )</v>
      </c>
    </row>
    <row r="4288" spans="7:7" x14ac:dyDescent="0.25">
      <c r="G4288" t="str">
        <f t="shared" si="168"/>
        <v>Insert into BlueCreditTypeRainbow Values (, , , , , )</v>
      </c>
    </row>
    <row r="4289" spans="7:7" x14ac:dyDescent="0.25">
      <c r="G4289" t="str">
        <f t="shared" si="168"/>
        <v>Insert into BlueCreditTypeRainbow Values (, , , , , )</v>
      </c>
    </row>
    <row r="4290" spans="7:7" x14ac:dyDescent="0.25">
      <c r="G4290" t="str">
        <f t="shared" si="168"/>
        <v>Insert into BlueCreditTypeRainbow Values (, , , , , )</v>
      </c>
    </row>
    <row r="4291" spans="7:7" x14ac:dyDescent="0.25">
      <c r="G4291" t="str">
        <f t="shared" si="168"/>
        <v>Insert into BlueCreditTypeRainbow Values (, , , , , )</v>
      </c>
    </row>
    <row r="4292" spans="7:7" x14ac:dyDescent="0.25">
      <c r="G4292" t="str">
        <f t="shared" si="168"/>
        <v>Insert into BlueCreditTypeRainbow Values (, , , , , )</v>
      </c>
    </row>
    <row r="4293" spans="7:7" x14ac:dyDescent="0.25">
      <c r="G4293" t="str">
        <f t="shared" si="168"/>
        <v>Insert into BlueCreditTypeRainbow Values (, , , , , )</v>
      </c>
    </row>
    <row r="4294" spans="7:7" x14ac:dyDescent="0.25">
      <c r="G4294" t="str">
        <f t="shared" si="168"/>
        <v>Insert into BlueCreditTypeRainbow Values (, , , , , )</v>
      </c>
    </row>
    <row r="4295" spans="7:7" x14ac:dyDescent="0.25">
      <c r="G4295" t="str">
        <f t="shared" si="168"/>
        <v>Insert into BlueCreditTypeRainbow Values (, , , , , )</v>
      </c>
    </row>
    <row r="4296" spans="7:7" x14ac:dyDescent="0.25">
      <c r="G4296" t="str">
        <f t="shared" si="168"/>
        <v>Insert into BlueCreditTypeRainbow Values (, , , , , )</v>
      </c>
    </row>
    <row r="4297" spans="7:7" x14ac:dyDescent="0.25">
      <c r="G4297" t="str">
        <f t="shared" si="168"/>
        <v>Insert into BlueCreditTypeRainbow Values (, , , , , )</v>
      </c>
    </row>
    <row r="4298" spans="7:7" x14ac:dyDescent="0.25">
      <c r="G4298" t="str">
        <f t="shared" si="168"/>
        <v>Insert into BlueCreditTypeRainbow Values (, , , , , )</v>
      </c>
    </row>
    <row r="4299" spans="7:7" x14ac:dyDescent="0.25">
      <c r="G4299" t="str">
        <f t="shared" si="168"/>
        <v>Insert into BlueCreditTypeRainbow Values (, , , , , )</v>
      </c>
    </row>
    <row r="4300" spans="7:7" x14ac:dyDescent="0.25">
      <c r="G4300" t="str">
        <f t="shared" si="168"/>
        <v>Insert into BlueCreditTypeRainbow Values (, , , , , )</v>
      </c>
    </row>
    <row r="4301" spans="7:7" x14ac:dyDescent="0.25">
      <c r="G4301" t="str">
        <f t="shared" si="168"/>
        <v>Insert into BlueCreditTypeRainbow Values (, , , , , )</v>
      </c>
    </row>
    <row r="4302" spans="7:7" x14ac:dyDescent="0.25">
      <c r="G4302" t="str">
        <f t="shared" si="168"/>
        <v>Insert into BlueCreditTypeRainbow Values (, , , , , )</v>
      </c>
    </row>
    <row r="4303" spans="7:7" x14ac:dyDescent="0.25">
      <c r="G4303" t="str">
        <f t="shared" ref="G4303:G4366" si="169">CONCATENATE("Insert into BlueCreditTypeRainbow Values (",A4303,", ",B4303,", ",C4303,", ",D4303,", ",E4303,", ",F4303,")")</f>
        <v>Insert into BlueCreditTypeRainbow Values (, , , , , )</v>
      </c>
    </row>
    <row r="4304" spans="7:7" x14ac:dyDescent="0.25">
      <c r="G4304" t="str">
        <f t="shared" si="169"/>
        <v>Insert into BlueCreditTypeRainbow Values (, , , , , )</v>
      </c>
    </row>
    <row r="4305" spans="7:7" x14ac:dyDescent="0.25">
      <c r="G4305" t="str">
        <f t="shared" si="169"/>
        <v>Insert into BlueCreditTypeRainbow Values (, , , , , )</v>
      </c>
    </row>
    <row r="4306" spans="7:7" x14ac:dyDescent="0.25">
      <c r="G4306" t="str">
        <f t="shared" si="169"/>
        <v>Insert into BlueCreditTypeRainbow Values (, , , , , )</v>
      </c>
    </row>
    <row r="4307" spans="7:7" x14ac:dyDescent="0.25">
      <c r="G4307" t="str">
        <f t="shared" si="169"/>
        <v>Insert into BlueCreditTypeRainbow Values (, , , , , )</v>
      </c>
    </row>
    <row r="4308" spans="7:7" x14ac:dyDescent="0.25">
      <c r="G4308" t="str">
        <f t="shared" si="169"/>
        <v>Insert into BlueCreditTypeRainbow Values (, , , , , )</v>
      </c>
    </row>
    <row r="4309" spans="7:7" x14ac:dyDescent="0.25">
      <c r="G4309" t="str">
        <f t="shared" si="169"/>
        <v>Insert into BlueCreditTypeRainbow Values (, , , , , )</v>
      </c>
    </row>
    <row r="4310" spans="7:7" x14ac:dyDescent="0.25">
      <c r="G4310" t="str">
        <f t="shared" si="169"/>
        <v>Insert into BlueCreditTypeRainbow Values (, , , , , )</v>
      </c>
    </row>
    <row r="4311" spans="7:7" x14ac:dyDescent="0.25">
      <c r="G4311" t="str">
        <f t="shared" si="169"/>
        <v>Insert into BlueCreditTypeRainbow Values (, , , , , )</v>
      </c>
    </row>
    <row r="4312" spans="7:7" x14ac:dyDescent="0.25">
      <c r="G4312" t="str">
        <f t="shared" si="169"/>
        <v>Insert into BlueCreditTypeRainbow Values (, , , , , )</v>
      </c>
    </row>
    <row r="4313" spans="7:7" x14ac:dyDescent="0.25">
      <c r="G4313" t="str">
        <f t="shared" si="169"/>
        <v>Insert into BlueCreditTypeRainbow Values (, , , , , )</v>
      </c>
    </row>
    <row r="4314" spans="7:7" x14ac:dyDescent="0.25">
      <c r="G4314" t="str">
        <f t="shared" si="169"/>
        <v>Insert into BlueCreditTypeRainbow Values (, , , , , )</v>
      </c>
    </row>
    <row r="4315" spans="7:7" x14ac:dyDescent="0.25">
      <c r="G4315" t="str">
        <f t="shared" si="169"/>
        <v>Insert into BlueCreditTypeRainbow Values (, , , , , )</v>
      </c>
    </row>
    <row r="4316" spans="7:7" x14ac:dyDescent="0.25">
      <c r="G4316" t="str">
        <f t="shared" si="169"/>
        <v>Insert into BlueCreditTypeRainbow Values (, , , , , )</v>
      </c>
    </row>
    <row r="4317" spans="7:7" x14ac:dyDescent="0.25">
      <c r="G4317" t="str">
        <f t="shared" si="169"/>
        <v>Insert into BlueCreditTypeRainbow Values (, , , , , )</v>
      </c>
    </row>
    <row r="4318" spans="7:7" x14ac:dyDescent="0.25">
      <c r="G4318" t="str">
        <f t="shared" si="169"/>
        <v>Insert into BlueCreditTypeRainbow Values (, , , , , )</v>
      </c>
    </row>
    <row r="4319" spans="7:7" x14ac:dyDescent="0.25">
      <c r="G4319" t="str">
        <f t="shared" si="169"/>
        <v>Insert into BlueCreditTypeRainbow Values (, , , , , )</v>
      </c>
    </row>
    <row r="4320" spans="7:7" x14ac:dyDescent="0.25">
      <c r="G4320" t="str">
        <f t="shared" si="169"/>
        <v>Insert into BlueCreditTypeRainbow Values (, , , , , )</v>
      </c>
    </row>
    <row r="4321" spans="7:7" x14ac:dyDescent="0.25">
      <c r="G4321" t="str">
        <f t="shared" si="169"/>
        <v>Insert into BlueCreditTypeRainbow Values (, , , , , )</v>
      </c>
    </row>
    <row r="4322" spans="7:7" x14ac:dyDescent="0.25">
      <c r="G4322" t="str">
        <f t="shared" si="169"/>
        <v>Insert into BlueCreditTypeRainbow Values (, , , , , )</v>
      </c>
    </row>
    <row r="4323" spans="7:7" x14ac:dyDescent="0.25">
      <c r="G4323" t="str">
        <f t="shared" si="169"/>
        <v>Insert into BlueCreditTypeRainbow Values (, , , , , )</v>
      </c>
    </row>
    <row r="4324" spans="7:7" x14ac:dyDescent="0.25">
      <c r="G4324" t="str">
        <f t="shared" si="169"/>
        <v>Insert into BlueCreditTypeRainbow Values (, , , , , )</v>
      </c>
    </row>
    <row r="4325" spans="7:7" x14ac:dyDescent="0.25">
      <c r="G4325" t="str">
        <f t="shared" si="169"/>
        <v>Insert into BlueCreditTypeRainbow Values (, , , , , )</v>
      </c>
    </row>
    <row r="4326" spans="7:7" x14ac:dyDescent="0.25">
      <c r="G4326" t="str">
        <f t="shared" si="169"/>
        <v>Insert into BlueCreditTypeRainbow Values (, , , , , )</v>
      </c>
    </row>
    <row r="4327" spans="7:7" x14ac:dyDescent="0.25">
      <c r="G4327" t="str">
        <f t="shared" si="169"/>
        <v>Insert into BlueCreditTypeRainbow Values (, , , , , )</v>
      </c>
    </row>
    <row r="4328" spans="7:7" x14ac:dyDescent="0.25">
      <c r="G4328" t="str">
        <f t="shared" si="169"/>
        <v>Insert into BlueCreditTypeRainbow Values (, , , , , )</v>
      </c>
    </row>
    <row r="4329" spans="7:7" x14ac:dyDescent="0.25">
      <c r="G4329" t="str">
        <f t="shared" si="169"/>
        <v>Insert into BlueCreditTypeRainbow Values (, , , , , )</v>
      </c>
    </row>
    <row r="4330" spans="7:7" x14ac:dyDescent="0.25">
      <c r="G4330" t="str">
        <f t="shared" si="169"/>
        <v>Insert into BlueCreditTypeRainbow Values (, , , , , )</v>
      </c>
    </row>
    <row r="4331" spans="7:7" x14ac:dyDescent="0.25">
      <c r="G4331" t="str">
        <f t="shared" si="169"/>
        <v>Insert into BlueCreditTypeRainbow Values (, , , , , )</v>
      </c>
    </row>
    <row r="4332" spans="7:7" x14ac:dyDescent="0.25">
      <c r="G4332" t="str">
        <f t="shared" si="169"/>
        <v>Insert into BlueCreditTypeRainbow Values (, , , , , )</v>
      </c>
    </row>
    <row r="4333" spans="7:7" x14ac:dyDescent="0.25">
      <c r="G4333" t="str">
        <f t="shared" si="169"/>
        <v>Insert into BlueCreditTypeRainbow Values (, , , , , )</v>
      </c>
    </row>
    <row r="4334" spans="7:7" x14ac:dyDescent="0.25">
      <c r="G4334" t="str">
        <f t="shared" si="169"/>
        <v>Insert into BlueCreditTypeRainbow Values (, , , , , )</v>
      </c>
    </row>
    <row r="4335" spans="7:7" x14ac:dyDescent="0.25">
      <c r="G4335" t="str">
        <f t="shared" si="169"/>
        <v>Insert into BlueCreditTypeRainbow Values (, , , , , )</v>
      </c>
    </row>
    <row r="4336" spans="7:7" x14ac:dyDescent="0.25">
      <c r="G4336" t="str">
        <f t="shared" si="169"/>
        <v>Insert into BlueCreditTypeRainbow Values (, , , , , )</v>
      </c>
    </row>
    <row r="4337" spans="7:7" x14ac:dyDescent="0.25">
      <c r="G4337" t="str">
        <f t="shared" si="169"/>
        <v>Insert into BlueCreditTypeRainbow Values (, , , , , )</v>
      </c>
    </row>
    <row r="4338" spans="7:7" x14ac:dyDescent="0.25">
      <c r="G4338" t="str">
        <f t="shared" si="169"/>
        <v>Insert into BlueCreditTypeRainbow Values (, , , , , )</v>
      </c>
    </row>
    <row r="4339" spans="7:7" x14ac:dyDescent="0.25">
      <c r="G4339" t="str">
        <f t="shared" si="169"/>
        <v>Insert into BlueCreditTypeRainbow Values (, , , , , )</v>
      </c>
    </row>
    <row r="4340" spans="7:7" x14ac:dyDescent="0.25">
      <c r="G4340" t="str">
        <f t="shared" si="169"/>
        <v>Insert into BlueCreditTypeRainbow Values (, , , , , )</v>
      </c>
    </row>
    <row r="4341" spans="7:7" x14ac:dyDescent="0.25">
      <c r="G4341" t="str">
        <f t="shared" si="169"/>
        <v>Insert into BlueCreditTypeRainbow Values (, , , , , )</v>
      </c>
    </row>
    <row r="4342" spans="7:7" x14ac:dyDescent="0.25">
      <c r="G4342" t="str">
        <f t="shared" si="169"/>
        <v>Insert into BlueCreditTypeRainbow Values (, , , , , )</v>
      </c>
    </row>
    <row r="4343" spans="7:7" x14ac:dyDescent="0.25">
      <c r="G4343" t="str">
        <f t="shared" si="169"/>
        <v>Insert into BlueCreditTypeRainbow Values (, , , , , )</v>
      </c>
    </row>
    <row r="4344" spans="7:7" x14ac:dyDescent="0.25">
      <c r="G4344" t="str">
        <f t="shared" si="169"/>
        <v>Insert into BlueCreditTypeRainbow Values (, , , , , )</v>
      </c>
    </row>
    <row r="4345" spans="7:7" x14ac:dyDescent="0.25">
      <c r="G4345" t="str">
        <f t="shared" si="169"/>
        <v>Insert into BlueCreditTypeRainbow Values (, , , , , )</v>
      </c>
    </row>
    <row r="4346" spans="7:7" x14ac:dyDescent="0.25">
      <c r="G4346" t="str">
        <f t="shared" si="169"/>
        <v>Insert into BlueCreditTypeRainbow Values (, , , , , )</v>
      </c>
    </row>
    <row r="4347" spans="7:7" x14ac:dyDescent="0.25">
      <c r="G4347" t="str">
        <f t="shared" si="169"/>
        <v>Insert into BlueCreditTypeRainbow Values (, , , , , )</v>
      </c>
    </row>
    <row r="4348" spans="7:7" x14ac:dyDescent="0.25">
      <c r="G4348" t="str">
        <f t="shared" si="169"/>
        <v>Insert into BlueCreditTypeRainbow Values (, , , , , )</v>
      </c>
    </row>
    <row r="4349" spans="7:7" x14ac:dyDescent="0.25">
      <c r="G4349" t="str">
        <f t="shared" si="169"/>
        <v>Insert into BlueCreditTypeRainbow Values (, , , , , )</v>
      </c>
    </row>
    <row r="4350" spans="7:7" x14ac:dyDescent="0.25">
      <c r="G4350" t="str">
        <f t="shared" si="169"/>
        <v>Insert into BlueCreditTypeRainbow Values (, , , , , )</v>
      </c>
    </row>
    <row r="4351" spans="7:7" x14ac:dyDescent="0.25">
      <c r="G4351" t="str">
        <f t="shared" si="169"/>
        <v>Insert into BlueCreditTypeRainbow Values (, , , , , )</v>
      </c>
    </row>
    <row r="4352" spans="7:7" x14ac:dyDescent="0.25">
      <c r="G4352" t="str">
        <f t="shared" si="169"/>
        <v>Insert into BlueCreditTypeRainbow Values (, , , , , )</v>
      </c>
    </row>
    <row r="4353" spans="7:7" x14ac:dyDescent="0.25">
      <c r="G4353" t="str">
        <f t="shared" si="169"/>
        <v>Insert into BlueCreditTypeRainbow Values (, , , , , )</v>
      </c>
    </row>
    <row r="4354" spans="7:7" x14ac:dyDescent="0.25">
      <c r="G4354" t="str">
        <f t="shared" si="169"/>
        <v>Insert into BlueCreditTypeRainbow Values (, , , , , )</v>
      </c>
    </row>
    <row r="4355" spans="7:7" x14ac:dyDescent="0.25">
      <c r="G4355" t="str">
        <f t="shared" si="169"/>
        <v>Insert into BlueCreditTypeRainbow Values (, , , , , )</v>
      </c>
    </row>
    <row r="4356" spans="7:7" x14ac:dyDescent="0.25">
      <c r="G4356" t="str">
        <f t="shared" si="169"/>
        <v>Insert into BlueCreditTypeRainbow Values (, , , , , )</v>
      </c>
    </row>
    <row r="4357" spans="7:7" x14ac:dyDescent="0.25">
      <c r="G4357" t="str">
        <f t="shared" si="169"/>
        <v>Insert into BlueCreditTypeRainbow Values (, , , , , )</v>
      </c>
    </row>
    <row r="4358" spans="7:7" x14ac:dyDescent="0.25">
      <c r="G4358" t="str">
        <f t="shared" si="169"/>
        <v>Insert into BlueCreditTypeRainbow Values (, , , , , )</v>
      </c>
    </row>
    <row r="4359" spans="7:7" x14ac:dyDescent="0.25">
      <c r="G4359" t="str">
        <f t="shared" si="169"/>
        <v>Insert into BlueCreditTypeRainbow Values (, , , , , )</v>
      </c>
    </row>
    <row r="4360" spans="7:7" x14ac:dyDescent="0.25">
      <c r="G4360" t="str">
        <f t="shared" si="169"/>
        <v>Insert into BlueCreditTypeRainbow Values (, , , , , )</v>
      </c>
    </row>
    <row r="4361" spans="7:7" x14ac:dyDescent="0.25">
      <c r="G4361" t="str">
        <f t="shared" si="169"/>
        <v>Insert into BlueCreditTypeRainbow Values (, , , , , )</v>
      </c>
    </row>
    <row r="4362" spans="7:7" x14ac:dyDescent="0.25">
      <c r="G4362" t="str">
        <f t="shared" si="169"/>
        <v>Insert into BlueCreditTypeRainbow Values (, , , , , )</v>
      </c>
    </row>
    <row r="4363" spans="7:7" x14ac:dyDescent="0.25">
      <c r="G4363" t="str">
        <f t="shared" si="169"/>
        <v>Insert into BlueCreditTypeRainbow Values (, , , , , )</v>
      </c>
    </row>
    <row r="4364" spans="7:7" x14ac:dyDescent="0.25">
      <c r="G4364" t="str">
        <f t="shared" si="169"/>
        <v>Insert into BlueCreditTypeRainbow Values (, , , , , )</v>
      </c>
    </row>
    <row r="4365" spans="7:7" x14ac:dyDescent="0.25">
      <c r="G4365" t="str">
        <f t="shared" si="169"/>
        <v>Insert into BlueCreditTypeRainbow Values (, , , , , )</v>
      </c>
    </row>
    <row r="4366" spans="7:7" x14ac:dyDescent="0.25">
      <c r="G4366" t="str">
        <f t="shared" si="169"/>
        <v>Insert into BlueCreditTypeRainbow Values (, , , , , )</v>
      </c>
    </row>
    <row r="4367" spans="7:7" x14ac:dyDescent="0.25">
      <c r="G4367" t="str">
        <f t="shared" ref="G4367:G4430" si="170">CONCATENATE("Insert into BlueCreditTypeRainbow Values (",A4367,", ",B4367,", ",C4367,", ",D4367,", ",E4367,", ",F4367,")")</f>
        <v>Insert into BlueCreditTypeRainbow Values (, , , , , )</v>
      </c>
    </row>
    <row r="4368" spans="7:7" x14ac:dyDescent="0.25">
      <c r="G4368" t="str">
        <f t="shared" si="170"/>
        <v>Insert into BlueCreditTypeRainbow Values (, , , , , )</v>
      </c>
    </row>
    <row r="4369" spans="7:7" x14ac:dyDescent="0.25">
      <c r="G4369" t="str">
        <f t="shared" si="170"/>
        <v>Insert into BlueCreditTypeRainbow Values (, , , , , )</v>
      </c>
    </row>
    <row r="4370" spans="7:7" x14ac:dyDescent="0.25">
      <c r="G4370" t="str">
        <f t="shared" si="170"/>
        <v>Insert into BlueCreditTypeRainbow Values (, , , , , )</v>
      </c>
    </row>
    <row r="4371" spans="7:7" x14ac:dyDescent="0.25">
      <c r="G4371" t="str">
        <f t="shared" si="170"/>
        <v>Insert into BlueCreditTypeRainbow Values (, , , , , )</v>
      </c>
    </row>
    <row r="4372" spans="7:7" x14ac:dyDescent="0.25">
      <c r="G4372" t="str">
        <f t="shared" si="170"/>
        <v>Insert into BlueCreditTypeRainbow Values (, , , , , )</v>
      </c>
    </row>
    <row r="4373" spans="7:7" x14ac:dyDescent="0.25">
      <c r="G4373" t="str">
        <f t="shared" si="170"/>
        <v>Insert into BlueCreditTypeRainbow Values (, , , , , )</v>
      </c>
    </row>
    <row r="4374" spans="7:7" x14ac:dyDescent="0.25">
      <c r="G4374" t="str">
        <f t="shared" si="170"/>
        <v>Insert into BlueCreditTypeRainbow Values (, , , , , )</v>
      </c>
    </row>
    <row r="4375" spans="7:7" x14ac:dyDescent="0.25">
      <c r="G4375" t="str">
        <f t="shared" si="170"/>
        <v>Insert into BlueCreditTypeRainbow Values (, , , , , )</v>
      </c>
    </row>
    <row r="4376" spans="7:7" x14ac:dyDescent="0.25">
      <c r="G4376" t="str">
        <f t="shared" si="170"/>
        <v>Insert into BlueCreditTypeRainbow Values (, , , , , )</v>
      </c>
    </row>
    <row r="4377" spans="7:7" x14ac:dyDescent="0.25">
      <c r="G4377" t="str">
        <f t="shared" si="170"/>
        <v>Insert into BlueCreditTypeRainbow Values (, , , , , )</v>
      </c>
    </row>
    <row r="4378" spans="7:7" x14ac:dyDescent="0.25">
      <c r="G4378" t="str">
        <f t="shared" si="170"/>
        <v>Insert into BlueCreditTypeRainbow Values (, , , , , )</v>
      </c>
    </row>
    <row r="4379" spans="7:7" x14ac:dyDescent="0.25">
      <c r="G4379" t="str">
        <f t="shared" si="170"/>
        <v>Insert into BlueCreditTypeRainbow Values (, , , , , )</v>
      </c>
    </row>
    <row r="4380" spans="7:7" x14ac:dyDescent="0.25">
      <c r="G4380" t="str">
        <f t="shared" si="170"/>
        <v>Insert into BlueCreditTypeRainbow Values (, , , , , )</v>
      </c>
    </row>
    <row r="4381" spans="7:7" x14ac:dyDescent="0.25">
      <c r="G4381" t="str">
        <f t="shared" si="170"/>
        <v>Insert into BlueCreditTypeRainbow Values (, , , , , )</v>
      </c>
    </row>
    <row r="4382" spans="7:7" x14ac:dyDescent="0.25">
      <c r="G4382" t="str">
        <f t="shared" si="170"/>
        <v>Insert into BlueCreditTypeRainbow Values (, , , , , )</v>
      </c>
    </row>
    <row r="4383" spans="7:7" x14ac:dyDescent="0.25">
      <c r="G4383" t="str">
        <f t="shared" si="170"/>
        <v>Insert into BlueCreditTypeRainbow Values (, , , , , )</v>
      </c>
    </row>
    <row r="4384" spans="7:7" x14ac:dyDescent="0.25">
      <c r="G4384" t="str">
        <f t="shared" si="170"/>
        <v>Insert into BlueCreditTypeRainbow Values (, , , , , )</v>
      </c>
    </row>
    <row r="4385" spans="7:7" x14ac:dyDescent="0.25">
      <c r="G4385" t="str">
        <f t="shared" si="170"/>
        <v>Insert into BlueCreditTypeRainbow Values (, , , , , )</v>
      </c>
    </row>
    <row r="4386" spans="7:7" x14ac:dyDescent="0.25">
      <c r="G4386" t="str">
        <f t="shared" si="170"/>
        <v>Insert into BlueCreditTypeRainbow Values (, , , , , )</v>
      </c>
    </row>
    <row r="4387" spans="7:7" x14ac:dyDescent="0.25">
      <c r="G4387" t="str">
        <f t="shared" si="170"/>
        <v>Insert into BlueCreditTypeRainbow Values (, , , , , )</v>
      </c>
    </row>
    <row r="4388" spans="7:7" x14ac:dyDescent="0.25">
      <c r="G4388" t="str">
        <f t="shared" si="170"/>
        <v>Insert into BlueCreditTypeRainbow Values (, , , , , )</v>
      </c>
    </row>
    <row r="4389" spans="7:7" x14ac:dyDescent="0.25">
      <c r="G4389" t="str">
        <f t="shared" si="170"/>
        <v>Insert into BlueCreditTypeRainbow Values (, , , , , )</v>
      </c>
    </row>
    <row r="4390" spans="7:7" x14ac:dyDescent="0.25">
      <c r="G4390" t="str">
        <f t="shared" si="170"/>
        <v>Insert into BlueCreditTypeRainbow Values (, , , , , )</v>
      </c>
    </row>
    <row r="4391" spans="7:7" x14ac:dyDescent="0.25">
      <c r="G4391" t="str">
        <f t="shared" si="170"/>
        <v>Insert into BlueCreditTypeRainbow Values (, , , , , )</v>
      </c>
    </row>
    <row r="4392" spans="7:7" x14ac:dyDescent="0.25">
      <c r="G4392" t="str">
        <f t="shared" si="170"/>
        <v>Insert into BlueCreditTypeRainbow Values (, , , , , )</v>
      </c>
    </row>
    <row r="4393" spans="7:7" x14ac:dyDescent="0.25">
      <c r="G4393" t="str">
        <f t="shared" si="170"/>
        <v>Insert into BlueCreditTypeRainbow Values (, , , , , )</v>
      </c>
    </row>
    <row r="4394" spans="7:7" x14ac:dyDescent="0.25">
      <c r="G4394" t="str">
        <f t="shared" si="170"/>
        <v>Insert into BlueCreditTypeRainbow Values (, , , , , )</v>
      </c>
    </row>
    <row r="4395" spans="7:7" x14ac:dyDescent="0.25">
      <c r="G4395" t="str">
        <f t="shared" si="170"/>
        <v>Insert into BlueCreditTypeRainbow Values (, , , , , )</v>
      </c>
    </row>
    <row r="4396" spans="7:7" x14ac:dyDescent="0.25">
      <c r="G4396" t="str">
        <f t="shared" si="170"/>
        <v>Insert into BlueCreditTypeRainbow Values (, , , , , )</v>
      </c>
    </row>
    <row r="4397" spans="7:7" x14ac:dyDescent="0.25">
      <c r="G4397" t="str">
        <f t="shared" si="170"/>
        <v>Insert into BlueCreditTypeRainbow Values (, , , , , )</v>
      </c>
    </row>
    <row r="4398" spans="7:7" x14ac:dyDescent="0.25">
      <c r="G4398" t="str">
        <f t="shared" si="170"/>
        <v>Insert into BlueCreditTypeRainbow Values (, , , , , )</v>
      </c>
    </row>
    <row r="4399" spans="7:7" x14ac:dyDescent="0.25">
      <c r="G4399" t="str">
        <f t="shared" si="170"/>
        <v>Insert into BlueCreditTypeRainbow Values (, , , , , )</v>
      </c>
    </row>
    <row r="4400" spans="7:7" x14ac:dyDescent="0.25">
      <c r="G4400" t="str">
        <f t="shared" si="170"/>
        <v>Insert into BlueCreditTypeRainbow Values (, , , , , )</v>
      </c>
    </row>
    <row r="4401" spans="7:7" x14ac:dyDescent="0.25">
      <c r="G4401" t="str">
        <f t="shared" si="170"/>
        <v>Insert into BlueCreditTypeRainbow Values (, , , , , )</v>
      </c>
    </row>
    <row r="4402" spans="7:7" x14ac:dyDescent="0.25">
      <c r="G4402" t="str">
        <f t="shared" si="170"/>
        <v>Insert into BlueCreditTypeRainbow Values (, , , , , )</v>
      </c>
    </row>
    <row r="4403" spans="7:7" x14ac:dyDescent="0.25">
      <c r="G4403" t="str">
        <f t="shared" si="170"/>
        <v>Insert into BlueCreditTypeRainbow Values (, , , , , )</v>
      </c>
    </row>
    <row r="4404" spans="7:7" x14ac:dyDescent="0.25">
      <c r="G4404" t="str">
        <f t="shared" si="170"/>
        <v>Insert into BlueCreditTypeRainbow Values (, , , , , )</v>
      </c>
    </row>
    <row r="4405" spans="7:7" x14ac:dyDescent="0.25">
      <c r="G4405" t="str">
        <f t="shared" si="170"/>
        <v>Insert into BlueCreditTypeRainbow Values (, , , , , )</v>
      </c>
    </row>
    <row r="4406" spans="7:7" x14ac:dyDescent="0.25">
      <c r="G4406" t="str">
        <f t="shared" si="170"/>
        <v>Insert into BlueCreditTypeRainbow Values (, , , , , )</v>
      </c>
    </row>
    <row r="4407" spans="7:7" x14ac:dyDescent="0.25">
      <c r="G4407" t="str">
        <f t="shared" si="170"/>
        <v>Insert into BlueCreditTypeRainbow Values (, , , , , )</v>
      </c>
    </row>
    <row r="4408" spans="7:7" x14ac:dyDescent="0.25">
      <c r="G4408" t="str">
        <f t="shared" si="170"/>
        <v>Insert into BlueCreditTypeRainbow Values (, , , , , )</v>
      </c>
    </row>
    <row r="4409" spans="7:7" x14ac:dyDescent="0.25">
      <c r="G4409" t="str">
        <f t="shared" si="170"/>
        <v>Insert into BlueCreditTypeRainbow Values (, , , , , )</v>
      </c>
    </row>
    <row r="4410" spans="7:7" x14ac:dyDescent="0.25">
      <c r="G4410" t="str">
        <f t="shared" si="170"/>
        <v>Insert into BlueCreditTypeRainbow Values (, , , , , )</v>
      </c>
    </row>
    <row r="4411" spans="7:7" x14ac:dyDescent="0.25">
      <c r="G4411" t="str">
        <f t="shared" si="170"/>
        <v>Insert into BlueCreditTypeRainbow Values (, , , , , )</v>
      </c>
    </row>
    <row r="4412" spans="7:7" x14ac:dyDescent="0.25">
      <c r="G4412" t="str">
        <f t="shared" si="170"/>
        <v>Insert into BlueCreditTypeRainbow Values (, , , , , )</v>
      </c>
    </row>
    <row r="4413" spans="7:7" x14ac:dyDescent="0.25">
      <c r="G4413" t="str">
        <f t="shared" si="170"/>
        <v>Insert into BlueCreditTypeRainbow Values (, , , , , )</v>
      </c>
    </row>
    <row r="4414" spans="7:7" x14ac:dyDescent="0.25">
      <c r="G4414" t="str">
        <f t="shared" si="170"/>
        <v>Insert into BlueCreditTypeRainbow Values (, , , , , )</v>
      </c>
    </row>
    <row r="4415" spans="7:7" x14ac:dyDescent="0.25">
      <c r="G4415" t="str">
        <f t="shared" si="170"/>
        <v>Insert into BlueCreditTypeRainbow Values (, , , , , )</v>
      </c>
    </row>
    <row r="4416" spans="7:7" x14ac:dyDescent="0.25">
      <c r="G4416" t="str">
        <f t="shared" si="170"/>
        <v>Insert into BlueCreditTypeRainbow Values (, , , , , )</v>
      </c>
    </row>
    <row r="4417" spans="7:7" x14ac:dyDescent="0.25">
      <c r="G4417" t="str">
        <f t="shared" si="170"/>
        <v>Insert into BlueCreditTypeRainbow Values (, , , , , )</v>
      </c>
    </row>
    <row r="4418" spans="7:7" x14ac:dyDescent="0.25">
      <c r="G4418" t="str">
        <f t="shared" si="170"/>
        <v>Insert into BlueCreditTypeRainbow Values (, , , , , )</v>
      </c>
    </row>
    <row r="4419" spans="7:7" x14ac:dyDescent="0.25">
      <c r="G4419" t="str">
        <f t="shared" si="170"/>
        <v>Insert into BlueCreditTypeRainbow Values (, , , , , )</v>
      </c>
    </row>
    <row r="4420" spans="7:7" x14ac:dyDescent="0.25">
      <c r="G4420" t="str">
        <f t="shared" si="170"/>
        <v>Insert into BlueCreditTypeRainbow Values (, , , , , )</v>
      </c>
    </row>
    <row r="4421" spans="7:7" x14ac:dyDescent="0.25">
      <c r="G4421" t="str">
        <f t="shared" si="170"/>
        <v>Insert into BlueCreditTypeRainbow Values (, , , , , )</v>
      </c>
    </row>
    <row r="4422" spans="7:7" x14ac:dyDescent="0.25">
      <c r="G4422" t="str">
        <f t="shared" si="170"/>
        <v>Insert into BlueCreditTypeRainbow Values (, , , , , )</v>
      </c>
    </row>
    <row r="4423" spans="7:7" x14ac:dyDescent="0.25">
      <c r="G4423" t="str">
        <f t="shared" si="170"/>
        <v>Insert into BlueCreditTypeRainbow Values (, , , , , )</v>
      </c>
    </row>
    <row r="4424" spans="7:7" x14ac:dyDescent="0.25">
      <c r="G4424" t="str">
        <f t="shared" si="170"/>
        <v>Insert into BlueCreditTypeRainbow Values (, , , , , )</v>
      </c>
    </row>
    <row r="4425" spans="7:7" x14ac:dyDescent="0.25">
      <c r="G4425" t="str">
        <f t="shared" si="170"/>
        <v>Insert into BlueCreditTypeRainbow Values (, , , , , )</v>
      </c>
    </row>
    <row r="4426" spans="7:7" x14ac:dyDescent="0.25">
      <c r="G4426" t="str">
        <f t="shared" si="170"/>
        <v>Insert into BlueCreditTypeRainbow Values (, , , , , )</v>
      </c>
    </row>
    <row r="4427" spans="7:7" x14ac:dyDescent="0.25">
      <c r="G4427" t="str">
        <f t="shared" si="170"/>
        <v>Insert into BlueCreditTypeRainbow Values (, , , , , )</v>
      </c>
    </row>
    <row r="4428" spans="7:7" x14ac:dyDescent="0.25">
      <c r="G4428" t="str">
        <f t="shared" si="170"/>
        <v>Insert into BlueCreditTypeRainbow Values (, , , , , )</v>
      </c>
    </row>
    <row r="4429" spans="7:7" x14ac:dyDescent="0.25">
      <c r="G4429" t="str">
        <f t="shared" si="170"/>
        <v>Insert into BlueCreditTypeRainbow Values (, , , , , )</v>
      </c>
    </row>
    <row r="4430" spans="7:7" x14ac:dyDescent="0.25">
      <c r="G4430" t="str">
        <f t="shared" si="170"/>
        <v>Insert into BlueCreditTypeRainbow Values (, , , , , )</v>
      </c>
    </row>
    <row r="4431" spans="7:7" x14ac:dyDescent="0.25">
      <c r="G4431" t="str">
        <f t="shared" ref="G4431:G4494" si="171">CONCATENATE("Insert into BlueCreditTypeRainbow Values (",A4431,", ",B4431,", ",C4431,", ",D4431,", ",E4431,", ",F4431,")")</f>
        <v>Insert into BlueCreditTypeRainbow Values (, , , , , )</v>
      </c>
    </row>
    <row r="4432" spans="7:7" x14ac:dyDescent="0.25">
      <c r="G4432" t="str">
        <f t="shared" si="171"/>
        <v>Insert into BlueCreditTypeRainbow Values (, , , , , )</v>
      </c>
    </row>
    <row r="4433" spans="7:7" x14ac:dyDescent="0.25">
      <c r="G4433" t="str">
        <f t="shared" si="171"/>
        <v>Insert into BlueCreditTypeRainbow Values (, , , , , )</v>
      </c>
    </row>
    <row r="4434" spans="7:7" x14ac:dyDescent="0.25">
      <c r="G4434" t="str">
        <f t="shared" si="171"/>
        <v>Insert into BlueCreditTypeRainbow Values (, , , , , )</v>
      </c>
    </row>
    <row r="4435" spans="7:7" x14ac:dyDescent="0.25">
      <c r="G4435" t="str">
        <f t="shared" si="171"/>
        <v>Insert into BlueCreditTypeRainbow Values (, , , , , )</v>
      </c>
    </row>
    <row r="4436" spans="7:7" x14ac:dyDescent="0.25">
      <c r="G4436" t="str">
        <f t="shared" si="171"/>
        <v>Insert into BlueCreditTypeRainbow Values (, , , , , )</v>
      </c>
    </row>
    <row r="4437" spans="7:7" x14ac:dyDescent="0.25">
      <c r="G4437" t="str">
        <f t="shared" si="171"/>
        <v>Insert into BlueCreditTypeRainbow Values (, , , , , )</v>
      </c>
    </row>
    <row r="4438" spans="7:7" x14ac:dyDescent="0.25">
      <c r="G4438" t="str">
        <f t="shared" si="171"/>
        <v>Insert into BlueCreditTypeRainbow Values (, , , , , )</v>
      </c>
    </row>
    <row r="4439" spans="7:7" x14ac:dyDescent="0.25">
      <c r="G4439" t="str">
        <f t="shared" si="171"/>
        <v>Insert into BlueCreditTypeRainbow Values (, , , , , )</v>
      </c>
    </row>
    <row r="4440" spans="7:7" x14ac:dyDescent="0.25">
      <c r="G4440" t="str">
        <f t="shared" si="171"/>
        <v>Insert into BlueCreditTypeRainbow Values (, , , , , )</v>
      </c>
    </row>
    <row r="4441" spans="7:7" x14ac:dyDescent="0.25">
      <c r="G4441" t="str">
        <f t="shared" si="171"/>
        <v>Insert into BlueCreditTypeRainbow Values (, , , , , )</v>
      </c>
    </row>
    <row r="4442" spans="7:7" x14ac:dyDescent="0.25">
      <c r="G4442" t="str">
        <f t="shared" si="171"/>
        <v>Insert into BlueCreditTypeRainbow Values (, , , , , )</v>
      </c>
    </row>
    <row r="4443" spans="7:7" x14ac:dyDescent="0.25">
      <c r="G4443" t="str">
        <f t="shared" si="171"/>
        <v>Insert into BlueCreditTypeRainbow Values (, , , , , )</v>
      </c>
    </row>
    <row r="4444" spans="7:7" x14ac:dyDescent="0.25">
      <c r="G4444" t="str">
        <f t="shared" si="171"/>
        <v>Insert into BlueCreditTypeRainbow Values (, , , , , )</v>
      </c>
    </row>
    <row r="4445" spans="7:7" x14ac:dyDescent="0.25">
      <c r="G4445" t="str">
        <f t="shared" si="171"/>
        <v>Insert into BlueCreditTypeRainbow Values (, , , , , )</v>
      </c>
    </row>
    <row r="4446" spans="7:7" x14ac:dyDescent="0.25">
      <c r="G4446" t="str">
        <f t="shared" si="171"/>
        <v>Insert into BlueCreditTypeRainbow Values (, , , , , )</v>
      </c>
    </row>
    <row r="4447" spans="7:7" x14ac:dyDescent="0.25">
      <c r="G4447" t="str">
        <f t="shared" si="171"/>
        <v>Insert into BlueCreditTypeRainbow Values (, , , , , )</v>
      </c>
    </row>
    <row r="4448" spans="7:7" x14ac:dyDescent="0.25">
      <c r="G4448" t="str">
        <f t="shared" si="171"/>
        <v>Insert into BlueCreditTypeRainbow Values (, , , , , )</v>
      </c>
    </row>
    <row r="4449" spans="7:7" x14ac:dyDescent="0.25">
      <c r="G4449" t="str">
        <f t="shared" si="171"/>
        <v>Insert into BlueCreditTypeRainbow Values (, , , , , )</v>
      </c>
    </row>
    <row r="4450" spans="7:7" x14ac:dyDescent="0.25">
      <c r="G4450" t="str">
        <f t="shared" si="171"/>
        <v>Insert into BlueCreditTypeRainbow Values (, , , , , )</v>
      </c>
    </row>
    <row r="4451" spans="7:7" x14ac:dyDescent="0.25">
      <c r="G4451" t="str">
        <f t="shared" si="171"/>
        <v>Insert into BlueCreditTypeRainbow Values (, , , , , )</v>
      </c>
    </row>
    <row r="4452" spans="7:7" x14ac:dyDescent="0.25">
      <c r="G4452" t="str">
        <f t="shared" si="171"/>
        <v>Insert into BlueCreditTypeRainbow Values (, , , , , )</v>
      </c>
    </row>
    <row r="4453" spans="7:7" x14ac:dyDescent="0.25">
      <c r="G4453" t="str">
        <f t="shared" si="171"/>
        <v>Insert into BlueCreditTypeRainbow Values (, , , , , )</v>
      </c>
    </row>
    <row r="4454" spans="7:7" x14ac:dyDescent="0.25">
      <c r="G4454" t="str">
        <f t="shared" si="171"/>
        <v>Insert into BlueCreditTypeRainbow Values (, , , , , )</v>
      </c>
    </row>
    <row r="4455" spans="7:7" x14ac:dyDescent="0.25">
      <c r="G4455" t="str">
        <f t="shared" si="171"/>
        <v>Insert into BlueCreditTypeRainbow Values (, , , , , )</v>
      </c>
    </row>
    <row r="4456" spans="7:7" x14ac:dyDescent="0.25">
      <c r="G4456" t="str">
        <f t="shared" si="171"/>
        <v>Insert into BlueCreditTypeRainbow Values (, , , , , )</v>
      </c>
    </row>
    <row r="4457" spans="7:7" x14ac:dyDescent="0.25">
      <c r="G4457" t="str">
        <f t="shared" si="171"/>
        <v>Insert into BlueCreditTypeRainbow Values (, , , , , )</v>
      </c>
    </row>
    <row r="4458" spans="7:7" x14ac:dyDescent="0.25">
      <c r="G4458" t="str">
        <f t="shared" si="171"/>
        <v>Insert into BlueCreditTypeRainbow Values (, , , , , )</v>
      </c>
    </row>
    <row r="4459" spans="7:7" x14ac:dyDescent="0.25">
      <c r="G4459" t="str">
        <f t="shared" si="171"/>
        <v>Insert into BlueCreditTypeRainbow Values (, , , , , )</v>
      </c>
    </row>
    <row r="4460" spans="7:7" x14ac:dyDescent="0.25">
      <c r="G4460" t="str">
        <f t="shared" si="171"/>
        <v>Insert into BlueCreditTypeRainbow Values (, , , , , )</v>
      </c>
    </row>
    <row r="4461" spans="7:7" x14ac:dyDescent="0.25">
      <c r="G4461" t="str">
        <f t="shared" si="171"/>
        <v>Insert into BlueCreditTypeRainbow Values (, , , , , )</v>
      </c>
    </row>
    <row r="4462" spans="7:7" x14ac:dyDescent="0.25">
      <c r="G4462" t="str">
        <f t="shared" si="171"/>
        <v>Insert into BlueCreditTypeRainbow Values (, , , , , )</v>
      </c>
    </row>
    <row r="4463" spans="7:7" x14ac:dyDescent="0.25">
      <c r="G4463" t="str">
        <f t="shared" si="171"/>
        <v>Insert into BlueCreditTypeRainbow Values (, , , , , )</v>
      </c>
    </row>
    <row r="4464" spans="7:7" x14ac:dyDescent="0.25">
      <c r="G4464" t="str">
        <f t="shared" si="171"/>
        <v>Insert into BlueCreditTypeRainbow Values (, , , , , )</v>
      </c>
    </row>
    <row r="4465" spans="7:7" x14ac:dyDescent="0.25">
      <c r="G4465" t="str">
        <f t="shared" si="171"/>
        <v>Insert into BlueCreditTypeRainbow Values (, , , , , )</v>
      </c>
    </row>
    <row r="4466" spans="7:7" x14ac:dyDescent="0.25">
      <c r="G4466" t="str">
        <f t="shared" si="171"/>
        <v>Insert into BlueCreditTypeRainbow Values (, , , , , )</v>
      </c>
    </row>
    <row r="4467" spans="7:7" x14ac:dyDescent="0.25">
      <c r="G4467" t="str">
        <f t="shared" si="171"/>
        <v>Insert into BlueCreditTypeRainbow Values (, , , , , )</v>
      </c>
    </row>
    <row r="4468" spans="7:7" x14ac:dyDescent="0.25">
      <c r="G4468" t="str">
        <f t="shared" si="171"/>
        <v>Insert into BlueCreditTypeRainbow Values (, , , , , )</v>
      </c>
    </row>
    <row r="4469" spans="7:7" x14ac:dyDescent="0.25">
      <c r="G4469" t="str">
        <f t="shared" si="171"/>
        <v>Insert into BlueCreditTypeRainbow Values (, , , , , )</v>
      </c>
    </row>
    <row r="4470" spans="7:7" x14ac:dyDescent="0.25">
      <c r="G4470" t="str">
        <f t="shared" si="171"/>
        <v>Insert into BlueCreditTypeRainbow Values (, , , , , )</v>
      </c>
    </row>
    <row r="4471" spans="7:7" x14ac:dyDescent="0.25">
      <c r="G4471" t="str">
        <f t="shared" si="171"/>
        <v>Insert into BlueCreditTypeRainbow Values (, , , , , )</v>
      </c>
    </row>
    <row r="4472" spans="7:7" x14ac:dyDescent="0.25">
      <c r="G4472" t="str">
        <f t="shared" si="171"/>
        <v>Insert into BlueCreditTypeRainbow Values (, , , , , )</v>
      </c>
    </row>
    <row r="4473" spans="7:7" x14ac:dyDescent="0.25">
      <c r="G4473" t="str">
        <f t="shared" si="171"/>
        <v>Insert into BlueCreditTypeRainbow Values (, , , , , )</v>
      </c>
    </row>
    <row r="4474" spans="7:7" x14ac:dyDescent="0.25">
      <c r="G4474" t="str">
        <f t="shared" si="171"/>
        <v>Insert into BlueCreditTypeRainbow Values (, , , , , )</v>
      </c>
    </row>
    <row r="4475" spans="7:7" x14ac:dyDescent="0.25">
      <c r="G4475" t="str">
        <f t="shared" si="171"/>
        <v>Insert into BlueCreditTypeRainbow Values (, , , , , )</v>
      </c>
    </row>
    <row r="4476" spans="7:7" x14ac:dyDescent="0.25">
      <c r="G4476" t="str">
        <f t="shared" si="171"/>
        <v>Insert into BlueCreditTypeRainbow Values (, , , , , )</v>
      </c>
    </row>
    <row r="4477" spans="7:7" x14ac:dyDescent="0.25">
      <c r="G4477" t="str">
        <f t="shared" si="171"/>
        <v>Insert into BlueCreditTypeRainbow Values (, , , , , )</v>
      </c>
    </row>
    <row r="4478" spans="7:7" x14ac:dyDescent="0.25">
      <c r="G4478" t="str">
        <f t="shared" si="171"/>
        <v>Insert into BlueCreditTypeRainbow Values (, , , , , )</v>
      </c>
    </row>
    <row r="4479" spans="7:7" x14ac:dyDescent="0.25">
      <c r="G4479" t="str">
        <f t="shared" si="171"/>
        <v>Insert into BlueCreditTypeRainbow Values (, , , , , )</v>
      </c>
    </row>
    <row r="4480" spans="7:7" x14ac:dyDescent="0.25">
      <c r="G4480" t="str">
        <f t="shared" si="171"/>
        <v>Insert into BlueCreditTypeRainbow Values (, , , , , )</v>
      </c>
    </row>
    <row r="4481" spans="7:7" x14ac:dyDescent="0.25">
      <c r="G4481" t="str">
        <f t="shared" si="171"/>
        <v>Insert into BlueCreditTypeRainbow Values (, , , , , )</v>
      </c>
    </row>
    <row r="4482" spans="7:7" x14ac:dyDescent="0.25">
      <c r="G4482" t="str">
        <f t="shared" si="171"/>
        <v>Insert into BlueCreditTypeRainbow Values (, , , , , )</v>
      </c>
    </row>
    <row r="4483" spans="7:7" x14ac:dyDescent="0.25">
      <c r="G4483" t="str">
        <f t="shared" si="171"/>
        <v>Insert into BlueCreditTypeRainbow Values (, , , , , )</v>
      </c>
    </row>
    <row r="4484" spans="7:7" x14ac:dyDescent="0.25">
      <c r="G4484" t="str">
        <f t="shared" si="171"/>
        <v>Insert into BlueCreditTypeRainbow Values (, , , , , )</v>
      </c>
    </row>
    <row r="4485" spans="7:7" x14ac:dyDescent="0.25">
      <c r="G4485" t="str">
        <f t="shared" si="171"/>
        <v>Insert into BlueCreditTypeRainbow Values (, , , , , )</v>
      </c>
    </row>
    <row r="4486" spans="7:7" x14ac:dyDescent="0.25">
      <c r="G4486" t="str">
        <f t="shared" si="171"/>
        <v>Insert into BlueCreditTypeRainbow Values (, , , , , )</v>
      </c>
    </row>
    <row r="4487" spans="7:7" x14ac:dyDescent="0.25">
      <c r="G4487" t="str">
        <f t="shared" si="171"/>
        <v>Insert into BlueCreditTypeRainbow Values (, , , , , )</v>
      </c>
    </row>
    <row r="4488" spans="7:7" x14ac:dyDescent="0.25">
      <c r="G4488" t="str">
        <f t="shared" si="171"/>
        <v>Insert into BlueCreditTypeRainbow Values (, , , , , )</v>
      </c>
    </row>
    <row r="4489" spans="7:7" x14ac:dyDescent="0.25">
      <c r="G4489" t="str">
        <f t="shared" si="171"/>
        <v>Insert into BlueCreditTypeRainbow Values (, , , , , )</v>
      </c>
    </row>
    <row r="4490" spans="7:7" x14ac:dyDescent="0.25">
      <c r="G4490" t="str">
        <f t="shared" si="171"/>
        <v>Insert into BlueCreditTypeRainbow Values (, , , , , )</v>
      </c>
    </row>
    <row r="4491" spans="7:7" x14ac:dyDescent="0.25">
      <c r="G4491" t="str">
        <f t="shared" si="171"/>
        <v>Insert into BlueCreditTypeRainbow Values (, , , , , )</v>
      </c>
    </row>
    <row r="4492" spans="7:7" x14ac:dyDescent="0.25">
      <c r="G4492" t="str">
        <f t="shared" si="171"/>
        <v>Insert into BlueCreditTypeRainbow Values (, , , , , )</v>
      </c>
    </row>
    <row r="4493" spans="7:7" x14ac:dyDescent="0.25">
      <c r="G4493" t="str">
        <f t="shared" si="171"/>
        <v>Insert into BlueCreditTypeRainbow Values (, , , , , )</v>
      </c>
    </row>
    <row r="4494" spans="7:7" x14ac:dyDescent="0.25">
      <c r="G4494" t="str">
        <f t="shared" si="171"/>
        <v>Insert into BlueCreditTypeRainbow Values (, , , , , )</v>
      </c>
    </row>
    <row r="4495" spans="7:7" x14ac:dyDescent="0.25">
      <c r="G4495" t="str">
        <f t="shared" ref="G4495:G4558" si="172">CONCATENATE("Insert into BlueCreditTypeRainbow Values (",A4495,", ",B4495,", ",C4495,", ",D4495,", ",E4495,", ",F4495,")")</f>
        <v>Insert into BlueCreditTypeRainbow Values (, , , , , )</v>
      </c>
    </row>
    <row r="4496" spans="7:7" x14ac:dyDescent="0.25">
      <c r="G4496" t="str">
        <f t="shared" si="172"/>
        <v>Insert into BlueCreditTypeRainbow Values (, , , , , )</v>
      </c>
    </row>
    <row r="4497" spans="7:7" x14ac:dyDescent="0.25">
      <c r="G4497" t="str">
        <f t="shared" si="172"/>
        <v>Insert into BlueCreditTypeRainbow Values (, , , , , )</v>
      </c>
    </row>
    <row r="4498" spans="7:7" x14ac:dyDescent="0.25">
      <c r="G4498" t="str">
        <f t="shared" si="172"/>
        <v>Insert into BlueCreditTypeRainbow Values (, , , , , )</v>
      </c>
    </row>
    <row r="4499" spans="7:7" x14ac:dyDescent="0.25">
      <c r="G4499" t="str">
        <f t="shared" si="172"/>
        <v>Insert into BlueCreditTypeRainbow Values (, , , , , )</v>
      </c>
    </row>
    <row r="4500" spans="7:7" x14ac:dyDescent="0.25">
      <c r="G4500" t="str">
        <f t="shared" si="172"/>
        <v>Insert into BlueCreditTypeRainbow Values (, , , , , )</v>
      </c>
    </row>
    <row r="4501" spans="7:7" x14ac:dyDescent="0.25">
      <c r="G4501" t="str">
        <f t="shared" si="172"/>
        <v>Insert into BlueCreditTypeRainbow Values (, , , , , )</v>
      </c>
    </row>
    <row r="4502" spans="7:7" x14ac:dyDescent="0.25">
      <c r="G4502" t="str">
        <f t="shared" si="172"/>
        <v>Insert into BlueCreditTypeRainbow Values (, , , , , )</v>
      </c>
    </row>
    <row r="4503" spans="7:7" x14ac:dyDescent="0.25">
      <c r="G4503" t="str">
        <f t="shared" si="172"/>
        <v>Insert into BlueCreditTypeRainbow Values (, , , , , )</v>
      </c>
    </row>
    <row r="4504" spans="7:7" x14ac:dyDescent="0.25">
      <c r="G4504" t="str">
        <f t="shared" si="172"/>
        <v>Insert into BlueCreditTypeRainbow Values (, , , , , )</v>
      </c>
    </row>
    <row r="4505" spans="7:7" x14ac:dyDescent="0.25">
      <c r="G4505" t="str">
        <f t="shared" si="172"/>
        <v>Insert into BlueCreditTypeRainbow Values (, , , , , )</v>
      </c>
    </row>
    <row r="4506" spans="7:7" x14ac:dyDescent="0.25">
      <c r="G4506" t="str">
        <f t="shared" si="172"/>
        <v>Insert into BlueCreditTypeRainbow Values (, , , , , )</v>
      </c>
    </row>
    <row r="4507" spans="7:7" x14ac:dyDescent="0.25">
      <c r="G4507" t="str">
        <f t="shared" si="172"/>
        <v>Insert into BlueCreditTypeRainbow Values (, , , , , )</v>
      </c>
    </row>
    <row r="4508" spans="7:7" x14ac:dyDescent="0.25">
      <c r="G4508" t="str">
        <f t="shared" si="172"/>
        <v>Insert into BlueCreditTypeRainbow Values (, , , , , )</v>
      </c>
    </row>
    <row r="4509" spans="7:7" x14ac:dyDescent="0.25">
      <c r="G4509" t="str">
        <f t="shared" si="172"/>
        <v>Insert into BlueCreditTypeRainbow Values (, , , , , )</v>
      </c>
    </row>
    <row r="4510" spans="7:7" x14ac:dyDescent="0.25">
      <c r="G4510" t="str">
        <f t="shared" si="172"/>
        <v>Insert into BlueCreditTypeRainbow Values (, , , , , )</v>
      </c>
    </row>
    <row r="4511" spans="7:7" x14ac:dyDescent="0.25">
      <c r="G4511" t="str">
        <f t="shared" si="172"/>
        <v>Insert into BlueCreditTypeRainbow Values (, , , , , )</v>
      </c>
    </row>
    <row r="4512" spans="7:7" x14ac:dyDescent="0.25">
      <c r="G4512" t="str">
        <f t="shared" si="172"/>
        <v>Insert into BlueCreditTypeRainbow Values (, , , , , )</v>
      </c>
    </row>
    <row r="4513" spans="7:7" x14ac:dyDescent="0.25">
      <c r="G4513" t="str">
        <f t="shared" si="172"/>
        <v>Insert into BlueCreditTypeRainbow Values (, , , , , )</v>
      </c>
    </row>
    <row r="4514" spans="7:7" x14ac:dyDescent="0.25">
      <c r="G4514" t="str">
        <f t="shared" si="172"/>
        <v>Insert into BlueCreditTypeRainbow Values (, , , , , )</v>
      </c>
    </row>
    <row r="4515" spans="7:7" x14ac:dyDescent="0.25">
      <c r="G4515" t="str">
        <f t="shared" si="172"/>
        <v>Insert into BlueCreditTypeRainbow Values (, , , , , )</v>
      </c>
    </row>
    <row r="4516" spans="7:7" x14ac:dyDescent="0.25">
      <c r="G4516" t="str">
        <f t="shared" si="172"/>
        <v>Insert into BlueCreditTypeRainbow Values (, , , , , )</v>
      </c>
    </row>
    <row r="4517" spans="7:7" x14ac:dyDescent="0.25">
      <c r="G4517" t="str">
        <f t="shared" si="172"/>
        <v>Insert into BlueCreditTypeRainbow Values (, , , , , )</v>
      </c>
    </row>
    <row r="4518" spans="7:7" x14ac:dyDescent="0.25">
      <c r="G4518" t="str">
        <f t="shared" si="172"/>
        <v>Insert into BlueCreditTypeRainbow Values (, , , , , )</v>
      </c>
    </row>
    <row r="4519" spans="7:7" x14ac:dyDescent="0.25">
      <c r="G4519" t="str">
        <f t="shared" si="172"/>
        <v>Insert into BlueCreditTypeRainbow Values (, , , , , )</v>
      </c>
    </row>
    <row r="4520" spans="7:7" x14ac:dyDescent="0.25">
      <c r="G4520" t="str">
        <f t="shared" si="172"/>
        <v>Insert into BlueCreditTypeRainbow Values (, , , , , )</v>
      </c>
    </row>
    <row r="4521" spans="7:7" x14ac:dyDescent="0.25">
      <c r="G4521" t="str">
        <f t="shared" si="172"/>
        <v>Insert into BlueCreditTypeRainbow Values (, , , , , )</v>
      </c>
    </row>
    <row r="4522" spans="7:7" x14ac:dyDescent="0.25">
      <c r="G4522" t="str">
        <f t="shared" si="172"/>
        <v>Insert into BlueCreditTypeRainbow Values (, , , , , )</v>
      </c>
    </row>
    <row r="4523" spans="7:7" x14ac:dyDescent="0.25">
      <c r="G4523" t="str">
        <f t="shared" si="172"/>
        <v>Insert into BlueCreditTypeRainbow Values (, , , , , )</v>
      </c>
    </row>
    <row r="4524" spans="7:7" x14ac:dyDescent="0.25">
      <c r="G4524" t="str">
        <f t="shared" si="172"/>
        <v>Insert into BlueCreditTypeRainbow Values (, , , , , )</v>
      </c>
    </row>
    <row r="4525" spans="7:7" x14ac:dyDescent="0.25">
      <c r="G4525" t="str">
        <f t="shared" si="172"/>
        <v>Insert into BlueCreditTypeRainbow Values (, , , , , )</v>
      </c>
    </row>
    <row r="4526" spans="7:7" x14ac:dyDescent="0.25">
      <c r="G4526" t="str">
        <f t="shared" si="172"/>
        <v>Insert into BlueCreditTypeRainbow Values (, , , , , )</v>
      </c>
    </row>
    <row r="4527" spans="7:7" x14ac:dyDescent="0.25">
      <c r="G4527" t="str">
        <f t="shared" si="172"/>
        <v>Insert into BlueCreditTypeRainbow Values (, , , , , )</v>
      </c>
    </row>
    <row r="4528" spans="7:7" x14ac:dyDescent="0.25">
      <c r="G4528" t="str">
        <f t="shared" si="172"/>
        <v>Insert into BlueCreditTypeRainbow Values (, , , , , )</v>
      </c>
    </row>
    <row r="4529" spans="7:7" x14ac:dyDescent="0.25">
      <c r="G4529" t="str">
        <f t="shared" si="172"/>
        <v>Insert into BlueCreditTypeRainbow Values (, , , , , )</v>
      </c>
    </row>
    <row r="4530" spans="7:7" x14ac:dyDescent="0.25">
      <c r="G4530" t="str">
        <f t="shared" si="172"/>
        <v>Insert into BlueCreditTypeRainbow Values (, , , , , )</v>
      </c>
    </row>
    <row r="4531" spans="7:7" x14ac:dyDescent="0.25">
      <c r="G4531" t="str">
        <f t="shared" si="172"/>
        <v>Insert into BlueCreditTypeRainbow Values (, , , , , )</v>
      </c>
    </row>
    <row r="4532" spans="7:7" x14ac:dyDescent="0.25">
      <c r="G4532" t="str">
        <f t="shared" si="172"/>
        <v>Insert into BlueCreditTypeRainbow Values (, , , , , )</v>
      </c>
    </row>
    <row r="4533" spans="7:7" x14ac:dyDescent="0.25">
      <c r="G4533" t="str">
        <f t="shared" si="172"/>
        <v>Insert into BlueCreditTypeRainbow Values (, , , , , )</v>
      </c>
    </row>
    <row r="4534" spans="7:7" x14ac:dyDescent="0.25">
      <c r="G4534" t="str">
        <f t="shared" si="172"/>
        <v>Insert into BlueCreditTypeRainbow Values (, , , , , )</v>
      </c>
    </row>
    <row r="4535" spans="7:7" x14ac:dyDescent="0.25">
      <c r="G4535" t="str">
        <f t="shared" si="172"/>
        <v>Insert into BlueCreditTypeRainbow Values (, , , , , )</v>
      </c>
    </row>
    <row r="4536" spans="7:7" x14ac:dyDescent="0.25">
      <c r="G4536" t="str">
        <f t="shared" si="172"/>
        <v>Insert into BlueCreditTypeRainbow Values (, , , , , )</v>
      </c>
    </row>
    <row r="4537" spans="7:7" x14ac:dyDescent="0.25">
      <c r="G4537" t="str">
        <f t="shared" si="172"/>
        <v>Insert into BlueCreditTypeRainbow Values (, , , , , )</v>
      </c>
    </row>
    <row r="4538" spans="7:7" x14ac:dyDescent="0.25">
      <c r="G4538" t="str">
        <f t="shared" si="172"/>
        <v>Insert into BlueCreditTypeRainbow Values (, , , , , )</v>
      </c>
    </row>
    <row r="4539" spans="7:7" x14ac:dyDescent="0.25">
      <c r="G4539" t="str">
        <f t="shared" si="172"/>
        <v>Insert into BlueCreditTypeRainbow Values (, , , , , )</v>
      </c>
    </row>
    <row r="4540" spans="7:7" x14ac:dyDescent="0.25">
      <c r="G4540" t="str">
        <f t="shared" si="172"/>
        <v>Insert into BlueCreditTypeRainbow Values (, , , , , )</v>
      </c>
    </row>
    <row r="4541" spans="7:7" x14ac:dyDescent="0.25">
      <c r="G4541" t="str">
        <f t="shared" si="172"/>
        <v>Insert into BlueCreditTypeRainbow Values (, , , , , )</v>
      </c>
    </row>
    <row r="4542" spans="7:7" x14ac:dyDescent="0.25">
      <c r="G4542" t="str">
        <f t="shared" si="172"/>
        <v>Insert into BlueCreditTypeRainbow Values (, , , , , )</v>
      </c>
    </row>
    <row r="4543" spans="7:7" x14ac:dyDescent="0.25">
      <c r="G4543" t="str">
        <f t="shared" si="172"/>
        <v>Insert into BlueCreditTypeRainbow Values (, , , , , )</v>
      </c>
    </row>
    <row r="4544" spans="7:7" x14ac:dyDescent="0.25">
      <c r="G4544" t="str">
        <f t="shared" si="172"/>
        <v>Insert into BlueCreditTypeRainbow Values (, , , , , )</v>
      </c>
    </row>
    <row r="4545" spans="7:7" x14ac:dyDescent="0.25">
      <c r="G4545" t="str">
        <f t="shared" si="172"/>
        <v>Insert into BlueCreditTypeRainbow Values (, , , , , )</v>
      </c>
    </row>
    <row r="4546" spans="7:7" x14ac:dyDescent="0.25">
      <c r="G4546" t="str">
        <f t="shared" si="172"/>
        <v>Insert into BlueCreditTypeRainbow Values (, , , , , )</v>
      </c>
    </row>
    <row r="4547" spans="7:7" x14ac:dyDescent="0.25">
      <c r="G4547" t="str">
        <f t="shared" si="172"/>
        <v>Insert into BlueCreditTypeRainbow Values (, , , , , )</v>
      </c>
    </row>
    <row r="4548" spans="7:7" x14ac:dyDescent="0.25">
      <c r="G4548" t="str">
        <f t="shared" si="172"/>
        <v>Insert into BlueCreditTypeRainbow Values (, , , , , )</v>
      </c>
    </row>
    <row r="4549" spans="7:7" x14ac:dyDescent="0.25">
      <c r="G4549" t="str">
        <f t="shared" si="172"/>
        <v>Insert into BlueCreditTypeRainbow Values (, , , , , )</v>
      </c>
    </row>
    <row r="4550" spans="7:7" x14ac:dyDescent="0.25">
      <c r="G4550" t="str">
        <f t="shared" si="172"/>
        <v>Insert into BlueCreditTypeRainbow Values (, , , , , )</v>
      </c>
    </row>
    <row r="4551" spans="7:7" x14ac:dyDescent="0.25">
      <c r="G4551" t="str">
        <f t="shared" si="172"/>
        <v>Insert into BlueCreditTypeRainbow Values (, , , , , )</v>
      </c>
    </row>
    <row r="4552" spans="7:7" x14ac:dyDescent="0.25">
      <c r="G4552" t="str">
        <f t="shared" si="172"/>
        <v>Insert into BlueCreditTypeRainbow Values (, , , , , )</v>
      </c>
    </row>
    <row r="4553" spans="7:7" x14ac:dyDescent="0.25">
      <c r="G4553" t="str">
        <f t="shared" si="172"/>
        <v>Insert into BlueCreditTypeRainbow Values (, , , , , )</v>
      </c>
    </row>
    <row r="4554" spans="7:7" x14ac:dyDescent="0.25">
      <c r="G4554" t="str">
        <f t="shared" si="172"/>
        <v>Insert into BlueCreditTypeRainbow Values (, , , , , )</v>
      </c>
    </row>
    <row r="4555" spans="7:7" x14ac:dyDescent="0.25">
      <c r="G4555" t="str">
        <f t="shared" si="172"/>
        <v>Insert into BlueCreditTypeRainbow Values (, , , , , )</v>
      </c>
    </row>
    <row r="4556" spans="7:7" x14ac:dyDescent="0.25">
      <c r="G4556" t="str">
        <f t="shared" si="172"/>
        <v>Insert into BlueCreditTypeRainbow Values (, , , , , )</v>
      </c>
    </row>
    <row r="4557" spans="7:7" x14ac:dyDescent="0.25">
      <c r="G4557" t="str">
        <f t="shared" si="172"/>
        <v>Insert into BlueCreditTypeRainbow Values (, , , , , )</v>
      </c>
    </row>
    <row r="4558" spans="7:7" x14ac:dyDescent="0.25">
      <c r="G4558" t="str">
        <f t="shared" si="172"/>
        <v>Insert into BlueCreditTypeRainbow Values (, , , , , )</v>
      </c>
    </row>
    <row r="4559" spans="7:7" x14ac:dyDescent="0.25">
      <c r="G4559" t="str">
        <f t="shared" ref="G4559:G4622" si="173">CONCATENATE("Insert into BlueCreditTypeRainbow Values (",A4559,", ",B4559,", ",C4559,", ",D4559,", ",E4559,", ",F4559,")")</f>
        <v>Insert into BlueCreditTypeRainbow Values (, , , , , )</v>
      </c>
    </row>
    <row r="4560" spans="7:7" x14ac:dyDescent="0.25">
      <c r="G4560" t="str">
        <f t="shared" si="173"/>
        <v>Insert into BlueCreditTypeRainbow Values (, , , , , )</v>
      </c>
    </row>
    <row r="4561" spans="7:7" x14ac:dyDescent="0.25">
      <c r="G4561" t="str">
        <f t="shared" si="173"/>
        <v>Insert into BlueCreditTypeRainbow Values (, , , , , )</v>
      </c>
    </row>
    <row r="4562" spans="7:7" x14ac:dyDescent="0.25">
      <c r="G4562" t="str">
        <f t="shared" si="173"/>
        <v>Insert into BlueCreditTypeRainbow Values (, , , , , )</v>
      </c>
    </row>
    <row r="4563" spans="7:7" x14ac:dyDescent="0.25">
      <c r="G4563" t="str">
        <f t="shared" si="173"/>
        <v>Insert into BlueCreditTypeRainbow Values (, , , , , )</v>
      </c>
    </row>
    <row r="4564" spans="7:7" x14ac:dyDescent="0.25">
      <c r="G4564" t="str">
        <f t="shared" si="173"/>
        <v>Insert into BlueCreditTypeRainbow Values (, , , , , )</v>
      </c>
    </row>
    <row r="4565" spans="7:7" x14ac:dyDescent="0.25">
      <c r="G4565" t="str">
        <f t="shared" si="173"/>
        <v>Insert into BlueCreditTypeRainbow Values (, , , , , )</v>
      </c>
    </row>
    <row r="4566" spans="7:7" x14ac:dyDescent="0.25">
      <c r="G4566" t="str">
        <f t="shared" si="173"/>
        <v>Insert into BlueCreditTypeRainbow Values (, , , , , )</v>
      </c>
    </row>
    <row r="4567" spans="7:7" x14ac:dyDescent="0.25">
      <c r="G4567" t="str">
        <f t="shared" si="173"/>
        <v>Insert into BlueCreditTypeRainbow Values (, , , , , )</v>
      </c>
    </row>
    <row r="4568" spans="7:7" x14ac:dyDescent="0.25">
      <c r="G4568" t="str">
        <f t="shared" si="173"/>
        <v>Insert into BlueCreditTypeRainbow Values (, , , , , )</v>
      </c>
    </row>
    <row r="4569" spans="7:7" x14ac:dyDescent="0.25">
      <c r="G4569" t="str">
        <f t="shared" si="173"/>
        <v>Insert into BlueCreditTypeRainbow Values (, , , , , )</v>
      </c>
    </row>
    <row r="4570" spans="7:7" x14ac:dyDescent="0.25">
      <c r="G4570" t="str">
        <f t="shared" si="173"/>
        <v>Insert into BlueCreditTypeRainbow Values (, , , , , )</v>
      </c>
    </row>
    <row r="4571" spans="7:7" x14ac:dyDescent="0.25">
      <c r="G4571" t="str">
        <f t="shared" si="173"/>
        <v>Insert into BlueCreditTypeRainbow Values (, , , , , )</v>
      </c>
    </row>
    <row r="4572" spans="7:7" x14ac:dyDescent="0.25">
      <c r="G4572" t="str">
        <f t="shared" si="173"/>
        <v>Insert into BlueCreditTypeRainbow Values (, , , , , )</v>
      </c>
    </row>
    <row r="4573" spans="7:7" x14ac:dyDescent="0.25">
      <c r="G4573" t="str">
        <f t="shared" si="173"/>
        <v>Insert into BlueCreditTypeRainbow Values (, , , , , )</v>
      </c>
    </row>
    <row r="4574" spans="7:7" x14ac:dyDescent="0.25">
      <c r="G4574" t="str">
        <f t="shared" si="173"/>
        <v>Insert into BlueCreditTypeRainbow Values (, , , , , )</v>
      </c>
    </row>
    <row r="4575" spans="7:7" x14ac:dyDescent="0.25">
      <c r="G4575" t="str">
        <f t="shared" si="173"/>
        <v>Insert into BlueCreditTypeRainbow Values (, , , , , )</v>
      </c>
    </row>
    <row r="4576" spans="7:7" x14ac:dyDescent="0.25">
      <c r="G4576" t="str">
        <f t="shared" si="173"/>
        <v>Insert into BlueCreditTypeRainbow Values (, , , , , )</v>
      </c>
    </row>
    <row r="4577" spans="7:7" x14ac:dyDescent="0.25">
      <c r="G4577" t="str">
        <f t="shared" si="173"/>
        <v>Insert into BlueCreditTypeRainbow Values (, , , , , )</v>
      </c>
    </row>
    <row r="4578" spans="7:7" x14ac:dyDescent="0.25">
      <c r="G4578" t="str">
        <f t="shared" si="173"/>
        <v>Insert into BlueCreditTypeRainbow Values (, , , , , )</v>
      </c>
    </row>
    <row r="4579" spans="7:7" x14ac:dyDescent="0.25">
      <c r="G4579" t="str">
        <f t="shared" si="173"/>
        <v>Insert into BlueCreditTypeRainbow Values (, , , , , )</v>
      </c>
    </row>
    <row r="4580" spans="7:7" x14ac:dyDescent="0.25">
      <c r="G4580" t="str">
        <f t="shared" si="173"/>
        <v>Insert into BlueCreditTypeRainbow Values (, , , , , )</v>
      </c>
    </row>
    <row r="4581" spans="7:7" x14ac:dyDescent="0.25">
      <c r="G4581" t="str">
        <f t="shared" si="173"/>
        <v>Insert into BlueCreditTypeRainbow Values (, , , , , )</v>
      </c>
    </row>
    <row r="4582" spans="7:7" x14ac:dyDescent="0.25">
      <c r="G4582" t="str">
        <f t="shared" si="173"/>
        <v>Insert into BlueCreditTypeRainbow Values (, , , , , )</v>
      </c>
    </row>
    <row r="4583" spans="7:7" x14ac:dyDescent="0.25">
      <c r="G4583" t="str">
        <f t="shared" si="173"/>
        <v>Insert into BlueCreditTypeRainbow Values (, , , , , )</v>
      </c>
    </row>
    <row r="4584" spans="7:7" x14ac:dyDescent="0.25">
      <c r="G4584" t="str">
        <f t="shared" si="173"/>
        <v>Insert into BlueCreditTypeRainbow Values (, , , , , )</v>
      </c>
    </row>
    <row r="4585" spans="7:7" x14ac:dyDescent="0.25">
      <c r="G4585" t="str">
        <f t="shared" si="173"/>
        <v>Insert into BlueCreditTypeRainbow Values (, , , , , )</v>
      </c>
    </row>
    <row r="4586" spans="7:7" x14ac:dyDescent="0.25">
      <c r="G4586" t="str">
        <f t="shared" si="173"/>
        <v>Insert into BlueCreditTypeRainbow Values (, , , , , )</v>
      </c>
    </row>
    <row r="4587" spans="7:7" x14ac:dyDescent="0.25">
      <c r="G4587" t="str">
        <f t="shared" si="173"/>
        <v>Insert into BlueCreditTypeRainbow Values (, , , , , )</v>
      </c>
    </row>
    <row r="4588" spans="7:7" x14ac:dyDescent="0.25">
      <c r="G4588" t="str">
        <f t="shared" si="173"/>
        <v>Insert into BlueCreditTypeRainbow Values (, , , , , )</v>
      </c>
    </row>
    <row r="4589" spans="7:7" x14ac:dyDescent="0.25">
      <c r="G4589" t="str">
        <f t="shared" si="173"/>
        <v>Insert into BlueCreditTypeRainbow Values (, , , , , )</v>
      </c>
    </row>
    <row r="4590" spans="7:7" x14ac:dyDescent="0.25">
      <c r="G4590" t="str">
        <f t="shared" si="173"/>
        <v>Insert into BlueCreditTypeRainbow Values (, , , , , )</v>
      </c>
    </row>
    <row r="4591" spans="7:7" x14ac:dyDescent="0.25">
      <c r="G4591" t="str">
        <f t="shared" si="173"/>
        <v>Insert into BlueCreditTypeRainbow Values (, , , , , )</v>
      </c>
    </row>
    <row r="4592" spans="7:7" x14ac:dyDescent="0.25">
      <c r="G4592" t="str">
        <f t="shared" si="173"/>
        <v>Insert into BlueCreditTypeRainbow Values (, , , , , )</v>
      </c>
    </row>
    <row r="4593" spans="7:7" x14ac:dyDescent="0.25">
      <c r="G4593" t="str">
        <f t="shared" si="173"/>
        <v>Insert into BlueCreditTypeRainbow Values (, , , , , )</v>
      </c>
    </row>
    <row r="4594" spans="7:7" x14ac:dyDescent="0.25">
      <c r="G4594" t="str">
        <f t="shared" si="173"/>
        <v>Insert into BlueCreditTypeRainbow Values (, , , , , )</v>
      </c>
    </row>
    <row r="4595" spans="7:7" x14ac:dyDescent="0.25">
      <c r="G4595" t="str">
        <f t="shared" si="173"/>
        <v>Insert into BlueCreditTypeRainbow Values (, , , , , )</v>
      </c>
    </row>
    <row r="4596" spans="7:7" x14ac:dyDescent="0.25">
      <c r="G4596" t="str">
        <f t="shared" si="173"/>
        <v>Insert into BlueCreditTypeRainbow Values (, , , , , )</v>
      </c>
    </row>
    <row r="4597" spans="7:7" x14ac:dyDescent="0.25">
      <c r="G4597" t="str">
        <f t="shared" si="173"/>
        <v>Insert into BlueCreditTypeRainbow Values (, , , , , )</v>
      </c>
    </row>
    <row r="4598" spans="7:7" x14ac:dyDescent="0.25">
      <c r="G4598" t="str">
        <f t="shared" si="173"/>
        <v>Insert into BlueCreditTypeRainbow Values (, , , , , )</v>
      </c>
    </row>
    <row r="4599" spans="7:7" x14ac:dyDescent="0.25">
      <c r="G4599" t="str">
        <f t="shared" si="173"/>
        <v>Insert into BlueCreditTypeRainbow Values (, , , , , )</v>
      </c>
    </row>
    <row r="4600" spans="7:7" x14ac:dyDescent="0.25">
      <c r="G4600" t="str">
        <f t="shared" si="173"/>
        <v>Insert into BlueCreditTypeRainbow Values (, , , , , )</v>
      </c>
    </row>
    <row r="4601" spans="7:7" x14ac:dyDescent="0.25">
      <c r="G4601" t="str">
        <f t="shared" si="173"/>
        <v>Insert into BlueCreditTypeRainbow Values (, , , , , )</v>
      </c>
    </row>
    <row r="4602" spans="7:7" x14ac:dyDescent="0.25">
      <c r="G4602" t="str">
        <f t="shared" si="173"/>
        <v>Insert into BlueCreditTypeRainbow Values (, , , , , )</v>
      </c>
    </row>
    <row r="4603" spans="7:7" x14ac:dyDescent="0.25">
      <c r="G4603" t="str">
        <f t="shared" si="173"/>
        <v>Insert into BlueCreditTypeRainbow Values (, , , , , )</v>
      </c>
    </row>
    <row r="4604" spans="7:7" x14ac:dyDescent="0.25">
      <c r="G4604" t="str">
        <f t="shared" si="173"/>
        <v>Insert into BlueCreditTypeRainbow Values (, , , , , )</v>
      </c>
    </row>
    <row r="4605" spans="7:7" x14ac:dyDescent="0.25">
      <c r="G4605" t="str">
        <f t="shared" si="173"/>
        <v>Insert into BlueCreditTypeRainbow Values (, , , , , )</v>
      </c>
    </row>
    <row r="4606" spans="7:7" x14ac:dyDescent="0.25">
      <c r="G4606" t="str">
        <f t="shared" si="173"/>
        <v>Insert into BlueCreditTypeRainbow Values (, , , , , )</v>
      </c>
    </row>
    <row r="4607" spans="7:7" x14ac:dyDescent="0.25">
      <c r="G4607" t="str">
        <f t="shared" si="173"/>
        <v>Insert into BlueCreditTypeRainbow Values (, , , , , )</v>
      </c>
    </row>
    <row r="4608" spans="7:7" x14ac:dyDescent="0.25">
      <c r="G4608" t="str">
        <f t="shared" si="173"/>
        <v>Insert into BlueCreditTypeRainbow Values (, , , , , )</v>
      </c>
    </row>
    <row r="4609" spans="7:7" x14ac:dyDescent="0.25">
      <c r="G4609" t="str">
        <f t="shared" si="173"/>
        <v>Insert into BlueCreditTypeRainbow Values (, , , , , )</v>
      </c>
    </row>
    <row r="4610" spans="7:7" x14ac:dyDescent="0.25">
      <c r="G4610" t="str">
        <f t="shared" si="173"/>
        <v>Insert into BlueCreditTypeRainbow Values (, , , , , )</v>
      </c>
    </row>
    <row r="4611" spans="7:7" x14ac:dyDescent="0.25">
      <c r="G4611" t="str">
        <f t="shared" si="173"/>
        <v>Insert into BlueCreditTypeRainbow Values (, , , , , )</v>
      </c>
    </row>
    <row r="4612" spans="7:7" x14ac:dyDescent="0.25">
      <c r="G4612" t="str">
        <f t="shared" si="173"/>
        <v>Insert into BlueCreditTypeRainbow Values (, , , , , )</v>
      </c>
    </row>
    <row r="4613" spans="7:7" x14ac:dyDescent="0.25">
      <c r="G4613" t="str">
        <f t="shared" si="173"/>
        <v>Insert into BlueCreditTypeRainbow Values (, , , , , )</v>
      </c>
    </row>
    <row r="4614" spans="7:7" x14ac:dyDescent="0.25">
      <c r="G4614" t="str">
        <f t="shared" si="173"/>
        <v>Insert into BlueCreditTypeRainbow Values (, , , , , )</v>
      </c>
    </row>
    <row r="4615" spans="7:7" x14ac:dyDescent="0.25">
      <c r="G4615" t="str">
        <f t="shared" si="173"/>
        <v>Insert into BlueCreditTypeRainbow Values (, , , , , )</v>
      </c>
    </row>
    <row r="4616" spans="7:7" x14ac:dyDescent="0.25">
      <c r="G4616" t="str">
        <f t="shared" si="173"/>
        <v>Insert into BlueCreditTypeRainbow Values (, , , , , )</v>
      </c>
    </row>
    <row r="4617" spans="7:7" x14ac:dyDescent="0.25">
      <c r="G4617" t="str">
        <f t="shared" si="173"/>
        <v>Insert into BlueCreditTypeRainbow Values (, , , , , )</v>
      </c>
    </row>
    <row r="4618" spans="7:7" x14ac:dyDescent="0.25">
      <c r="G4618" t="str">
        <f t="shared" si="173"/>
        <v>Insert into BlueCreditTypeRainbow Values (, , , , , )</v>
      </c>
    </row>
    <row r="4619" spans="7:7" x14ac:dyDescent="0.25">
      <c r="G4619" t="str">
        <f t="shared" si="173"/>
        <v>Insert into BlueCreditTypeRainbow Values (, , , , , )</v>
      </c>
    </row>
    <row r="4620" spans="7:7" x14ac:dyDescent="0.25">
      <c r="G4620" t="str">
        <f t="shared" si="173"/>
        <v>Insert into BlueCreditTypeRainbow Values (, , , , , )</v>
      </c>
    </row>
    <row r="4621" spans="7:7" x14ac:dyDescent="0.25">
      <c r="G4621" t="str">
        <f t="shared" si="173"/>
        <v>Insert into BlueCreditTypeRainbow Values (, , , , , )</v>
      </c>
    </row>
    <row r="4622" spans="7:7" x14ac:dyDescent="0.25">
      <c r="G4622" t="str">
        <f t="shared" si="173"/>
        <v>Insert into BlueCreditTypeRainbow Values (, , , , , )</v>
      </c>
    </row>
    <row r="4623" spans="7:7" x14ac:dyDescent="0.25">
      <c r="G4623" t="str">
        <f t="shared" ref="G4623:G4686" si="174">CONCATENATE("Insert into BlueCreditTypeRainbow Values (",A4623,", ",B4623,", ",C4623,", ",D4623,", ",E4623,", ",F4623,")")</f>
        <v>Insert into BlueCreditTypeRainbow Values (, , , , , )</v>
      </c>
    </row>
    <row r="4624" spans="7:7" x14ac:dyDescent="0.25">
      <c r="G4624" t="str">
        <f t="shared" si="174"/>
        <v>Insert into BlueCreditTypeRainbow Values (, , , , , )</v>
      </c>
    </row>
    <row r="4625" spans="7:7" x14ac:dyDescent="0.25">
      <c r="G4625" t="str">
        <f t="shared" si="174"/>
        <v>Insert into BlueCreditTypeRainbow Values (, , , , , )</v>
      </c>
    </row>
    <row r="4626" spans="7:7" x14ac:dyDescent="0.25">
      <c r="G4626" t="str">
        <f t="shared" si="174"/>
        <v>Insert into BlueCreditTypeRainbow Values (, , , , , )</v>
      </c>
    </row>
    <row r="4627" spans="7:7" x14ac:dyDescent="0.25">
      <c r="G4627" t="str">
        <f t="shared" si="174"/>
        <v>Insert into BlueCreditTypeRainbow Values (, , , , , )</v>
      </c>
    </row>
    <row r="4628" spans="7:7" x14ac:dyDescent="0.25">
      <c r="G4628" t="str">
        <f t="shared" si="174"/>
        <v>Insert into BlueCreditTypeRainbow Values (, , , , , )</v>
      </c>
    </row>
    <row r="4629" spans="7:7" x14ac:dyDescent="0.25">
      <c r="G4629" t="str">
        <f t="shared" si="174"/>
        <v>Insert into BlueCreditTypeRainbow Values (, , , , , )</v>
      </c>
    </row>
    <row r="4630" spans="7:7" x14ac:dyDescent="0.25">
      <c r="G4630" t="str">
        <f t="shared" si="174"/>
        <v>Insert into BlueCreditTypeRainbow Values (, , , , , )</v>
      </c>
    </row>
    <row r="4631" spans="7:7" x14ac:dyDescent="0.25">
      <c r="G4631" t="str">
        <f t="shared" si="174"/>
        <v>Insert into BlueCreditTypeRainbow Values (, , , , , )</v>
      </c>
    </row>
    <row r="4632" spans="7:7" x14ac:dyDescent="0.25">
      <c r="G4632" t="str">
        <f t="shared" si="174"/>
        <v>Insert into BlueCreditTypeRainbow Values (, , , , , )</v>
      </c>
    </row>
    <row r="4633" spans="7:7" x14ac:dyDescent="0.25">
      <c r="G4633" t="str">
        <f t="shared" si="174"/>
        <v>Insert into BlueCreditTypeRainbow Values (, , , , , )</v>
      </c>
    </row>
    <row r="4634" spans="7:7" x14ac:dyDescent="0.25">
      <c r="G4634" t="str">
        <f t="shared" si="174"/>
        <v>Insert into BlueCreditTypeRainbow Values (, , , , , )</v>
      </c>
    </row>
    <row r="4635" spans="7:7" x14ac:dyDescent="0.25">
      <c r="G4635" t="str">
        <f t="shared" si="174"/>
        <v>Insert into BlueCreditTypeRainbow Values (, , , , , )</v>
      </c>
    </row>
    <row r="4636" spans="7:7" x14ac:dyDescent="0.25">
      <c r="G4636" t="str">
        <f t="shared" si="174"/>
        <v>Insert into BlueCreditTypeRainbow Values (, , , , , )</v>
      </c>
    </row>
    <row r="4637" spans="7:7" x14ac:dyDescent="0.25">
      <c r="G4637" t="str">
        <f t="shared" si="174"/>
        <v>Insert into BlueCreditTypeRainbow Values (, , , , , )</v>
      </c>
    </row>
    <row r="4638" spans="7:7" x14ac:dyDescent="0.25">
      <c r="G4638" t="str">
        <f t="shared" si="174"/>
        <v>Insert into BlueCreditTypeRainbow Values (, , , , , )</v>
      </c>
    </row>
    <row r="4639" spans="7:7" x14ac:dyDescent="0.25">
      <c r="G4639" t="str">
        <f t="shared" si="174"/>
        <v>Insert into BlueCreditTypeRainbow Values (, , , , , )</v>
      </c>
    </row>
    <row r="4640" spans="7:7" x14ac:dyDescent="0.25">
      <c r="G4640" t="str">
        <f t="shared" si="174"/>
        <v>Insert into BlueCreditTypeRainbow Values (, , , , , )</v>
      </c>
    </row>
    <row r="4641" spans="7:7" x14ac:dyDescent="0.25">
      <c r="G4641" t="str">
        <f t="shared" si="174"/>
        <v>Insert into BlueCreditTypeRainbow Values (, , , , , )</v>
      </c>
    </row>
    <row r="4642" spans="7:7" x14ac:dyDescent="0.25">
      <c r="G4642" t="str">
        <f t="shared" si="174"/>
        <v>Insert into BlueCreditTypeRainbow Values (, , , , , )</v>
      </c>
    </row>
    <row r="4643" spans="7:7" x14ac:dyDescent="0.25">
      <c r="G4643" t="str">
        <f t="shared" si="174"/>
        <v>Insert into BlueCreditTypeRainbow Values (, , , , , )</v>
      </c>
    </row>
    <row r="4644" spans="7:7" x14ac:dyDescent="0.25">
      <c r="G4644" t="str">
        <f t="shared" si="174"/>
        <v>Insert into BlueCreditTypeRainbow Values (, , , , , )</v>
      </c>
    </row>
    <row r="4645" spans="7:7" x14ac:dyDescent="0.25">
      <c r="G4645" t="str">
        <f t="shared" si="174"/>
        <v>Insert into BlueCreditTypeRainbow Values (, , , , , )</v>
      </c>
    </row>
    <row r="4646" spans="7:7" x14ac:dyDescent="0.25">
      <c r="G4646" t="str">
        <f t="shared" si="174"/>
        <v>Insert into BlueCreditTypeRainbow Values (, , , , , )</v>
      </c>
    </row>
    <row r="4647" spans="7:7" x14ac:dyDescent="0.25">
      <c r="G4647" t="str">
        <f t="shared" si="174"/>
        <v>Insert into BlueCreditTypeRainbow Values (, , , , , )</v>
      </c>
    </row>
    <row r="4648" spans="7:7" x14ac:dyDescent="0.25">
      <c r="G4648" t="str">
        <f t="shared" si="174"/>
        <v>Insert into BlueCreditTypeRainbow Values (, , , , , )</v>
      </c>
    </row>
    <row r="4649" spans="7:7" x14ac:dyDescent="0.25">
      <c r="G4649" t="str">
        <f t="shared" si="174"/>
        <v>Insert into BlueCreditTypeRainbow Values (, , , , , )</v>
      </c>
    </row>
    <row r="4650" spans="7:7" x14ac:dyDescent="0.25">
      <c r="G4650" t="str">
        <f t="shared" si="174"/>
        <v>Insert into BlueCreditTypeRainbow Values (, , , , , )</v>
      </c>
    </row>
    <row r="4651" spans="7:7" x14ac:dyDescent="0.25">
      <c r="G4651" t="str">
        <f t="shared" si="174"/>
        <v>Insert into BlueCreditTypeRainbow Values (, , , , , )</v>
      </c>
    </row>
    <row r="4652" spans="7:7" x14ac:dyDescent="0.25">
      <c r="G4652" t="str">
        <f t="shared" si="174"/>
        <v>Insert into BlueCreditTypeRainbow Values (, , , , , )</v>
      </c>
    </row>
    <row r="4653" spans="7:7" x14ac:dyDescent="0.25">
      <c r="G4653" t="str">
        <f t="shared" si="174"/>
        <v>Insert into BlueCreditTypeRainbow Values (, , , , , )</v>
      </c>
    </row>
    <row r="4654" spans="7:7" x14ac:dyDescent="0.25">
      <c r="G4654" t="str">
        <f t="shared" si="174"/>
        <v>Insert into BlueCreditTypeRainbow Values (, , , , , )</v>
      </c>
    </row>
    <row r="4655" spans="7:7" x14ac:dyDescent="0.25">
      <c r="G4655" t="str">
        <f t="shared" si="174"/>
        <v>Insert into BlueCreditTypeRainbow Values (, , , , , )</v>
      </c>
    </row>
    <row r="4656" spans="7:7" x14ac:dyDescent="0.25">
      <c r="G4656" t="str">
        <f t="shared" si="174"/>
        <v>Insert into BlueCreditTypeRainbow Values (, , , , , )</v>
      </c>
    </row>
    <row r="4657" spans="7:7" x14ac:dyDescent="0.25">
      <c r="G4657" t="str">
        <f t="shared" si="174"/>
        <v>Insert into BlueCreditTypeRainbow Values (, , , , , )</v>
      </c>
    </row>
    <row r="4658" spans="7:7" x14ac:dyDescent="0.25">
      <c r="G4658" t="str">
        <f t="shared" si="174"/>
        <v>Insert into BlueCreditTypeRainbow Values (, , , , , )</v>
      </c>
    </row>
    <row r="4659" spans="7:7" x14ac:dyDescent="0.25">
      <c r="G4659" t="str">
        <f t="shared" si="174"/>
        <v>Insert into BlueCreditTypeRainbow Values (, , , , , )</v>
      </c>
    </row>
    <row r="4660" spans="7:7" x14ac:dyDescent="0.25">
      <c r="G4660" t="str">
        <f t="shared" si="174"/>
        <v>Insert into BlueCreditTypeRainbow Values (, , , , , )</v>
      </c>
    </row>
    <row r="4661" spans="7:7" x14ac:dyDescent="0.25">
      <c r="G4661" t="str">
        <f t="shared" si="174"/>
        <v>Insert into BlueCreditTypeRainbow Values (, , , , , )</v>
      </c>
    </row>
    <row r="4662" spans="7:7" x14ac:dyDescent="0.25">
      <c r="G4662" t="str">
        <f t="shared" si="174"/>
        <v>Insert into BlueCreditTypeRainbow Values (, , , , , )</v>
      </c>
    </row>
    <row r="4663" spans="7:7" x14ac:dyDescent="0.25">
      <c r="G4663" t="str">
        <f t="shared" si="174"/>
        <v>Insert into BlueCreditTypeRainbow Values (, , , , , )</v>
      </c>
    </row>
    <row r="4664" spans="7:7" x14ac:dyDescent="0.25">
      <c r="G4664" t="str">
        <f t="shared" si="174"/>
        <v>Insert into BlueCreditTypeRainbow Values (, , , , , )</v>
      </c>
    </row>
    <row r="4665" spans="7:7" x14ac:dyDescent="0.25">
      <c r="G4665" t="str">
        <f t="shared" si="174"/>
        <v>Insert into BlueCreditTypeRainbow Values (, , , , , )</v>
      </c>
    </row>
    <row r="4666" spans="7:7" x14ac:dyDescent="0.25">
      <c r="G4666" t="str">
        <f t="shared" si="174"/>
        <v>Insert into BlueCreditTypeRainbow Values (, , , , , )</v>
      </c>
    </row>
    <row r="4667" spans="7:7" x14ac:dyDescent="0.25">
      <c r="G4667" t="str">
        <f t="shared" si="174"/>
        <v>Insert into BlueCreditTypeRainbow Values (, , , , , )</v>
      </c>
    </row>
    <row r="4668" spans="7:7" x14ac:dyDescent="0.25">
      <c r="G4668" t="str">
        <f t="shared" si="174"/>
        <v>Insert into BlueCreditTypeRainbow Values (, , , , , )</v>
      </c>
    </row>
    <row r="4669" spans="7:7" x14ac:dyDescent="0.25">
      <c r="G4669" t="str">
        <f t="shared" si="174"/>
        <v>Insert into BlueCreditTypeRainbow Values (, , , , , )</v>
      </c>
    </row>
    <row r="4670" spans="7:7" x14ac:dyDescent="0.25">
      <c r="G4670" t="str">
        <f t="shared" si="174"/>
        <v>Insert into BlueCreditTypeRainbow Values (, , , , , )</v>
      </c>
    </row>
    <row r="4671" spans="7:7" x14ac:dyDescent="0.25">
      <c r="G4671" t="str">
        <f t="shared" si="174"/>
        <v>Insert into BlueCreditTypeRainbow Values (, , , , , )</v>
      </c>
    </row>
    <row r="4672" spans="7:7" x14ac:dyDescent="0.25">
      <c r="G4672" t="str">
        <f t="shared" si="174"/>
        <v>Insert into BlueCreditTypeRainbow Values (, , , , , )</v>
      </c>
    </row>
    <row r="4673" spans="7:7" x14ac:dyDescent="0.25">
      <c r="G4673" t="str">
        <f t="shared" si="174"/>
        <v>Insert into BlueCreditTypeRainbow Values (, , , , , )</v>
      </c>
    </row>
    <row r="4674" spans="7:7" x14ac:dyDescent="0.25">
      <c r="G4674" t="str">
        <f t="shared" si="174"/>
        <v>Insert into BlueCreditTypeRainbow Values (, , , , , )</v>
      </c>
    </row>
    <row r="4675" spans="7:7" x14ac:dyDescent="0.25">
      <c r="G4675" t="str">
        <f t="shared" si="174"/>
        <v>Insert into BlueCreditTypeRainbow Values (, , , , , )</v>
      </c>
    </row>
    <row r="4676" spans="7:7" x14ac:dyDescent="0.25">
      <c r="G4676" t="str">
        <f t="shared" si="174"/>
        <v>Insert into BlueCreditTypeRainbow Values (, , , , , )</v>
      </c>
    </row>
    <row r="4677" spans="7:7" x14ac:dyDescent="0.25">
      <c r="G4677" t="str">
        <f t="shared" si="174"/>
        <v>Insert into BlueCreditTypeRainbow Values (, , , , , )</v>
      </c>
    </row>
    <row r="4678" spans="7:7" x14ac:dyDescent="0.25">
      <c r="G4678" t="str">
        <f t="shared" si="174"/>
        <v>Insert into BlueCreditTypeRainbow Values (, , , , , )</v>
      </c>
    </row>
    <row r="4679" spans="7:7" x14ac:dyDescent="0.25">
      <c r="G4679" t="str">
        <f t="shared" si="174"/>
        <v>Insert into BlueCreditTypeRainbow Values (, , , , , )</v>
      </c>
    </row>
    <row r="4680" spans="7:7" x14ac:dyDescent="0.25">
      <c r="G4680" t="str">
        <f t="shared" si="174"/>
        <v>Insert into BlueCreditTypeRainbow Values (, , , , , )</v>
      </c>
    </row>
    <row r="4681" spans="7:7" x14ac:dyDescent="0.25">
      <c r="G4681" t="str">
        <f t="shared" si="174"/>
        <v>Insert into BlueCreditTypeRainbow Values (, , , , , )</v>
      </c>
    </row>
    <row r="4682" spans="7:7" x14ac:dyDescent="0.25">
      <c r="G4682" t="str">
        <f t="shared" si="174"/>
        <v>Insert into BlueCreditTypeRainbow Values (, , , , , )</v>
      </c>
    </row>
    <row r="4683" spans="7:7" x14ac:dyDescent="0.25">
      <c r="G4683" t="str">
        <f t="shared" si="174"/>
        <v>Insert into BlueCreditTypeRainbow Values (, , , , , )</v>
      </c>
    </row>
    <row r="4684" spans="7:7" x14ac:dyDescent="0.25">
      <c r="G4684" t="str">
        <f t="shared" si="174"/>
        <v>Insert into BlueCreditTypeRainbow Values (, , , , , )</v>
      </c>
    </row>
    <row r="4685" spans="7:7" x14ac:dyDescent="0.25">
      <c r="G4685" t="str">
        <f t="shared" si="174"/>
        <v>Insert into BlueCreditTypeRainbow Values (, , , , , )</v>
      </c>
    </row>
    <row r="4686" spans="7:7" x14ac:dyDescent="0.25">
      <c r="G4686" t="str">
        <f t="shared" si="174"/>
        <v>Insert into BlueCreditTypeRainbow Values (, , , , , )</v>
      </c>
    </row>
    <row r="4687" spans="7:7" x14ac:dyDescent="0.25">
      <c r="G4687" t="str">
        <f t="shared" ref="G4687:G4750" si="175">CONCATENATE("Insert into BlueCreditTypeRainbow Values (",A4687,", ",B4687,", ",C4687,", ",D4687,", ",E4687,", ",F4687,")")</f>
        <v>Insert into BlueCreditTypeRainbow Values (, , , , , )</v>
      </c>
    </row>
    <row r="4688" spans="7:7" x14ac:dyDescent="0.25">
      <c r="G4688" t="str">
        <f t="shared" si="175"/>
        <v>Insert into BlueCreditTypeRainbow Values (, , , , , )</v>
      </c>
    </row>
    <row r="4689" spans="7:7" x14ac:dyDescent="0.25">
      <c r="G4689" t="str">
        <f t="shared" si="175"/>
        <v>Insert into BlueCreditTypeRainbow Values (, , , , , )</v>
      </c>
    </row>
    <row r="4690" spans="7:7" x14ac:dyDescent="0.25">
      <c r="G4690" t="str">
        <f t="shared" si="175"/>
        <v>Insert into BlueCreditTypeRainbow Values (, , , , , )</v>
      </c>
    </row>
    <row r="4691" spans="7:7" x14ac:dyDescent="0.25">
      <c r="G4691" t="str">
        <f t="shared" si="175"/>
        <v>Insert into BlueCreditTypeRainbow Values (, , , , , )</v>
      </c>
    </row>
    <row r="4692" spans="7:7" x14ac:dyDescent="0.25">
      <c r="G4692" t="str">
        <f t="shared" si="175"/>
        <v>Insert into BlueCreditTypeRainbow Values (, , , , , )</v>
      </c>
    </row>
    <row r="4693" spans="7:7" x14ac:dyDescent="0.25">
      <c r="G4693" t="str">
        <f t="shared" si="175"/>
        <v>Insert into BlueCreditTypeRainbow Values (, , , , , )</v>
      </c>
    </row>
    <row r="4694" spans="7:7" x14ac:dyDescent="0.25">
      <c r="G4694" t="str">
        <f t="shared" si="175"/>
        <v>Insert into BlueCreditTypeRainbow Values (, , , , , )</v>
      </c>
    </row>
    <row r="4695" spans="7:7" x14ac:dyDescent="0.25">
      <c r="G4695" t="str">
        <f t="shared" si="175"/>
        <v>Insert into BlueCreditTypeRainbow Values (, , , , , )</v>
      </c>
    </row>
    <row r="4696" spans="7:7" x14ac:dyDescent="0.25">
      <c r="G4696" t="str">
        <f t="shared" si="175"/>
        <v>Insert into BlueCreditTypeRainbow Values (, , , , , )</v>
      </c>
    </row>
    <row r="4697" spans="7:7" x14ac:dyDescent="0.25">
      <c r="G4697" t="str">
        <f t="shared" si="175"/>
        <v>Insert into BlueCreditTypeRainbow Values (, , , , , )</v>
      </c>
    </row>
    <row r="4698" spans="7:7" x14ac:dyDescent="0.25">
      <c r="G4698" t="str">
        <f t="shared" si="175"/>
        <v>Insert into BlueCreditTypeRainbow Values (, , , , , )</v>
      </c>
    </row>
    <row r="4699" spans="7:7" x14ac:dyDescent="0.25">
      <c r="G4699" t="str">
        <f t="shared" si="175"/>
        <v>Insert into BlueCreditTypeRainbow Values (, , , , , )</v>
      </c>
    </row>
    <row r="4700" spans="7:7" x14ac:dyDescent="0.25">
      <c r="G4700" t="str">
        <f t="shared" si="175"/>
        <v>Insert into BlueCreditTypeRainbow Values (, , , , , )</v>
      </c>
    </row>
    <row r="4701" spans="7:7" x14ac:dyDescent="0.25">
      <c r="G4701" t="str">
        <f t="shared" si="175"/>
        <v>Insert into BlueCreditTypeRainbow Values (, , , , , )</v>
      </c>
    </row>
    <row r="4702" spans="7:7" x14ac:dyDescent="0.25">
      <c r="G4702" t="str">
        <f t="shared" si="175"/>
        <v>Insert into BlueCreditTypeRainbow Values (, , , , , )</v>
      </c>
    </row>
    <row r="4703" spans="7:7" x14ac:dyDescent="0.25">
      <c r="G4703" t="str">
        <f t="shared" si="175"/>
        <v>Insert into BlueCreditTypeRainbow Values (, , , , , )</v>
      </c>
    </row>
    <row r="4704" spans="7:7" x14ac:dyDescent="0.25">
      <c r="G4704" t="str">
        <f t="shared" si="175"/>
        <v>Insert into BlueCreditTypeRainbow Values (, , , , , )</v>
      </c>
    </row>
    <row r="4705" spans="7:7" x14ac:dyDescent="0.25">
      <c r="G4705" t="str">
        <f t="shared" si="175"/>
        <v>Insert into BlueCreditTypeRainbow Values (, , , , , )</v>
      </c>
    </row>
    <row r="4706" spans="7:7" x14ac:dyDescent="0.25">
      <c r="G4706" t="str">
        <f t="shared" si="175"/>
        <v>Insert into BlueCreditTypeRainbow Values (, , , , , )</v>
      </c>
    </row>
    <row r="4707" spans="7:7" x14ac:dyDescent="0.25">
      <c r="G4707" t="str">
        <f t="shared" si="175"/>
        <v>Insert into BlueCreditTypeRainbow Values (, , , , , )</v>
      </c>
    </row>
    <row r="4708" spans="7:7" x14ac:dyDescent="0.25">
      <c r="G4708" t="str">
        <f t="shared" si="175"/>
        <v>Insert into BlueCreditTypeRainbow Values (, , , , , )</v>
      </c>
    </row>
    <row r="4709" spans="7:7" x14ac:dyDescent="0.25">
      <c r="G4709" t="str">
        <f t="shared" si="175"/>
        <v>Insert into BlueCreditTypeRainbow Values (, , , , , )</v>
      </c>
    </row>
    <row r="4710" spans="7:7" x14ac:dyDescent="0.25">
      <c r="G4710" t="str">
        <f t="shared" si="175"/>
        <v>Insert into BlueCreditTypeRainbow Values (, , , , , )</v>
      </c>
    </row>
    <row r="4711" spans="7:7" x14ac:dyDescent="0.25">
      <c r="G4711" t="str">
        <f t="shared" si="175"/>
        <v>Insert into BlueCreditTypeRainbow Values (, , , , , )</v>
      </c>
    </row>
    <row r="4712" spans="7:7" x14ac:dyDescent="0.25">
      <c r="G4712" t="str">
        <f t="shared" si="175"/>
        <v>Insert into BlueCreditTypeRainbow Values (, , , , , )</v>
      </c>
    </row>
    <row r="4713" spans="7:7" x14ac:dyDescent="0.25">
      <c r="G4713" t="str">
        <f t="shared" si="175"/>
        <v>Insert into BlueCreditTypeRainbow Values (, , , , , )</v>
      </c>
    </row>
    <row r="4714" spans="7:7" x14ac:dyDescent="0.25">
      <c r="G4714" t="str">
        <f t="shared" si="175"/>
        <v>Insert into BlueCreditTypeRainbow Values (, , , , , )</v>
      </c>
    </row>
    <row r="4715" spans="7:7" x14ac:dyDescent="0.25">
      <c r="G4715" t="str">
        <f t="shared" si="175"/>
        <v>Insert into BlueCreditTypeRainbow Values (, , , , , )</v>
      </c>
    </row>
    <row r="4716" spans="7:7" x14ac:dyDescent="0.25">
      <c r="G4716" t="str">
        <f t="shared" si="175"/>
        <v>Insert into BlueCreditTypeRainbow Values (, , , , , )</v>
      </c>
    </row>
    <row r="4717" spans="7:7" x14ac:dyDescent="0.25">
      <c r="G4717" t="str">
        <f t="shared" si="175"/>
        <v>Insert into BlueCreditTypeRainbow Values (, , , , , )</v>
      </c>
    </row>
    <row r="4718" spans="7:7" x14ac:dyDescent="0.25">
      <c r="G4718" t="str">
        <f t="shared" si="175"/>
        <v>Insert into BlueCreditTypeRainbow Values (, , , , , )</v>
      </c>
    </row>
    <row r="4719" spans="7:7" x14ac:dyDescent="0.25">
      <c r="G4719" t="str">
        <f t="shared" si="175"/>
        <v>Insert into BlueCreditTypeRainbow Values (, , , , , )</v>
      </c>
    </row>
    <row r="4720" spans="7:7" x14ac:dyDescent="0.25">
      <c r="G4720" t="str">
        <f t="shared" si="175"/>
        <v>Insert into BlueCreditTypeRainbow Values (, , , , , )</v>
      </c>
    </row>
    <row r="4721" spans="7:7" x14ac:dyDescent="0.25">
      <c r="G4721" t="str">
        <f t="shared" si="175"/>
        <v>Insert into BlueCreditTypeRainbow Values (, , , , , )</v>
      </c>
    </row>
    <row r="4722" spans="7:7" x14ac:dyDescent="0.25">
      <c r="G4722" t="str">
        <f t="shared" si="175"/>
        <v>Insert into BlueCreditTypeRainbow Values (, , , , , )</v>
      </c>
    </row>
    <row r="4723" spans="7:7" x14ac:dyDescent="0.25">
      <c r="G4723" t="str">
        <f t="shared" si="175"/>
        <v>Insert into BlueCreditTypeRainbow Values (, , , , , )</v>
      </c>
    </row>
    <row r="4724" spans="7:7" x14ac:dyDescent="0.25">
      <c r="G4724" t="str">
        <f t="shared" si="175"/>
        <v>Insert into BlueCreditTypeRainbow Values (, , , , , )</v>
      </c>
    </row>
    <row r="4725" spans="7:7" x14ac:dyDescent="0.25">
      <c r="G4725" t="str">
        <f t="shared" si="175"/>
        <v>Insert into BlueCreditTypeRainbow Values (, , , , , )</v>
      </c>
    </row>
    <row r="4726" spans="7:7" x14ac:dyDescent="0.25">
      <c r="G4726" t="str">
        <f t="shared" si="175"/>
        <v>Insert into BlueCreditTypeRainbow Values (, , , , , )</v>
      </c>
    </row>
    <row r="4727" spans="7:7" x14ac:dyDescent="0.25">
      <c r="G4727" t="str">
        <f t="shared" si="175"/>
        <v>Insert into BlueCreditTypeRainbow Values (, , , , , )</v>
      </c>
    </row>
    <row r="4728" spans="7:7" x14ac:dyDescent="0.25">
      <c r="G4728" t="str">
        <f t="shared" si="175"/>
        <v>Insert into BlueCreditTypeRainbow Values (, , , , , )</v>
      </c>
    </row>
    <row r="4729" spans="7:7" x14ac:dyDescent="0.25">
      <c r="G4729" t="str">
        <f t="shared" si="175"/>
        <v>Insert into BlueCreditTypeRainbow Values (, , , , , )</v>
      </c>
    </row>
    <row r="4730" spans="7:7" x14ac:dyDescent="0.25">
      <c r="G4730" t="str">
        <f t="shared" si="175"/>
        <v>Insert into BlueCreditTypeRainbow Values (, , , , , )</v>
      </c>
    </row>
    <row r="4731" spans="7:7" x14ac:dyDescent="0.25">
      <c r="G4731" t="str">
        <f t="shared" si="175"/>
        <v>Insert into BlueCreditTypeRainbow Values (, , , , , )</v>
      </c>
    </row>
    <row r="4732" spans="7:7" x14ac:dyDescent="0.25">
      <c r="G4732" t="str">
        <f t="shared" si="175"/>
        <v>Insert into BlueCreditTypeRainbow Values (, , , , , )</v>
      </c>
    </row>
    <row r="4733" spans="7:7" x14ac:dyDescent="0.25">
      <c r="G4733" t="str">
        <f t="shared" si="175"/>
        <v>Insert into BlueCreditTypeRainbow Values (, , , , , )</v>
      </c>
    </row>
    <row r="4734" spans="7:7" x14ac:dyDescent="0.25">
      <c r="G4734" t="str">
        <f t="shared" si="175"/>
        <v>Insert into BlueCreditTypeRainbow Values (, , , , , )</v>
      </c>
    </row>
    <row r="4735" spans="7:7" x14ac:dyDescent="0.25">
      <c r="G4735" t="str">
        <f t="shared" si="175"/>
        <v>Insert into BlueCreditTypeRainbow Values (, , , , , )</v>
      </c>
    </row>
    <row r="4736" spans="7:7" x14ac:dyDescent="0.25">
      <c r="G4736" t="str">
        <f t="shared" si="175"/>
        <v>Insert into BlueCreditTypeRainbow Values (, , , , , )</v>
      </c>
    </row>
    <row r="4737" spans="7:7" x14ac:dyDescent="0.25">
      <c r="G4737" t="str">
        <f t="shared" si="175"/>
        <v>Insert into BlueCreditTypeRainbow Values (, , , , , )</v>
      </c>
    </row>
    <row r="4738" spans="7:7" x14ac:dyDescent="0.25">
      <c r="G4738" t="str">
        <f t="shared" si="175"/>
        <v>Insert into BlueCreditTypeRainbow Values (, , , , , )</v>
      </c>
    </row>
    <row r="4739" spans="7:7" x14ac:dyDescent="0.25">
      <c r="G4739" t="str">
        <f t="shared" si="175"/>
        <v>Insert into BlueCreditTypeRainbow Values (, , , , , )</v>
      </c>
    </row>
    <row r="4740" spans="7:7" x14ac:dyDescent="0.25">
      <c r="G4740" t="str">
        <f t="shared" si="175"/>
        <v>Insert into BlueCreditTypeRainbow Values (, , , , , )</v>
      </c>
    </row>
    <row r="4741" spans="7:7" x14ac:dyDescent="0.25">
      <c r="G4741" t="str">
        <f t="shared" si="175"/>
        <v>Insert into BlueCreditTypeRainbow Values (, , , , , )</v>
      </c>
    </row>
    <row r="4742" spans="7:7" x14ac:dyDescent="0.25">
      <c r="G4742" t="str">
        <f t="shared" si="175"/>
        <v>Insert into BlueCreditTypeRainbow Values (, , , , , )</v>
      </c>
    </row>
    <row r="4743" spans="7:7" x14ac:dyDescent="0.25">
      <c r="G4743" t="str">
        <f t="shared" si="175"/>
        <v>Insert into BlueCreditTypeRainbow Values (, , , , , )</v>
      </c>
    </row>
    <row r="4744" spans="7:7" x14ac:dyDescent="0.25">
      <c r="G4744" t="str">
        <f t="shared" si="175"/>
        <v>Insert into BlueCreditTypeRainbow Values (, , , , , )</v>
      </c>
    </row>
    <row r="4745" spans="7:7" x14ac:dyDescent="0.25">
      <c r="G4745" t="str">
        <f t="shared" si="175"/>
        <v>Insert into BlueCreditTypeRainbow Values (, , , , , )</v>
      </c>
    </row>
    <row r="4746" spans="7:7" x14ac:dyDescent="0.25">
      <c r="G4746" t="str">
        <f t="shared" si="175"/>
        <v>Insert into BlueCreditTypeRainbow Values (, , , , , )</v>
      </c>
    </row>
    <row r="4747" spans="7:7" x14ac:dyDescent="0.25">
      <c r="G4747" t="str">
        <f t="shared" si="175"/>
        <v>Insert into BlueCreditTypeRainbow Values (, , , , , )</v>
      </c>
    </row>
    <row r="4748" spans="7:7" x14ac:dyDescent="0.25">
      <c r="G4748" t="str">
        <f t="shared" si="175"/>
        <v>Insert into BlueCreditTypeRainbow Values (, , , , , )</v>
      </c>
    </row>
    <row r="4749" spans="7:7" x14ac:dyDescent="0.25">
      <c r="G4749" t="str">
        <f t="shared" si="175"/>
        <v>Insert into BlueCreditTypeRainbow Values (, , , , , )</v>
      </c>
    </row>
    <row r="4750" spans="7:7" x14ac:dyDescent="0.25">
      <c r="G4750" t="str">
        <f t="shared" si="175"/>
        <v>Insert into BlueCreditTypeRainbow Values (, , , , , )</v>
      </c>
    </row>
    <row r="4751" spans="7:7" x14ac:dyDescent="0.25">
      <c r="G4751" t="str">
        <f t="shared" ref="G4751:G4814" si="176">CONCATENATE("Insert into BlueCreditTypeRainbow Values (",A4751,", ",B4751,", ",C4751,", ",D4751,", ",E4751,", ",F4751,")")</f>
        <v>Insert into BlueCreditTypeRainbow Values (, , , , , )</v>
      </c>
    </row>
    <row r="4752" spans="7:7" x14ac:dyDescent="0.25">
      <c r="G4752" t="str">
        <f t="shared" si="176"/>
        <v>Insert into BlueCreditTypeRainbow Values (, , , , , )</v>
      </c>
    </row>
    <row r="4753" spans="7:7" x14ac:dyDescent="0.25">
      <c r="G4753" t="str">
        <f t="shared" si="176"/>
        <v>Insert into BlueCreditTypeRainbow Values (, , , , , )</v>
      </c>
    </row>
    <row r="4754" spans="7:7" x14ac:dyDescent="0.25">
      <c r="G4754" t="str">
        <f t="shared" si="176"/>
        <v>Insert into BlueCreditTypeRainbow Values (, , , , , )</v>
      </c>
    </row>
    <row r="4755" spans="7:7" x14ac:dyDescent="0.25">
      <c r="G4755" t="str">
        <f t="shared" si="176"/>
        <v>Insert into BlueCreditTypeRainbow Values (, , , , , )</v>
      </c>
    </row>
    <row r="4756" spans="7:7" x14ac:dyDescent="0.25">
      <c r="G4756" t="str">
        <f t="shared" si="176"/>
        <v>Insert into BlueCreditTypeRainbow Values (, , , , , )</v>
      </c>
    </row>
    <row r="4757" spans="7:7" x14ac:dyDescent="0.25">
      <c r="G4757" t="str">
        <f t="shared" si="176"/>
        <v>Insert into BlueCreditTypeRainbow Values (, , , , , )</v>
      </c>
    </row>
    <row r="4758" spans="7:7" x14ac:dyDescent="0.25">
      <c r="G4758" t="str">
        <f t="shared" si="176"/>
        <v>Insert into BlueCreditTypeRainbow Values (, , , , , )</v>
      </c>
    </row>
    <row r="4759" spans="7:7" x14ac:dyDescent="0.25">
      <c r="G4759" t="str">
        <f t="shared" si="176"/>
        <v>Insert into BlueCreditTypeRainbow Values (, , , , , )</v>
      </c>
    </row>
    <row r="4760" spans="7:7" x14ac:dyDescent="0.25">
      <c r="G4760" t="str">
        <f t="shared" si="176"/>
        <v>Insert into BlueCreditTypeRainbow Values (, , , , , )</v>
      </c>
    </row>
    <row r="4761" spans="7:7" x14ac:dyDescent="0.25">
      <c r="G4761" t="str">
        <f t="shared" si="176"/>
        <v>Insert into BlueCreditTypeRainbow Values (, , , , , )</v>
      </c>
    </row>
    <row r="4762" spans="7:7" x14ac:dyDescent="0.25">
      <c r="G4762" t="str">
        <f t="shared" si="176"/>
        <v>Insert into BlueCreditTypeRainbow Values (, , , , , )</v>
      </c>
    </row>
    <row r="4763" spans="7:7" x14ac:dyDescent="0.25">
      <c r="G4763" t="str">
        <f t="shared" si="176"/>
        <v>Insert into BlueCreditTypeRainbow Values (, , , , , )</v>
      </c>
    </row>
    <row r="4764" spans="7:7" x14ac:dyDescent="0.25">
      <c r="G4764" t="str">
        <f t="shared" si="176"/>
        <v>Insert into BlueCreditTypeRainbow Values (, , , , , )</v>
      </c>
    </row>
    <row r="4765" spans="7:7" x14ac:dyDescent="0.25">
      <c r="G4765" t="str">
        <f t="shared" si="176"/>
        <v>Insert into BlueCreditTypeRainbow Values (, , , , , )</v>
      </c>
    </row>
    <row r="4766" spans="7:7" x14ac:dyDescent="0.25">
      <c r="G4766" t="str">
        <f t="shared" si="176"/>
        <v>Insert into BlueCreditTypeRainbow Values (, , , , , )</v>
      </c>
    </row>
    <row r="4767" spans="7:7" x14ac:dyDescent="0.25">
      <c r="G4767" t="str">
        <f t="shared" si="176"/>
        <v>Insert into BlueCreditTypeRainbow Values (, , , , , )</v>
      </c>
    </row>
    <row r="4768" spans="7:7" x14ac:dyDescent="0.25">
      <c r="G4768" t="str">
        <f t="shared" si="176"/>
        <v>Insert into BlueCreditTypeRainbow Values (, , , , , )</v>
      </c>
    </row>
    <row r="4769" spans="7:7" x14ac:dyDescent="0.25">
      <c r="G4769" t="str">
        <f t="shared" si="176"/>
        <v>Insert into BlueCreditTypeRainbow Values (, , , , , )</v>
      </c>
    </row>
    <row r="4770" spans="7:7" x14ac:dyDescent="0.25">
      <c r="G4770" t="str">
        <f t="shared" si="176"/>
        <v>Insert into BlueCreditTypeRainbow Values (, , , , , )</v>
      </c>
    </row>
    <row r="4771" spans="7:7" x14ac:dyDescent="0.25">
      <c r="G4771" t="str">
        <f t="shared" si="176"/>
        <v>Insert into BlueCreditTypeRainbow Values (, , , , , )</v>
      </c>
    </row>
    <row r="4772" spans="7:7" x14ac:dyDescent="0.25">
      <c r="G4772" t="str">
        <f t="shared" si="176"/>
        <v>Insert into BlueCreditTypeRainbow Values (, , , , , )</v>
      </c>
    </row>
    <row r="4773" spans="7:7" x14ac:dyDescent="0.25">
      <c r="G4773" t="str">
        <f t="shared" si="176"/>
        <v>Insert into BlueCreditTypeRainbow Values (, , , , , )</v>
      </c>
    </row>
    <row r="4774" spans="7:7" x14ac:dyDescent="0.25">
      <c r="G4774" t="str">
        <f t="shared" si="176"/>
        <v>Insert into BlueCreditTypeRainbow Values (, , , , , )</v>
      </c>
    </row>
    <row r="4775" spans="7:7" x14ac:dyDescent="0.25">
      <c r="G4775" t="str">
        <f t="shared" si="176"/>
        <v>Insert into BlueCreditTypeRainbow Values (, , , , , )</v>
      </c>
    </row>
    <row r="4776" spans="7:7" x14ac:dyDescent="0.25">
      <c r="G4776" t="str">
        <f t="shared" si="176"/>
        <v>Insert into BlueCreditTypeRainbow Values (, , , , , )</v>
      </c>
    </row>
    <row r="4777" spans="7:7" x14ac:dyDescent="0.25">
      <c r="G4777" t="str">
        <f t="shared" si="176"/>
        <v>Insert into BlueCreditTypeRainbow Values (, , , , , )</v>
      </c>
    </row>
    <row r="4778" spans="7:7" x14ac:dyDescent="0.25">
      <c r="G4778" t="str">
        <f t="shared" si="176"/>
        <v>Insert into BlueCreditTypeRainbow Values (, , , , , )</v>
      </c>
    </row>
    <row r="4779" spans="7:7" x14ac:dyDescent="0.25">
      <c r="G4779" t="str">
        <f t="shared" si="176"/>
        <v>Insert into BlueCreditTypeRainbow Values (, , , , , )</v>
      </c>
    </row>
    <row r="4780" spans="7:7" x14ac:dyDescent="0.25">
      <c r="G4780" t="str">
        <f t="shared" si="176"/>
        <v>Insert into BlueCreditTypeRainbow Values (, , , , , )</v>
      </c>
    </row>
    <row r="4781" spans="7:7" x14ac:dyDescent="0.25">
      <c r="G4781" t="str">
        <f t="shared" si="176"/>
        <v>Insert into BlueCreditTypeRainbow Values (, , , , , )</v>
      </c>
    </row>
    <row r="4782" spans="7:7" x14ac:dyDescent="0.25">
      <c r="G4782" t="str">
        <f t="shared" si="176"/>
        <v>Insert into BlueCreditTypeRainbow Values (, , , , , )</v>
      </c>
    </row>
    <row r="4783" spans="7:7" x14ac:dyDescent="0.25">
      <c r="G4783" t="str">
        <f t="shared" si="176"/>
        <v>Insert into BlueCreditTypeRainbow Values (, , , , , )</v>
      </c>
    </row>
    <row r="4784" spans="7:7" x14ac:dyDescent="0.25">
      <c r="G4784" t="str">
        <f t="shared" si="176"/>
        <v>Insert into BlueCreditTypeRainbow Values (, , , , , )</v>
      </c>
    </row>
    <row r="4785" spans="7:7" x14ac:dyDescent="0.25">
      <c r="G4785" t="str">
        <f t="shared" si="176"/>
        <v>Insert into BlueCreditTypeRainbow Values (, , , , , )</v>
      </c>
    </row>
    <row r="4786" spans="7:7" x14ac:dyDescent="0.25">
      <c r="G4786" t="str">
        <f t="shared" si="176"/>
        <v>Insert into BlueCreditTypeRainbow Values (, , , , , )</v>
      </c>
    </row>
    <row r="4787" spans="7:7" x14ac:dyDescent="0.25">
      <c r="G4787" t="str">
        <f t="shared" si="176"/>
        <v>Insert into BlueCreditTypeRainbow Values (, , , , , )</v>
      </c>
    </row>
    <row r="4788" spans="7:7" x14ac:dyDescent="0.25">
      <c r="G4788" t="str">
        <f t="shared" si="176"/>
        <v>Insert into BlueCreditTypeRainbow Values (, , , , , )</v>
      </c>
    </row>
    <row r="4789" spans="7:7" x14ac:dyDescent="0.25">
      <c r="G4789" t="str">
        <f t="shared" si="176"/>
        <v>Insert into BlueCreditTypeRainbow Values (, , , , , )</v>
      </c>
    </row>
    <row r="4790" spans="7:7" x14ac:dyDescent="0.25">
      <c r="G4790" t="str">
        <f t="shared" si="176"/>
        <v>Insert into BlueCreditTypeRainbow Values (, , , , , )</v>
      </c>
    </row>
    <row r="4791" spans="7:7" x14ac:dyDescent="0.25">
      <c r="G4791" t="str">
        <f t="shared" si="176"/>
        <v>Insert into BlueCreditTypeRainbow Values (, , , , , )</v>
      </c>
    </row>
    <row r="4792" spans="7:7" x14ac:dyDescent="0.25">
      <c r="G4792" t="str">
        <f t="shared" si="176"/>
        <v>Insert into BlueCreditTypeRainbow Values (, , , , , )</v>
      </c>
    </row>
    <row r="4793" spans="7:7" x14ac:dyDescent="0.25">
      <c r="G4793" t="str">
        <f t="shared" si="176"/>
        <v>Insert into BlueCreditTypeRainbow Values (, , , , , )</v>
      </c>
    </row>
    <row r="4794" spans="7:7" x14ac:dyDescent="0.25">
      <c r="G4794" t="str">
        <f t="shared" si="176"/>
        <v>Insert into BlueCreditTypeRainbow Values (, , , , , )</v>
      </c>
    </row>
    <row r="4795" spans="7:7" x14ac:dyDescent="0.25">
      <c r="G4795" t="str">
        <f t="shared" si="176"/>
        <v>Insert into BlueCreditTypeRainbow Values (, , , , , )</v>
      </c>
    </row>
    <row r="4796" spans="7:7" x14ac:dyDescent="0.25">
      <c r="G4796" t="str">
        <f t="shared" si="176"/>
        <v>Insert into BlueCreditTypeRainbow Values (, , , , , )</v>
      </c>
    </row>
    <row r="4797" spans="7:7" x14ac:dyDescent="0.25">
      <c r="G4797" t="str">
        <f t="shared" si="176"/>
        <v>Insert into BlueCreditTypeRainbow Values (, , , , , )</v>
      </c>
    </row>
    <row r="4798" spans="7:7" x14ac:dyDescent="0.25">
      <c r="G4798" t="str">
        <f t="shared" si="176"/>
        <v>Insert into BlueCreditTypeRainbow Values (, , , , , )</v>
      </c>
    </row>
    <row r="4799" spans="7:7" x14ac:dyDescent="0.25">
      <c r="G4799" t="str">
        <f t="shared" si="176"/>
        <v>Insert into BlueCreditTypeRainbow Values (, , , , , )</v>
      </c>
    </row>
    <row r="4800" spans="7:7" x14ac:dyDescent="0.25">
      <c r="G4800" t="str">
        <f t="shared" si="176"/>
        <v>Insert into BlueCreditTypeRainbow Values (, , , , , )</v>
      </c>
    </row>
    <row r="4801" spans="7:7" x14ac:dyDescent="0.25">
      <c r="G4801" t="str">
        <f t="shared" si="176"/>
        <v>Insert into BlueCreditTypeRainbow Values (, , , , , )</v>
      </c>
    </row>
    <row r="4802" spans="7:7" x14ac:dyDescent="0.25">
      <c r="G4802" t="str">
        <f t="shared" si="176"/>
        <v>Insert into BlueCreditTypeRainbow Values (, , , , , )</v>
      </c>
    </row>
    <row r="4803" spans="7:7" x14ac:dyDescent="0.25">
      <c r="G4803" t="str">
        <f t="shared" si="176"/>
        <v>Insert into BlueCreditTypeRainbow Values (, , , , , )</v>
      </c>
    </row>
    <row r="4804" spans="7:7" x14ac:dyDescent="0.25">
      <c r="G4804" t="str">
        <f t="shared" si="176"/>
        <v>Insert into BlueCreditTypeRainbow Values (, , , , , )</v>
      </c>
    </row>
    <row r="4805" spans="7:7" x14ac:dyDescent="0.25">
      <c r="G4805" t="str">
        <f t="shared" si="176"/>
        <v>Insert into BlueCreditTypeRainbow Values (, , , , , )</v>
      </c>
    </row>
    <row r="4806" spans="7:7" x14ac:dyDescent="0.25">
      <c r="G4806" t="str">
        <f t="shared" si="176"/>
        <v>Insert into BlueCreditTypeRainbow Values (, , , , , )</v>
      </c>
    </row>
    <row r="4807" spans="7:7" x14ac:dyDescent="0.25">
      <c r="G4807" t="str">
        <f t="shared" si="176"/>
        <v>Insert into BlueCreditTypeRainbow Values (, , , , , )</v>
      </c>
    </row>
    <row r="4808" spans="7:7" x14ac:dyDescent="0.25">
      <c r="G4808" t="str">
        <f t="shared" si="176"/>
        <v>Insert into BlueCreditTypeRainbow Values (, , , , , )</v>
      </c>
    </row>
    <row r="4809" spans="7:7" x14ac:dyDescent="0.25">
      <c r="G4809" t="str">
        <f t="shared" si="176"/>
        <v>Insert into BlueCreditTypeRainbow Values (, , , , , )</v>
      </c>
    </row>
    <row r="4810" spans="7:7" x14ac:dyDescent="0.25">
      <c r="G4810" t="str">
        <f t="shared" si="176"/>
        <v>Insert into BlueCreditTypeRainbow Values (, , , , , )</v>
      </c>
    </row>
    <row r="4811" spans="7:7" x14ac:dyDescent="0.25">
      <c r="G4811" t="str">
        <f t="shared" si="176"/>
        <v>Insert into BlueCreditTypeRainbow Values (, , , , , )</v>
      </c>
    </row>
    <row r="4812" spans="7:7" x14ac:dyDescent="0.25">
      <c r="G4812" t="str">
        <f t="shared" si="176"/>
        <v>Insert into BlueCreditTypeRainbow Values (, , , , , )</v>
      </c>
    </row>
    <row r="4813" spans="7:7" x14ac:dyDescent="0.25">
      <c r="G4813" t="str">
        <f t="shared" si="176"/>
        <v>Insert into BlueCreditTypeRainbow Values (, , , , , )</v>
      </c>
    </row>
    <row r="4814" spans="7:7" x14ac:dyDescent="0.25">
      <c r="G4814" t="str">
        <f t="shared" si="176"/>
        <v>Insert into BlueCreditTypeRainbow Values (, , , , , )</v>
      </c>
    </row>
    <row r="4815" spans="7:7" x14ac:dyDescent="0.25">
      <c r="G4815" t="str">
        <f t="shared" ref="G4815:G4878" si="177">CONCATENATE("Insert into BlueCreditTypeRainbow Values (",A4815,", ",B4815,", ",C4815,", ",D4815,", ",E4815,", ",F4815,")")</f>
        <v>Insert into BlueCreditTypeRainbow Values (, , , , , )</v>
      </c>
    </row>
    <row r="4816" spans="7:7" x14ac:dyDescent="0.25">
      <c r="G4816" t="str">
        <f t="shared" si="177"/>
        <v>Insert into BlueCreditTypeRainbow Values (, , , , , )</v>
      </c>
    </row>
    <row r="4817" spans="7:7" x14ac:dyDescent="0.25">
      <c r="G4817" t="str">
        <f t="shared" si="177"/>
        <v>Insert into BlueCreditTypeRainbow Values (, , , , , )</v>
      </c>
    </row>
    <row r="4818" spans="7:7" x14ac:dyDescent="0.25">
      <c r="G4818" t="str">
        <f t="shared" si="177"/>
        <v>Insert into BlueCreditTypeRainbow Values (, , , , , )</v>
      </c>
    </row>
    <row r="4819" spans="7:7" x14ac:dyDescent="0.25">
      <c r="G4819" t="str">
        <f t="shared" si="177"/>
        <v>Insert into BlueCreditTypeRainbow Values (, , , , , )</v>
      </c>
    </row>
    <row r="4820" spans="7:7" x14ac:dyDescent="0.25">
      <c r="G4820" t="str">
        <f t="shared" si="177"/>
        <v>Insert into BlueCreditTypeRainbow Values (, , , , , )</v>
      </c>
    </row>
    <row r="4821" spans="7:7" x14ac:dyDescent="0.25">
      <c r="G4821" t="str">
        <f t="shared" si="177"/>
        <v>Insert into BlueCreditTypeRainbow Values (, , , , , )</v>
      </c>
    </row>
    <row r="4822" spans="7:7" x14ac:dyDescent="0.25">
      <c r="G4822" t="str">
        <f t="shared" si="177"/>
        <v>Insert into BlueCreditTypeRainbow Values (, , , , , )</v>
      </c>
    </row>
    <row r="4823" spans="7:7" x14ac:dyDescent="0.25">
      <c r="G4823" t="str">
        <f t="shared" si="177"/>
        <v>Insert into BlueCreditTypeRainbow Values (, , , , , )</v>
      </c>
    </row>
    <row r="4824" spans="7:7" x14ac:dyDescent="0.25">
      <c r="G4824" t="str">
        <f t="shared" si="177"/>
        <v>Insert into BlueCreditTypeRainbow Values (, , , , , )</v>
      </c>
    </row>
    <row r="4825" spans="7:7" x14ac:dyDescent="0.25">
      <c r="G4825" t="str">
        <f t="shared" si="177"/>
        <v>Insert into BlueCreditTypeRainbow Values (, , , , , )</v>
      </c>
    </row>
    <row r="4826" spans="7:7" x14ac:dyDescent="0.25">
      <c r="G4826" t="str">
        <f t="shared" si="177"/>
        <v>Insert into BlueCreditTypeRainbow Values (, , , , , )</v>
      </c>
    </row>
    <row r="4827" spans="7:7" x14ac:dyDescent="0.25">
      <c r="G4827" t="str">
        <f t="shared" si="177"/>
        <v>Insert into BlueCreditTypeRainbow Values (, , , , , )</v>
      </c>
    </row>
    <row r="4828" spans="7:7" x14ac:dyDescent="0.25">
      <c r="G4828" t="str">
        <f t="shared" si="177"/>
        <v>Insert into BlueCreditTypeRainbow Values (, , , , , )</v>
      </c>
    </row>
    <row r="4829" spans="7:7" x14ac:dyDescent="0.25">
      <c r="G4829" t="str">
        <f t="shared" si="177"/>
        <v>Insert into BlueCreditTypeRainbow Values (, , , , , )</v>
      </c>
    </row>
    <row r="4830" spans="7:7" x14ac:dyDescent="0.25">
      <c r="G4830" t="str">
        <f t="shared" si="177"/>
        <v>Insert into BlueCreditTypeRainbow Values (, , , , , )</v>
      </c>
    </row>
    <row r="4831" spans="7:7" x14ac:dyDescent="0.25">
      <c r="G4831" t="str">
        <f t="shared" si="177"/>
        <v>Insert into BlueCreditTypeRainbow Values (, , , , , )</v>
      </c>
    </row>
    <row r="4832" spans="7:7" x14ac:dyDescent="0.25">
      <c r="G4832" t="str">
        <f t="shared" si="177"/>
        <v>Insert into BlueCreditTypeRainbow Values (, , , , , )</v>
      </c>
    </row>
    <row r="4833" spans="7:7" x14ac:dyDescent="0.25">
      <c r="G4833" t="str">
        <f t="shared" si="177"/>
        <v>Insert into BlueCreditTypeRainbow Values (, , , , , )</v>
      </c>
    </row>
    <row r="4834" spans="7:7" x14ac:dyDescent="0.25">
      <c r="G4834" t="str">
        <f t="shared" si="177"/>
        <v>Insert into BlueCreditTypeRainbow Values (, , , , , )</v>
      </c>
    </row>
    <row r="4835" spans="7:7" x14ac:dyDescent="0.25">
      <c r="G4835" t="str">
        <f t="shared" si="177"/>
        <v>Insert into BlueCreditTypeRainbow Values (, , , , , )</v>
      </c>
    </row>
    <row r="4836" spans="7:7" x14ac:dyDescent="0.25">
      <c r="G4836" t="str">
        <f t="shared" si="177"/>
        <v>Insert into BlueCreditTypeRainbow Values (, , , , , )</v>
      </c>
    </row>
    <row r="4837" spans="7:7" x14ac:dyDescent="0.25">
      <c r="G4837" t="str">
        <f t="shared" si="177"/>
        <v>Insert into BlueCreditTypeRainbow Values (, , , , , )</v>
      </c>
    </row>
    <row r="4838" spans="7:7" x14ac:dyDescent="0.25">
      <c r="G4838" t="str">
        <f t="shared" si="177"/>
        <v>Insert into BlueCreditTypeRainbow Values (, , , , , )</v>
      </c>
    </row>
    <row r="4839" spans="7:7" x14ac:dyDescent="0.25">
      <c r="G4839" t="str">
        <f t="shared" si="177"/>
        <v>Insert into BlueCreditTypeRainbow Values (, , , , , )</v>
      </c>
    </row>
    <row r="4840" spans="7:7" x14ac:dyDescent="0.25">
      <c r="G4840" t="str">
        <f t="shared" si="177"/>
        <v>Insert into BlueCreditTypeRainbow Values (, , , , , )</v>
      </c>
    </row>
    <row r="4841" spans="7:7" x14ac:dyDescent="0.25">
      <c r="G4841" t="str">
        <f t="shared" si="177"/>
        <v>Insert into BlueCreditTypeRainbow Values (, , , , , )</v>
      </c>
    </row>
    <row r="4842" spans="7:7" x14ac:dyDescent="0.25">
      <c r="G4842" t="str">
        <f t="shared" si="177"/>
        <v>Insert into BlueCreditTypeRainbow Values (, , , , , )</v>
      </c>
    </row>
    <row r="4843" spans="7:7" x14ac:dyDescent="0.25">
      <c r="G4843" t="str">
        <f t="shared" si="177"/>
        <v>Insert into BlueCreditTypeRainbow Values (, , , , , )</v>
      </c>
    </row>
    <row r="4844" spans="7:7" x14ac:dyDescent="0.25">
      <c r="G4844" t="str">
        <f t="shared" si="177"/>
        <v>Insert into BlueCreditTypeRainbow Values (, , , , , )</v>
      </c>
    </row>
    <row r="4845" spans="7:7" x14ac:dyDescent="0.25">
      <c r="G4845" t="str">
        <f t="shared" si="177"/>
        <v>Insert into BlueCreditTypeRainbow Values (, , , , , )</v>
      </c>
    </row>
    <row r="4846" spans="7:7" x14ac:dyDescent="0.25">
      <c r="G4846" t="str">
        <f t="shared" si="177"/>
        <v>Insert into BlueCreditTypeRainbow Values (, , , , , )</v>
      </c>
    </row>
    <row r="4847" spans="7:7" x14ac:dyDescent="0.25">
      <c r="G4847" t="str">
        <f t="shared" si="177"/>
        <v>Insert into BlueCreditTypeRainbow Values (, , , , , )</v>
      </c>
    </row>
    <row r="4848" spans="7:7" x14ac:dyDescent="0.25">
      <c r="G4848" t="str">
        <f t="shared" si="177"/>
        <v>Insert into BlueCreditTypeRainbow Values (, , , , , )</v>
      </c>
    </row>
    <row r="4849" spans="7:7" x14ac:dyDescent="0.25">
      <c r="G4849" t="str">
        <f t="shared" si="177"/>
        <v>Insert into BlueCreditTypeRainbow Values (, , , , , )</v>
      </c>
    </row>
    <row r="4850" spans="7:7" x14ac:dyDescent="0.25">
      <c r="G4850" t="str">
        <f t="shared" si="177"/>
        <v>Insert into BlueCreditTypeRainbow Values (, , , , , )</v>
      </c>
    </row>
    <row r="4851" spans="7:7" x14ac:dyDescent="0.25">
      <c r="G4851" t="str">
        <f t="shared" si="177"/>
        <v>Insert into BlueCreditTypeRainbow Values (, , , , , )</v>
      </c>
    </row>
    <row r="4852" spans="7:7" x14ac:dyDescent="0.25">
      <c r="G4852" t="str">
        <f t="shared" si="177"/>
        <v>Insert into BlueCreditTypeRainbow Values (, , , , , )</v>
      </c>
    </row>
    <row r="4853" spans="7:7" x14ac:dyDescent="0.25">
      <c r="G4853" t="str">
        <f t="shared" si="177"/>
        <v>Insert into BlueCreditTypeRainbow Values (, , , , , )</v>
      </c>
    </row>
    <row r="4854" spans="7:7" x14ac:dyDescent="0.25">
      <c r="G4854" t="str">
        <f t="shared" si="177"/>
        <v>Insert into BlueCreditTypeRainbow Values (, , , , , )</v>
      </c>
    </row>
    <row r="4855" spans="7:7" x14ac:dyDescent="0.25">
      <c r="G4855" t="str">
        <f t="shared" si="177"/>
        <v>Insert into BlueCreditTypeRainbow Values (, , , , , )</v>
      </c>
    </row>
    <row r="4856" spans="7:7" x14ac:dyDescent="0.25">
      <c r="G4856" t="str">
        <f t="shared" si="177"/>
        <v>Insert into BlueCreditTypeRainbow Values (, , , , , )</v>
      </c>
    </row>
    <row r="4857" spans="7:7" x14ac:dyDescent="0.25">
      <c r="G4857" t="str">
        <f t="shared" si="177"/>
        <v>Insert into BlueCreditTypeRainbow Values (, , , , , )</v>
      </c>
    </row>
    <row r="4858" spans="7:7" x14ac:dyDescent="0.25">
      <c r="G4858" t="str">
        <f t="shared" si="177"/>
        <v>Insert into BlueCreditTypeRainbow Values (, , , , , )</v>
      </c>
    </row>
    <row r="4859" spans="7:7" x14ac:dyDescent="0.25">
      <c r="G4859" t="str">
        <f t="shared" si="177"/>
        <v>Insert into BlueCreditTypeRainbow Values (, , , , , )</v>
      </c>
    </row>
    <row r="4860" spans="7:7" x14ac:dyDescent="0.25">
      <c r="G4860" t="str">
        <f t="shared" si="177"/>
        <v>Insert into BlueCreditTypeRainbow Values (, , , , , )</v>
      </c>
    </row>
    <row r="4861" spans="7:7" x14ac:dyDescent="0.25">
      <c r="G4861" t="str">
        <f t="shared" si="177"/>
        <v>Insert into BlueCreditTypeRainbow Values (, , , , , )</v>
      </c>
    </row>
    <row r="4862" spans="7:7" x14ac:dyDescent="0.25">
      <c r="G4862" t="str">
        <f t="shared" si="177"/>
        <v>Insert into BlueCreditTypeRainbow Values (, , , , , )</v>
      </c>
    </row>
    <row r="4863" spans="7:7" x14ac:dyDescent="0.25">
      <c r="G4863" t="str">
        <f t="shared" si="177"/>
        <v>Insert into BlueCreditTypeRainbow Values (, , , , , )</v>
      </c>
    </row>
    <row r="4864" spans="7:7" x14ac:dyDescent="0.25">
      <c r="G4864" t="str">
        <f t="shared" si="177"/>
        <v>Insert into BlueCreditTypeRainbow Values (, , , , , )</v>
      </c>
    </row>
    <row r="4865" spans="7:7" x14ac:dyDescent="0.25">
      <c r="G4865" t="str">
        <f t="shared" si="177"/>
        <v>Insert into BlueCreditTypeRainbow Values (, , , , , )</v>
      </c>
    </row>
    <row r="4866" spans="7:7" x14ac:dyDescent="0.25">
      <c r="G4866" t="str">
        <f t="shared" si="177"/>
        <v>Insert into BlueCreditTypeRainbow Values (, , , , , )</v>
      </c>
    </row>
    <row r="4867" spans="7:7" x14ac:dyDescent="0.25">
      <c r="G4867" t="str">
        <f t="shared" si="177"/>
        <v>Insert into BlueCreditTypeRainbow Values (, , , , , )</v>
      </c>
    </row>
    <row r="4868" spans="7:7" x14ac:dyDescent="0.25">
      <c r="G4868" t="str">
        <f t="shared" si="177"/>
        <v>Insert into BlueCreditTypeRainbow Values (, , , , , )</v>
      </c>
    </row>
    <row r="4869" spans="7:7" x14ac:dyDescent="0.25">
      <c r="G4869" t="str">
        <f t="shared" si="177"/>
        <v>Insert into BlueCreditTypeRainbow Values (, , , , , )</v>
      </c>
    </row>
    <row r="4870" spans="7:7" x14ac:dyDescent="0.25">
      <c r="G4870" t="str">
        <f t="shared" si="177"/>
        <v>Insert into BlueCreditTypeRainbow Values (, , , , , )</v>
      </c>
    </row>
    <row r="4871" spans="7:7" x14ac:dyDescent="0.25">
      <c r="G4871" t="str">
        <f t="shared" si="177"/>
        <v>Insert into BlueCreditTypeRainbow Values (, , , , , )</v>
      </c>
    </row>
    <row r="4872" spans="7:7" x14ac:dyDescent="0.25">
      <c r="G4872" t="str">
        <f t="shared" si="177"/>
        <v>Insert into BlueCreditTypeRainbow Values (, , , , , )</v>
      </c>
    </row>
    <row r="4873" spans="7:7" x14ac:dyDescent="0.25">
      <c r="G4873" t="str">
        <f t="shared" si="177"/>
        <v>Insert into BlueCreditTypeRainbow Values (, , , , , )</v>
      </c>
    </row>
    <row r="4874" spans="7:7" x14ac:dyDescent="0.25">
      <c r="G4874" t="str">
        <f t="shared" si="177"/>
        <v>Insert into BlueCreditTypeRainbow Values (, , , , , )</v>
      </c>
    </row>
    <row r="4875" spans="7:7" x14ac:dyDescent="0.25">
      <c r="G4875" t="str">
        <f t="shared" si="177"/>
        <v>Insert into BlueCreditTypeRainbow Values (, , , , , )</v>
      </c>
    </row>
    <row r="4876" spans="7:7" x14ac:dyDescent="0.25">
      <c r="G4876" t="str">
        <f t="shared" si="177"/>
        <v>Insert into BlueCreditTypeRainbow Values (, , , , , )</v>
      </c>
    </row>
    <row r="4877" spans="7:7" x14ac:dyDescent="0.25">
      <c r="G4877" t="str">
        <f t="shared" si="177"/>
        <v>Insert into BlueCreditTypeRainbow Values (, , , , , )</v>
      </c>
    </row>
    <row r="4878" spans="7:7" x14ac:dyDescent="0.25">
      <c r="G4878" t="str">
        <f t="shared" si="177"/>
        <v>Insert into BlueCreditTypeRainbow Values (, , , , , )</v>
      </c>
    </row>
    <row r="4879" spans="7:7" x14ac:dyDescent="0.25">
      <c r="G4879" t="str">
        <f t="shared" ref="G4879:G4942" si="178">CONCATENATE("Insert into BlueCreditTypeRainbow Values (",A4879,", ",B4879,", ",C4879,", ",D4879,", ",E4879,", ",F4879,")")</f>
        <v>Insert into BlueCreditTypeRainbow Values (, , , , , )</v>
      </c>
    </row>
    <row r="4880" spans="7:7" x14ac:dyDescent="0.25">
      <c r="G4880" t="str">
        <f t="shared" si="178"/>
        <v>Insert into BlueCreditTypeRainbow Values (, , , , , )</v>
      </c>
    </row>
    <row r="4881" spans="7:7" x14ac:dyDescent="0.25">
      <c r="G4881" t="str">
        <f t="shared" si="178"/>
        <v>Insert into BlueCreditTypeRainbow Values (, , , , , )</v>
      </c>
    </row>
    <row r="4882" spans="7:7" x14ac:dyDescent="0.25">
      <c r="G4882" t="str">
        <f t="shared" si="178"/>
        <v>Insert into BlueCreditTypeRainbow Values (, , , , , )</v>
      </c>
    </row>
    <row r="4883" spans="7:7" x14ac:dyDescent="0.25">
      <c r="G4883" t="str">
        <f t="shared" si="178"/>
        <v>Insert into BlueCreditTypeRainbow Values (, , , , , )</v>
      </c>
    </row>
    <row r="4884" spans="7:7" x14ac:dyDescent="0.25">
      <c r="G4884" t="str">
        <f t="shared" si="178"/>
        <v>Insert into BlueCreditTypeRainbow Values (, , , , , )</v>
      </c>
    </row>
    <row r="4885" spans="7:7" x14ac:dyDescent="0.25">
      <c r="G4885" t="str">
        <f t="shared" si="178"/>
        <v>Insert into BlueCreditTypeRainbow Values (, , , , , )</v>
      </c>
    </row>
    <row r="4886" spans="7:7" x14ac:dyDescent="0.25">
      <c r="G4886" t="str">
        <f t="shared" si="178"/>
        <v>Insert into BlueCreditTypeRainbow Values (, , , , , )</v>
      </c>
    </row>
    <row r="4887" spans="7:7" x14ac:dyDescent="0.25">
      <c r="G4887" t="str">
        <f t="shared" si="178"/>
        <v>Insert into BlueCreditTypeRainbow Values (, , , , , )</v>
      </c>
    </row>
    <row r="4888" spans="7:7" x14ac:dyDescent="0.25">
      <c r="G4888" t="str">
        <f t="shared" si="178"/>
        <v>Insert into BlueCreditTypeRainbow Values (, , , , , )</v>
      </c>
    </row>
    <row r="4889" spans="7:7" x14ac:dyDescent="0.25">
      <c r="G4889" t="str">
        <f t="shared" si="178"/>
        <v>Insert into BlueCreditTypeRainbow Values (, , , , , )</v>
      </c>
    </row>
    <row r="4890" spans="7:7" x14ac:dyDescent="0.25">
      <c r="G4890" t="str">
        <f t="shared" si="178"/>
        <v>Insert into BlueCreditTypeRainbow Values (, , , , , )</v>
      </c>
    </row>
    <row r="4891" spans="7:7" x14ac:dyDescent="0.25">
      <c r="G4891" t="str">
        <f t="shared" si="178"/>
        <v>Insert into BlueCreditTypeRainbow Values (, , , , , )</v>
      </c>
    </row>
    <row r="4892" spans="7:7" x14ac:dyDescent="0.25">
      <c r="G4892" t="str">
        <f t="shared" si="178"/>
        <v>Insert into BlueCreditTypeRainbow Values (, , , , , )</v>
      </c>
    </row>
    <row r="4893" spans="7:7" x14ac:dyDescent="0.25">
      <c r="G4893" t="str">
        <f t="shared" si="178"/>
        <v>Insert into BlueCreditTypeRainbow Values (, , , , , )</v>
      </c>
    </row>
    <row r="4894" spans="7:7" x14ac:dyDescent="0.25">
      <c r="G4894" t="str">
        <f t="shared" si="178"/>
        <v>Insert into BlueCreditTypeRainbow Values (, , , , , )</v>
      </c>
    </row>
    <row r="4895" spans="7:7" x14ac:dyDescent="0.25">
      <c r="G4895" t="str">
        <f t="shared" si="178"/>
        <v>Insert into BlueCreditTypeRainbow Values (, , , , , )</v>
      </c>
    </row>
    <row r="4896" spans="7:7" x14ac:dyDescent="0.25">
      <c r="G4896" t="str">
        <f t="shared" si="178"/>
        <v>Insert into BlueCreditTypeRainbow Values (, , , , , )</v>
      </c>
    </row>
    <row r="4897" spans="7:7" x14ac:dyDescent="0.25">
      <c r="G4897" t="str">
        <f t="shared" si="178"/>
        <v>Insert into BlueCreditTypeRainbow Values (, , , , , )</v>
      </c>
    </row>
    <row r="4898" spans="7:7" x14ac:dyDescent="0.25">
      <c r="G4898" t="str">
        <f t="shared" si="178"/>
        <v>Insert into BlueCreditTypeRainbow Values (, , , , , )</v>
      </c>
    </row>
    <row r="4899" spans="7:7" x14ac:dyDescent="0.25">
      <c r="G4899" t="str">
        <f t="shared" si="178"/>
        <v>Insert into BlueCreditTypeRainbow Values (, , , , , )</v>
      </c>
    </row>
    <row r="4900" spans="7:7" x14ac:dyDescent="0.25">
      <c r="G4900" t="str">
        <f t="shared" si="178"/>
        <v>Insert into BlueCreditTypeRainbow Values (, , , , , )</v>
      </c>
    </row>
    <row r="4901" spans="7:7" x14ac:dyDescent="0.25">
      <c r="G4901" t="str">
        <f t="shared" si="178"/>
        <v>Insert into BlueCreditTypeRainbow Values (, , , , , )</v>
      </c>
    </row>
    <row r="4902" spans="7:7" x14ac:dyDescent="0.25">
      <c r="G4902" t="str">
        <f t="shared" si="178"/>
        <v>Insert into BlueCreditTypeRainbow Values (, , , , , )</v>
      </c>
    </row>
    <row r="4903" spans="7:7" x14ac:dyDescent="0.25">
      <c r="G4903" t="str">
        <f t="shared" si="178"/>
        <v>Insert into BlueCreditTypeRainbow Values (, , , , , )</v>
      </c>
    </row>
    <row r="4904" spans="7:7" x14ac:dyDescent="0.25">
      <c r="G4904" t="str">
        <f t="shared" si="178"/>
        <v>Insert into BlueCreditTypeRainbow Values (, , , , , )</v>
      </c>
    </row>
    <row r="4905" spans="7:7" x14ac:dyDescent="0.25">
      <c r="G4905" t="str">
        <f t="shared" si="178"/>
        <v>Insert into BlueCreditTypeRainbow Values (, , , , , )</v>
      </c>
    </row>
    <row r="4906" spans="7:7" x14ac:dyDescent="0.25">
      <c r="G4906" t="str">
        <f t="shared" si="178"/>
        <v>Insert into BlueCreditTypeRainbow Values (, , , , , )</v>
      </c>
    </row>
    <row r="4907" spans="7:7" x14ac:dyDescent="0.25">
      <c r="G4907" t="str">
        <f t="shared" si="178"/>
        <v>Insert into BlueCreditTypeRainbow Values (, , , , , )</v>
      </c>
    </row>
    <row r="4908" spans="7:7" x14ac:dyDescent="0.25">
      <c r="G4908" t="str">
        <f t="shared" si="178"/>
        <v>Insert into BlueCreditTypeRainbow Values (, , , , , )</v>
      </c>
    </row>
    <row r="4909" spans="7:7" x14ac:dyDescent="0.25">
      <c r="G4909" t="str">
        <f t="shared" si="178"/>
        <v>Insert into BlueCreditTypeRainbow Values (, , , , , )</v>
      </c>
    </row>
    <row r="4910" spans="7:7" x14ac:dyDescent="0.25">
      <c r="G4910" t="str">
        <f t="shared" si="178"/>
        <v>Insert into BlueCreditTypeRainbow Values (, , , , , )</v>
      </c>
    </row>
    <row r="4911" spans="7:7" x14ac:dyDescent="0.25">
      <c r="G4911" t="str">
        <f t="shared" si="178"/>
        <v>Insert into BlueCreditTypeRainbow Values (, , , , , )</v>
      </c>
    </row>
    <row r="4912" spans="7:7" x14ac:dyDescent="0.25">
      <c r="G4912" t="str">
        <f t="shared" si="178"/>
        <v>Insert into BlueCreditTypeRainbow Values (, , , , , )</v>
      </c>
    </row>
    <row r="4913" spans="7:7" x14ac:dyDescent="0.25">
      <c r="G4913" t="str">
        <f t="shared" si="178"/>
        <v>Insert into BlueCreditTypeRainbow Values (, , , , , )</v>
      </c>
    </row>
    <row r="4914" spans="7:7" x14ac:dyDescent="0.25">
      <c r="G4914" t="str">
        <f t="shared" si="178"/>
        <v>Insert into BlueCreditTypeRainbow Values (, , , , , )</v>
      </c>
    </row>
    <row r="4915" spans="7:7" x14ac:dyDescent="0.25">
      <c r="G4915" t="str">
        <f t="shared" si="178"/>
        <v>Insert into BlueCreditTypeRainbow Values (, , , , , )</v>
      </c>
    </row>
    <row r="4916" spans="7:7" x14ac:dyDescent="0.25">
      <c r="G4916" t="str">
        <f t="shared" si="178"/>
        <v>Insert into BlueCreditTypeRainbow Values (, , , , , )</v>
      </c>
    </row>
    <row r="4917" spans="7:7" x14ac:dyDescent="0.25">
      <c r="G4917" t="str">
        <f t="shared" si="178"/>
        <v>Insert into BlueCreditTypeRainbow Values (, , , , , )</v>
      </c>
    </row>
    <row r="4918" spans="7:7" x14ac:dyDescent="0.25">
      <c r="G4918" t="str">
        <f t="shared" si="178"/>
        <v>Insert into BlueCreditTypeRainbow Values (, , , , , )</v>
      </c>
    </row>
    <row r="4919" spans="7:7" x14ac:dyDescent="0.25">
      <c r="G4919" t="str">
        <f t="shared" si="178"/>
        <v>Insert into BlueCreditTypeRainbow Values (, , , , , )</v>
      </c>
    </row>
    <row r="4920" spans="7:7" x14ac:dyDescent="0.25">
      <c r="G4920" t="str">
        <f t="shared" si="178"/>
        <v>Insert into BlueCreditTypeRainbow Values (, , , , , )</v>
      </c>
    </row>
    <row r="4921" spans="7:7" x14ac:dyDescent="0.25">
      <c r="G4921" t="str">
        <f t="shared" si="178"/>
        <v>Insert into BlueCreditTypeRainbow Values (, , , , , )</v>
      </c>
    </row>
    <row r="4922" spans="7:7" x14ac:dyDescent="0.25">
      <c r="G4922" t="str">
        <f t="shared" si="178"/>
        <v>Insert into BlueCreditTypeRainbow Values (, , , , , )</v>
      </c>
    </row>
    <row r="4923" spans="7:7" x14ac:dyDescent="0.25">
      <c r="G4923" t="str">
        <f t="shared" si="178"/>
        <v>Insert into BlueCreditTypeRainbow Values (, , , , , )</v>
      </c>
    </row>
    <row r="4924" spans="7:7" x14ac:dyDescent="0.25">
      <c r="G4924" t="str">
        <f t="shared" si="178"/>
        <v>Insert into BlueCreditTypeRainbow Values (, , , , , )</v>
      </c>
    </row>
    <row r="4925" spans="7:7" x14ac:dyDescent="0.25">
      <c r="G4925" t="str">
        <f t="shared" si="178"/>
        <v>Insert into BlueCreditTypeRainbow Values (, , , , , )</v>
      </c>
    </row>
    <row r="4926" spans="7:7" x14ac:dyDescent="0.25">
      <c r="G4926" t="str">
        <f t="shared" si="178"/>
        <v>Insert into BlueCreditTypeRainbow Values (, , , , , )</v>
      </c>
    </row>
    <row r="4927" spans="7:7" x14ac:dyDescent="0.25">
      <c r="G4927" t="str">
        <f t="shared" si="178"/>
        <v>Insert into BlueCreditTypeRainbow Values (, , , , , )</v>
      </c>
    </row>
    <row r="4928" spans="7:7" x14ac:dyDescent="0.25">
      <c r="G4928" t="str">
        <f t="shared" si="178"/>
        <v>Insert into BlueCreditTypeRainbow Values (, , , , , )</v>
      </c>
    </row>
    <row r="4929" spans="7:7" x14ac:dyDescent="0.25">
      <c r="G4929" t="str">
        <f t="shared" si="178"/>
        <v>Insert into BlueCreditTypeRainbow Values (, , , , , )</v>
      </c>
    </row>
    <row r="4930" spans="7:7" x14ac:dyDescent="0.25">
      <c r="G4930" t="str">
        <f t="shared" si="178"/>
        <v>Insert into BlueCreditTypeRainbow Values (, , , , , )</v>
      </c>
    </row>
    <row r="4931" spans="7:7" x14ac:dyDescent="0.25">
      <c r="G4931" t="str">
        <f t="shared" si="178"/>
        <v>Insert into BlueCreditTypeRainbow Values (, , , , , )</v>
      </c>
    </row>
    <row r="4932" spans="7:7" x14ac:dyDescent="0.25">
      <c r="G4932" t="str">
        <f t="shared" si="178"/>
        <v>Insert into BlueCreditTypeRainbow Values (, , , , , )</v>
      </c>
    </row>
    <row r="4933" spans="7:7" x14ac:dyDescent="0.25">
      <c r="G4933" t="str">
        <f t="shared" si="178"/>
        <v>Insert into BlueCreditTypeRainbow Values (, , , , , )</v>
      </c>
    </row>
    <row r="4934" spans="7:7" x14ac:dyDescent="0.25">
      <c r="G4934" t="str">
        <f t="shared" si="178"/>
        <v>Insert into BlueCreditTypeRainbow Values (, , , , , )</v>
      </c>
    </row>
    <row r="4935" spans="7:7" x14ac:dyDescent="0.25">
      <c r="G4935" t="str">
        <f t="shared" si="178"/>
        <v>Insert into BlueCreditTypeRainbow Values (, , , , , )</v>
      </c>
    </row>
    <row r="4936" spans="7:7" x14ac:dyDescent="0.25">
      <c r="G4936" t="str">
        <f t="shared" si="178"/>
        <v>Insert into BlueCreditTypeRainbow Values (, , , , , )</v>
      </c>
    </row>
    <row r="4937" spans="7:7" x14ac:dyDescent="0.25">
      <c r="G4937" t="str">
        <f t="shared" si="178"/>
        <v>Insert into BlueCreditTypeRainbow Values (, , , , , )</v>
      </c>
    </row>
    <row r="4938" spans="7:7" x14ac:dyDescent="0.25">
      <c r="G4938" t="str">
        <f t="shared" si="178"/>
        <v>Insert into BlueCreditTypeRainbow Values (, , , , , )</v>
      </c>
    </row>
    <row r="4939" spans="7:7" x14ac:dyDescent="0.25">
      <c r="G4939" t="str">
        <f t="shared" si="178"/>
        <v>Insert into BlueCreditTypeRainbow Values (, , , , , )</v>
      </c>
    </row>
    <row r="4940" spans="7:7" x14ac:dyDescent="0.25">
      <c r="G4940" t="str">
        <f t="shared" si="178"/>
        <v>Insert into BlueCreditTypeRainbow Values (, , , , , )</v>
      </c>
    </row>
    <row r="4941" spans="7:7" x14ac:dyDescent="0.25">
      <c r="G4941" t="str">
        <f t="shared" si="178"/>
        <v>Insert into BlueCreditTypeRainbow Values (, , , , , )</v>
      </c>
    </row>
    <row r="4942" spans="7:7" x14ac:dyDescent="0.25">
      <c r="G4942" t="str">
        <f t="shared" si="178"/>
        <v>Insert into BlueCreditTypeRainbow Values (, , , , , )</v>
      </c>
    </row>
    <row r="4943" spans="7:7" x14ac:dyDescent="0.25">
      <c r="G4943" t="str">
        <f t="shared" ref="G4943:G4959" si="179">CONCATENATE("Insert into BlueCreditTypeRainbow Values (",A4943,", ",B4943,", ",C4943,", ",D4943,", ",E4943,", ",F4943,")")</f>
        <v>Insert into BlueCreditTypeRainbow Values (, , , , , )</v>
      </c>
    </row>
    <row r="4944" spans="7:7" x14ac:dyDescent="0.25">
      <c r="G4944" t="str">
        <f t="shared" si="179"/>
        <v>Insert into BlueCreditTypeRainbow Values (, , , , , )</v>
      </c>
    </row>
    <row r="4945" spans="7:7" x14ac:dyDescent="0.25">
      <c r="G4945" t="str">
        <f t="shared" si="179"/>
        <v>Insert into BlueCreditTypeRainbow Values (, , , , , )</v>
      </c>
    </row>
    <row r="4946" spans="7:7" x14ac:dyDescent="0.25">
      <c r="G4946" t="str">
        <f t="shared" si="179"/>
        <v>Insert into BlueCreditTypeRainbow Values (, , , , , )</v>
      </c>
    </row>
    <row r="4947" spans="7:7" x14ac:dyDescent="0.25">
      <c r="G4947" t="str">
        <f t="shared" si="179"/>
        <v>Insert into BlueCreditTypeRainbow Values (, , , , , )</v>
      </c>
    </row>
    <row r="4948" spans="7:7" x14ac:dyDescent="0.25">
      <c r="G4948" t="str">
        <f t="shared" si="179"/>
        <v>Insert into BlueCreditTypeRainbow Values (, , , , , )</v>
      </c>
    </row>
    <row r="4949" spans="7:7" x14ac:dyDescent="0.25">
      <c r="G4949" t="str">
        <f t="shared" si="179"/>
        <v>Insert into BlueCreditTypeRainbow Values (, , , , , )</v>
      </c>
    </row>
    <row r="4950" spans="7:7" x14ac:dyDescent="0.25">
      <c r="G4950" t="str">
        <f t="shared" si="179"/>
        <v>Insert into BlueCreditTypeRainbow Values (, , , , , )</v>
      </c>
    </row>
    <row r="4951" spans="7:7" x14ac:dyDescent="0.25">
      <c r="G4951" t="str">
        <f t="shared" si="179"/>
        <v>Insert into BlueCreditTypeRainbow Values (, , , , , )</v>
      </c>
    </row>
    <row r="4952" spans="7:7" x14ac:dyDescent="0.25">
      <c r="G4952" t="str">
        <f t="shared" si="179"/>
        <v>Insert into BlueCreditTypeRainbow Values (, , , , , )</v>
      </c>
    </row>
    <row r="4953" spans="7:7" x14ac:dyDescent="0.25">
      <c r="G4953" t="str">
        <f t="shared" si="179"/>
        <v>Insert into BlueCreditTypeRainbow Values (, , , , , )</v>
      </c>
    </row>
    <row r="4954" spans="7:7" x14ac:dyDescent="0.25">
      <c r="G4954" t="str">
        <f t="shared" si="179"/>
        <v>Insert into BlueCreditTypeRainbow Values (, , , , , )</v>
      </c>
    </row>
    <row r="4955" spans="7:7" x14ac:dyDescent="0.25">
      <c r="G4955" t="str">
        <f t="shared" si="179"/>
        <v>Insert into BlueCreditTypeRainbow Values (, , , , , )</v>
      </c>
    </row>
    <row r="4956" spans="7:7" x14ac:dyDescent="0.25">
      <c r="G4956" t="str">
        <f t="shared" si="179"/>
        <v>Insert into BlueCreditTypeRainbow Values (, , , , , )</v>
      </c>
    </row>
    <row r="4957" spans="7:7" x14ac:dyDescent="0.25">
      <c r="G4957" t="str">
        <f t="shared" si="179"/>
        <v>Insert into BlueCreditTypeRainbow Values (, , , , , )</v>
      </c>
    </row>
    <row r="4958" spans="7:7" x14ac:dyDescent="0.25">
      <c r="G4958" t="str">
        <f t="shared" si="179"/>
        <v>Insert into BlueCreditTypeRainbow Values (, , , , , )</v>
      </c>
    </row>
    <row r="4959" spans="7:7" x14ac:dyDescent="0.25">
      <c r="G4959" t="str">
        <f t="shared" si="179"/>
        <v>Insert into BlueCreditTypeRainbow Values (, , , , , )</v>
      </c>
    </row>
  </sheetData>
  <mergeCells count="4">
    <mergeCell ref="T1:X1"/>
    <mergeCell ref="H1:L1"/>
    <mergeCell ref="N1:R1"/>
    <mergeCell ref="F2:G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4" r:id="rId4" name="Button 90">
              <controlPr defaultSize="0" print="0" autoFill="0" autoPict="0" macro="[0]!GoalSeek">
                <anchor moveWithCells="1" sizeWithCells="1">
                  <from>
                    <xdr:col>2</xdr:col>
                    <xdr:colOff>247650</xdr:colOff>
                    <xdr:row>0</xdr:row>
                    <xdr:rowOff>123825</xdr:rowOff>
                  </from>
                  <to>
                    <xdr:col>3</xdr:col>
                    <xdr:colOff>400050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5" name="Button 91">
              <controlPr defaultSize="0" print="0" autoFill="0" autoPict="0" macro="[0]!RainBow">
                <anchor moveWithCells="1" sizeWithCells="1">
                  <from>
                    <xdr:col>2</xdr:col>
                    <xdr:colOff>247650</xdr:colOff>
                    <xdr:row>3</xdr:row>
                    <xdr:rowOff>28575</xdr:rowOff>
                  </from>
                  <to>
                    <xdr:col>3</xdr:col>
                    <xdr:colOff>419100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6" name="Button 92">
              <controlPr defaultSize="0" print="0" autoFill="0" autoPict="0" macro="[0]!ProcessBlueCredit">
                <anchor moveWithCells="1" sizeWithCells="1">
                  <from>
                    <xdr:col>2</xdr:col>
                    <xdr:colOff>247650</xdr:colOff>
                    <xdr:row>5</xdr:row>
                    <xdr:rowOff>133350</xdr:rowOff>
                  </from>
                  <to>
                    <xdr:col>3</xdr:col>
                    <xdr:colOff>419100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2"/>
  <sheetViews>
    <sheetView zoomScaleNormal="100" workbookViewId="0">
      <selection activeCell="G7" sqref="G7"/>
    </sheetView>
  </sheetViews>
  <sheetFormatPr defaultRowHeight="15" x14ac:dyDescent="0.25"/>
  <sheetData>
    <row r="1" spans="1:7" x14ac:dyDescent="0.25">
      <c r="A1">
        <v>1</v>
      </c>
      <c r="B1">
        <f>30+A1</f>
        <v>31</v>
      </c>
      <c r="C1">
        <v>1</v>
      </c>
      <c r="D1">
        <f>B1/ROW()</f>
        <v>31</v>
      </c>
      <c r="G1" t="s">
        <v>28</v>
      </c>
    </row>
    <row r="2" spans="1:7" x14ac:dyDescent="0.25">
      <c r="A2">
        <v>0</v>
      </c>
      <c r="B2">
        <f>30+A2+B1</f>
        <v>61</v>
      </c>
      <c r="C2">
        <v>1</v>
      </c>
      <c r="D2">
        <f t="shared" ref="D2:D65" si="0">B2/ROW()</f>
        <v>30.5</v>
      </c>
      <c r="G2" t="s">
        <v>32</v>
      </c>
    </row>
    <row r="3" spans="1:7" x14ac:dyDescent="0.25">
      <c r="A3">
        <v>0</v>
      </c>
      <c r="B3">
        <f t="shared" ref="B3:B66" si="1">30+A3+B2</f>
        <v>91</v>
      </c>
      <c r="C3">
        <v>0</v>
      </c>
      <c r="D3">
        <f t="shared" si="0"/>
        <v>30.333333333333332</v>
      </c>
      <c r="G3" t="s">
        <v>29</v>
      </c>
    </row>
    <row r="4" spans="1:7" x14ac:dyDescent="0.25">
      <c r="A4">
        <v>1</v>
      </c>
      <c r="B4">
        <f t="shared" si="1"/>
        <v>122</v>
      </c>
      <c r="C4">
        <v>1</v>
      </c>
      <c r="D4">
        <f t="shared" si="0"/>
        <v>30.5</v>
      </c>
      <c r="G4" t="s">
        <v>30</v>
      </c>
    </row>
    <row r="5" spans="1:7" x14ac:dyDescent="0.25">
      <c r="A5">
        <v>0</v>
      </c>
      <c r="B5">
        <f t="shared" si="1"/>
        <v>152</v>
      </c>
      <c r="C5">
        <v>0</v>
      </c>
      <c r="D5">
        <f t="shared" si="0"/>
        <v>30.4</v>
      </c>
      <c r="G5" t="s">
        <v>31</v>
      </c>
    </row>
    <row r="6" spans="1:7" x14ac:dyDescent="0.25">
      <c r="A6">
        <v>1</v>
      </c>
      <c r="B6">
        <f t="shared" si="1"/>
        <v>183</v>
      </c>
      <c r="C6">
        <v>1</v>
      </c>
      <c r="D6">
        <f t="shared" si="0"/>
        <v>30.5</v>
      </c>
      <c r="G6" t="s">
        <v>33</v>
      </c>
    </row>
    <row r="7" spans="1:7" x14ac:dyDescent="0.25">
      <c r="A7">
        <v>1</v>
      </c>
      <c r="B7">
        <f t="shared" si="1"/>
        <v>214</v>
      </c>
      <c r="C7">
        <v>1</v>
      </c>
      <c r="D7">
        <f t="shared" si="0"/>
        <v>30.571428571428573</v>
      </c>
    </row>
    <row r="8" spans="1:7" x14ac:dyDescent="0.25">
      <c r="A8">
        <v>0</v>
      </c>
      <c r="B8">
        <f t="shared" si="1"/>
        <v>244</v>
      </c>
      <c r="C8">
        <v>0</v>
      </c>
      <c r="D8">
        <f t="shared" si="0"/>
        <v>30.5</v>
      </c>
    </row>
    <row r="9" spans="1:7" x14ac:dyDescent="0.25">
      <c r="A9">
        <v>0</v>
      </c>
      <c r="B9">
        <f t="shared" si="1"/>
        <v>274</v>
      </c>
      <c r="C9">
        <v>1</v>
      </c>
      <c r="D9">
        <f t="shared" si="0"/>
        <v>30.444444444444443</v>
      </c>
    </row>
    <row r="10" spans="1:7" x14ac:dyDescent="0.25">
      <c r="A10">
        <v>0</v>
      </c>
      <c r="B10">
        <f t="shared" si="1"/>
        <v>304</v>
      </c>
      <c r="C10">
        <v>0</v>
      </c>
      <c r="D10">
        <f t="shared" si="0"/>
        <v>30.4</v>
      </c>
    </row>
    <row r="11" spans="1:7" x14ac:dyDescent="0.25">
      <c r="A11">
        <v>1</v>
      </c>
      <c r="B11">
        <f t="shared" si="1"/>
        <v>335</v>
      </c>
      <c r="C11">
        <v>1</v>
      </c>
      <c r="D11">
        <f t="shared" si="0"/>
        <v>30.454545454545453</v>
      </c>
    </row>
    <row r="12" spans="1:7" x14ac:dyDescent="0.25">
      <c r="A12">
        <v>0</v>
      </c>
      <c r="B12">
        <f t="shared" si="1"/>
        <v>365</v>
      </c>
      <c r="C12">
        <v>0</v>
      </c>
      <c r="D12">
        <f t="shared" si="0"/>
        <v>30.416666666666668</v>
      </c>
    </row>
    <row r="13" spans="1:7" x14ac:dyDescent="0.25">
      <c r="A13">
        <v>1</v>
      </c>
      <c r="B13">
        <f t="shared" si="1"/>
        <v>396</v>
      </c>
      <c r="C13">
        <v>1</v>
      </c>
      <c r="D13">
        <f t="shared" si="0"/>
        <v>30.46153846153846</v>
      </c>
    </row>
    <row r="14" spans="1:7" x14ac:dyDescent="0.25">
      <c r="A14">
        <v>1</v>
      </c>
      <c r="B14">
        <f t="shared" si="1"/>
        <v>427</v>
      </c>
      <c r="C14">
        <v>1</v>
      </c>
      <c r="D14">
        <f t="shared" si="0"/>
        <v>30.5</v>
      </c>
    </row>
    <row r="15" spans="1:7" x14ac:dyDescent="0.25">
      <c r="A15">
        <v>0</v>
      </c>
      <c r="B15">
        <f t="shared" si="1"/>
        <v>457</v>
      </c>
      <c r="C15">
        <v>0</v>
      </c>
      <c r="D15">
        <f t="shared" si="0"/>
        <v>30.466666666666665</v>
      </c>
    </row>
    <row r="16" spans="1:7" x14ac:dyDescent="0.25">
      <c r="A16">
        <v>1</v>
      </c>
      <c r="B16">
        <f t="shared" si="1"/>
        <v>488</v>
      </c>
      <c r="C16">
        <v>1</v>
      </c>
      <c r="D16">
        <f t="shared" si="0"/>
        <v>30.5</v>
      </c>
    </row>
    <row r="17" spans="1:4" x14ac:dyDescent="0.25">
      <c r="A17">
        <v>0</v>
      </c>
      <c r="B17">
        <f t="shared" si="1"/>
        <v>518</v>
      </c>
      <c r="C17">
        <v>0</v>
      </c>
      <c r="D17">
        <f t="shared" si="0"/>
        <v>30.470588235294116</v>
      </c>
    </row>
    <row r="18" spans="1:4" x14ac:dyDescent="0.25">
      <c r="A18">
        <v>1</v>
      </c>
      <c r="B18">
        <f t="shared" si="1"/>
        <v>549</v>
      </c>
      <c r="C18">
        <v>1</v>
      </c>
      <c r="D18">
        <f t="shared" si="0"/>
        <v>30.5</v>
      </c>
    </row>
    <row r="19" spans="1:4" x14ac:dyDescent="0.25">
      <c r="A19">
        <v>0</v>
      </c>
      <c r="B19">
        <f t="shared" si="1"/>
        <v>579</v>
      </c>
      <c r="C19">
        <v>1</v>
      </c>
      <c r="D19">
        <f t="shared" si="0"/>
        <v>30.473684210526315</v>
      </c>
    </row>
    <row r="20" spans="1:4" x14ac:dyDescent="0.25">
      <c r="A20">
        <v>0</v>
      </c>
      <c r="B20">
        <f t="shared" si="1"/>
        <v>609</v>
      </c>
      <c r="C20">
        <v>0</v>
      </c>
      <c r="D20">
        <f t="shared" si="0"/>
        <v>30.45</v>
      </c>
    </row>
    <row r="21" spans="1:4" x14ac:dyDescent="0.25">
      <c r="A21">
        <v>1</v>
      </c>
      <c r="B21">
        <f t="shared" si="1"/>
        <v>640</v>
      </c>
      <c r="C21">
        <v>1</v>
      </c>
      <c r="D21">
        <f t="shared" si="0"/>
        <v>30.476190476190474</v>
      </c>
    </row>
    <row r="22" spans="1:4" x14ac:dyDescent="0.25">
      <c r="A22">
        <v>0</v>
      </c>
      <c r="B22">
        <f t="shared" si="1"/>
        <v>670</v>
      </c>
      <c r="C22">
        <v>0</v>
      </c>
      <c r="D22">
        <f t="shared" si="0"/>
        <v>30.454545454545453</v>
      </c>
    </row>
    <row r="23" spans="1:4" x14ac:dyDescent="0.25">
      <c r="A23">
        <v>1</v>
      </c>
      <c r="B23">
        <f t="shared" si="1"/>
        <v>701</v>
      </c>
      <c r="C23">
        <v>1</v>
      </c>
      <c r="D23">
        <f t="shared" si="0"/>
        <v>30.478260869565219</v>
      </c>
    </row>
    <row r="24" spans="1:4" x14ac:dyDescent="0.25">
      <c r="A24">
        <v>0</v>
      </c>
      <c r="B24">
        <f t="shared" si="1"/>
        <v>731</v>
      </c>
      <c r="C24">
        <v>0</v>
      </c>
      <c r="D24">
        <f t="shared" si="0"/>
        <v>30.458333333333332</v>
      </c>
    </row>
    <row r="25" spans="1:4" x14ac:dyDescent="0.25">
      <c r="A25">
        <v>1</v>
      </c>
      <c r="B25">
        <f t="shared" si="1"/>
        <v>762</v>
      </c>
      <c r="C25">
        <v>1</v>
      </c>
      <c r="D25">
        <f t="shared" si="0"/>
        <v>30.48</v>
      </c>
    </row>
    <row r="26" spans="1:4" x14ac:dyDescent="0.25">
      <c r="A26">
        <v>1</v>
      </c>
      <c r="B26">
        <f t="shared" si="1"/>
        <v>793</v>
      </c>
      <c r="C26">
        <v>1</v>
      </c>
      <c r="D26">
        <f t="shared" si="0"/>
        <v>30.5</v>
      </c>
    </row>
    <row r="27" spans="1:4" x14ac:dyDescent="0.25">
      <c r="A27">
        <v>0</v>
      </c>
      <c r="B27">
        <f t="shared" si="1"/>
        <v>823</v>
      </c>
      <c r="C27">
        <v>0</v>
      </c>
      <c r="D27">
        <f t="shared" si="0"/>
        <v>30.481481481481481</v>
      </c>
    </row>
    <row r="28" spans="1:4" x14ac:dyDescent="0.25">
      <c r="A28">
        <v>1</v>
      </c>
      <c r="B28">
        <f t="shared" si="1"/>
        <v>854</v>
      </c>
      <c r="C28">
        <v>1</v>
      </c>
      <c r="D28">
        <f t="shared" si="0"/>
        <v>30.5</v>
      </c>
    </row>
    <row r="29" spans="1:4" x14ac:dyDescent="0.25">
      <c r="A29">
        <v>0</v>
      </c>
      <c r="B29">
        <f t="shared" si="1"/>
        <v>884</v>
      </c>
      <c r="C29">
        <v>0</v>
      </c>
      <c r="D29">
        <f t="shared" si="0"/>
        <v>30.482758620689655</v>
      </c>
    </row>
    <row r="30" spans="1:4" x14ac:dyDescent="0.25">
      <c r="A30">
        <v>1</v>
      </c>
      <c r="B30">
        <f t="shared" si="1"/>
        <v>915</v>
      </c>
      <c r="C30">
        <v>1</v>
      </c>
      <c r="D30">
        <f t="shared" si="0"/>
        <v>30.5</v>
      </c>
    </row>
    <row r="31" spans="1:4" x14ac:dyDescent="0.25">
      <c r="A31">
        <v>0</v>
      </c>
      <c r="B31">
        <f t="shared" si="1"/>
        <v>945</v>
      </c>
      <c r="C31">
        <v>1</v>
      </c>
      <c r="D31">
        <f t="shared" si="0"/>
        <v>30.483870967741936</v>
      </c>
    </row>
    <row r="32" spans="1:4" x14ac:dyDescent="0.25">
      <c r="A32">
        <v>0</v>
      </c>
      <c r="B32">
        <f t="shared" si="1"/>
        <v>975</v>
      </c>
      <c r="C32">
        <v>0</v>
      </c>
      <c r="D32">
        <f t="shared" si="0"/>
        <v>30.46875</v>
      </c>
    </row>
    <row r="33" spans="1:4" x14ac:dyDescent="0.25">
      <c r="A33">
        <v>1</v>
      </c>
      <c r="B33">
        <f t="shared" si="1"/>
        <v>1006</v>
      </c>
      <c r="C33">
        <v>1</v>
      </c>
      <c r="D33">
        <f t="shared" si="0"/>
        <v>30.484848484848484</v>
      </c>
    </row>
    <row r="34" spans="1:4" x14ac:dyDescent="0.25">
      <c r="A34">
        <v>0</v>
      </c>
      <c r="B34">
        <f t="shared" si="1"/>
        <v>1036</v>
      </c>
      <c r="C34">
        <v>0</v>
      </c>
      <c r="D34">
        <f t="shared" si="0"/>
        <v>30.470588235294116</v>
      </c>
    </row>
    <row r="35" spans="1:4" x14ac:dyDescent="0.25">
      <c r="A35">
        <v>1</v>
      </c>
      <c r="B35">
        <f t="shared" si="1"/>
        <v>1067</v>
      </c>
      <c r="C35">
        <v>1</v>
      </c>
      <c r="D35">
        <f t="shared" si="0"/>
        <v>30.485714285714284</v>
      </c>
    </row>
    <row r="36" spans="1:4" x14ac:dyDescent="0.25">
      <c r="A36">
        <v>0</v>
      </c>
      <c r="B36">
        <f t="shared" si="1"/>
        <v>1097</v>
      </c>
      <c r="C36">
        <v>0</v>
      </c>
      <c r="D36">
        <f t="shared" si="0"/>
        <v>30.472222222222221</v>
      </c>
    </row>
    <row r="37" spans="1:4" x14ac:dyDescent="0.25">
      <c r="A37">
        <v>1</v>
      </c>
      <c r="B37">
        <f t="shared" si="1"/>
        <v>1128</v>
      </c>
      <c r="C37">
        <v>1</v>
      </c>
      <c r="D37">
        <f>B37/ROW()</f>
        <v>30.486486486486488</v>
      </c>
    </row>
    <row r="38" spans="1:4" x14ac:dyDescent="0.25">
      <c r="A38">
        <v>0</v>
      </c>
      <c r="B38">
        <f t="shared" si="1"/>
        <v>1158</v>
      </c>
      <c r="C38">
        <v>1</v>
      </c>
      <c r="D38">
        <f t="shared" si="0"/>
        <v>30.473684210526315</v>
      </c>
    </row>
    <row r="39" spans="1:4" x14ac:dyDescent="0.25">
      <c r="A39">
        <v>1</v>
      </c>
      <c r="B39">
        <f t="shared" si="1"/>
        <v>1189</v>
      </c>
      <c r="C39">
        <v>0</v>
      </c>
      <c r="D39">
        <f t="shared" si="0"/>
        <v>30.487179487179485</v>
      </c>
    </row>
    <row r="40" spans="1:4" x14ac:dyDescent="0.25">
      <c r="A40">
        <v>1</v>
      </c>
      <c r="B40">
        <f t="shared" si="1"/>
        <v>1220</v>
      </c>
      <c r="C40">
        <v>1</v>
      </c>
      <c r="D40">
        <f t="shared" si="0"/>
        <v>30.5</v>
      </c>
    </row>
    <row r="41" spans="1:4" x14ac:dyDescent="0.25">
      <c r="A41">
        <v>0</v>
      </c>
      <c r="B41">
        <f t="shared" si="1"/>
        <v>1250</v>
      </c>
      <c r="C41">
        <v>0</v>
      </c>
      <c r="D41">
        <f t="shared" si="0"/>
        <v>30.487804878048781</v>
      </c>
    </row>
    <row r="42" spans="1:4" x14ac:dyDescent="0.25">
      <c r="A42">
        <v>1</v>
      </c>
      <c r="B42">
        <f t="shared" si="1"/>
        <v>1281</v>
      </c>
      <c r="C42">
        <v>1</v>
      </c>
      <c r="D42">
        <f t="shared" si="0"/>
        <v>30.5</v>
      </c>
    </row>
    <row r="43" spans="1:4" x14ac:dyDescent="0.25">
      <c r="A43">
        <v>0</v>
      </c>
      <c r="B43">
        <f t="shared" si="1"/>
        <v>1311</v>
      </c>
      <c r="C43">
        <v>1</v>
      </c>
      <c r="D43">
        <f t="shared" si="0"/>
        <v>30.488372093023255</v>
      </c>
    </row>
    <row r="44" spans="1:4" x14ac:dyDescent="0.25">
      <c r="A44">
        <v>0</v>
      </c>
      <c r="B44">
        <f t="shared" si="1"/>
        <v>1341</v>
      </c>
      <c r="C44">
        <v>0</v>
      </c>
      <c r="D44">
        <f t="shared" si="0"/>
        <v>30.477272727272727</v>
      </c>
    </row>
    <row r="45" spans="1:4" x14ac:dyDescent="0.25">
      <c r="A45">
        <v>1</v>
      </c>
      <c r="B45">
        <f t="shared" si="1"/>
        <v>1372</v>
      </c>
      <c r="C45">
        <v>1</v>
      </c>
      <c r="D45">
        <f t="shared" si="0"/>
        <v>30.488888888888887</v>
      </c>
    </row>
    <row r="46" spans="1:4" x14ac:dyDescent="0.25">
      <c r="A46">
        <v>0</v>
      </c>
      <c r="B46">
        <f t="shared" si="1"/>
        <v>1402</v>
      </c>
      <c r="C46">
        <v>0</v>
      </c>
      <c r="D46">
        <f t="shared" si="0"/>
        <v>30.478260869565219</v>
      </c>
    </row>
    <row r="47" spans="1:4" x14ac:dyDescent="0.25">
      <c r="A47">
        <v>1</v>
      </c>
      <c r="B47">
        <f t="shared" si="1"/>
        <v>1433</v>
      </c>
      <c r="C47">
        <v>1</v>
      </c>
      <c r="D47">
        <f t="shared" si="0"/>
        <v>30.48936170212766</v>
      </c>
    </row>
    <row r="48" spans="1:4" x14ac:dyDescent="0.25">
      <c r="A48">
        <v>0</v>
      </c>
      <c r="B48">
        <f t="shared" si="1"/>
        <v>1463</v>
      </c>
      <c r="C48">
        <v>0</v>
      </c>
      <c r="D48">
        <f t="shared" si="0"/>
        <v>30.479166666666668</v>
      </c>
    </row>
    <row r="49" spans="1:4" x14ac:dyDescent="0.25">
      <c r="A49">
        <v>1</v>
      </c>
      <c r="B49">
        <f t="shared" si="1"/>
        <v>1494</v>
      </c>
      <c r="C49">
        <v>1</v>
      </c>
      <c r="D49">
        <f t="shared" si="0"/>
        <v>30.489795918367346</v>
      </c>
    </row>
    <row r="50" spans="1:4" x14ac:dyDescent="0.25">
      <c r="A50">
        <v>1</v>
      </c>
      <c r="B50">
        <f t="shared" si="1"/>
        <v>1525</v>
      </c>
      <c r="C50">
        <v>1</v>
      </c>
      <c r="D50">
        <f t="shared" si="0"/>
        <v>30.5</v>
      </c>
    </row>
    <row r="51" spans="1:4" x14ac:dyDescent="0.25">
      <c r="A51">
        <v>0</v>
      </c>
      <c r="B51">
        <f t="shared" si="1"/>
        <v>1555</v>
      </c>
      <c r="C51">
        <v>0</v>
      </c>
      <c r="D51">
        <f t="shared" si="0"/>
        <v>30.490196078431371</v>
      </c>
    </row>
    <row r="52" spans="1:4" x14ac:dyDescent="0.25">
      <c r="A52">
        <v>1</v>
      </c>
      <c r="B52">
        <f t="shared" si="1"/>
        <v>1586</v>
      </c>
      <c r="C52">
        <v>1</v>
      </c>
      <c r="D52">
        <f t="shared" si="0"/>
        <v>30.5</v>
      </c>
    </row>
    <row r="53" spans="1:4" x14ac:dyDescent="0.25">
      <c r="A53">
        <v>0</v>
      </c>
      <c r="B53">
        <f t="shared" si="1"/>
        <v>1616</v>
      </c>
      <c r="C53">
        <v>0</v>
      </c>
      <c r="D53">
        <f>B53/ROW()</f>
        <v>30.490566037735849</v>
      </c>
    </row>
    <row r="54" spans="1:4" x14ac:dyDescent="0.25">
      <c r="A54">
        <v>0</v>
      </c>
      <c r="B54">
        <f t="shared" si="1"/>
        <v>1646</v>
      </c>
      <c r="C54">
        <v>1</v>
      </c>
      <c r="D54">
        <f t="shared" si="0"/>
        <v>30.481481481481481</v>
      </c>
    </row>
    <row r="55" spans="1:4" x14ac:dyDescent="0.25">
      <c r="A55">
        <v>1</v>
      </c>
      <c r="B55">
        <f t="shared" si="1"/>
        <v>1677</v>
      </c>
      <c r="C55">
        <v>1</v>
      </c>
      <c r="D55">
        <f t="shared" si="0"/>
        <v>30.490909090909092</v>
      </c>
    </row>
    <row r="56" spans="1:4" x14ac:dyDescent="0.25">
      <c r="A56">
        <v>0</v>
      </c>
      <c r="B56">
        <f t="shared" si="1"/>
        <v>1707</v>
      </c>
      <c r="C56">
        <v>0</v>
      </c>
      <c r="D56">
        <f t="shared" si="0"/>
        <v>30.482142857142858</v>
      </c>
    </row>
    <row r="57" spans="1:4" x14ac:dyDescent="0.25">
      <c r="A57">
        <v>1</v>
      </c>
      <c r="B57">
        <f t="shared" si="1"/>
        <v>1738</v>
      </c>
      <c r="C57">
        <v>1</v>
      </c>
      <c r="D57">
        <f t="shared" si="0"/>
        <v>30.491228070175438</v>
      </c>
    </row>
    <row r="58" spans="1:4" x14ac:dyDescent="0.25">
      <c r="A58">
        <v>0</v>
      </c>
      <c r="B58">
        <f t="shared" si="1"/>
        <v>1768</v>
      </c>
      <c r="C58">
        <v>0</v>
      </c>
      <c r="D58">
        <f t="shared" si="0"/>
        <v>30.482758620689655</v>
      </c>
    </row>
    <row r="59" spans="1:4" x14ac:dyDescent="0.25">
      <c r="A59">
        <v>1</v>
      </c>
      <c r="B59">
        <f t="shared" si="1"/>
        <v>1799</v>
      </c>
      <c r="C59">
        <v>1</v>
      </c>
      <c r="D59">
        <f t="shared" si="0"/>
        <v>30.491525423728813</v>
      </c>
    </row>
    <row r="60" spans="1:4" x14ac:dyDescent="0.25">
      <c r="A60">
        <v>0</v>
      </c>
      <c r="B60">
        <f t="shared" si="1"/>
        <v>1829</v>
      </c>
      <c r="C60">
        <v>0</v>
      </c>
      <c r="D60">
        <f t="shared" si="0"/>
        <v>30.483333333333334</v>
      </c>
    </row>
    <row r="61" spans="1:4" x14ac:dyDescent="0.25">
      <c r="A61">
        <v>0</v>
      </c>
      <c r="B61">
        <f t="shared" si="1"/>
        <v>1859</v>
      </c>
      <c r="C61">
        <v>1</v>
      </c>
      <c r="D61">
        <f t="shared" si="0"/>
        <v>30.475409836065573</v>
      </c>
    </row>
    <row r="62" spans="1:4" x14ac:dyDescent="0.25">
      <c r="A62">
        <v>1</v>
      </c>
      <c r="B62">
        <f t="shared" si="1"/>
        <v>1890</v>
      </c>
      <c r="C62">
        <v>1</v>
      </c>
      <c r="D62">
        <f t="shared" si="0"/>
        <v>30.483870967741936</v>
      </c>
    </row>
    <row r="63" spans="1:4" x14ac:dyDescent="0.25">
      <c r="A63">
        <v>0</v>
      </c>
      <c r="B63">
        <f t="shared" si="1"/>
        <v>1920</v>
      </c>
      <c r="C63">
        <v>0</v>
      </c>
      <c r="D63">
        <f t="shared" si="0"/>
        <v>30.476190476190474</v>
      </c>
    </row>
    <row r="64" spans="1:4" x14ac:dyDescent="0.25">
      <c r="A64">
        <v>1</v>
      </c>
      <c r="B64">
        <f t="shared" si="1"/>
        <v>1951</v>
      </c>
      <c r="C64">
        <v>1</v>
      </c>
      <c r="D64">
        <f t="shared" si="0"/>
        <v>30.484375</v>
      </c>
    </row>
    <row r="65" spans="1:4" x14ac:dyDescent="0.25">
      <c r="A65">
        <v>0</v>
      </c>
      <c r="B65">
        <f t="shared" si="1"/>
        <v>1981</v>
      </c>
      <c r="C65">
        <v>0</v>
      </c>
      <c r="D65">
        <f t="shared" si="0"/>
        <v>30.476923076923075</v>
      </c>
    </row>
    <row r="66" spans="1:4" x14ac:dyDescent="0.25">
      <c r="A66">
        <v>0</v>
      </c>
      <c r="B66">
        <f t="shared" si="1"/>
        <v>2011</v>
      </c>
      <c r="C66">
        <v>1</v>
      </c>
      <c r="D66">
        <f t="shared" ref="D66:D129" si="2">B66/ROW()</f>
        <v>30.469696969696969</v>
      </c>
    </row>
    <row r="67" spans="1:4" x14ac:dyDescent="0.25">
      <c r="A67">
        <v>1</v>
      </c>
      <c r="B67">
        <f t="shared" ref="B67:B130" si="3">30+A67+B66</f>
        <v>2042</v>
      </c>
      <c r="C67">
        <v>1</v>
      </c>
      <c r="D67">
        <f t="shared" si="2"/>
        <v>30.477611940298509</v>
      </c>
    </row>
    <row r="68" spans="1:4" x14ac:dyDescent="0.25">
      <c r="A68">
        <v>0</v>
      </c>
      <c r="B68">
        <f t="shared" si="3"/>
        <v>2072</v>
      </c>
      <c r="C68">
        <v>0</v>
      </c>
      <c r="D68">
        <f t="shared" si="2"/>
        <v>30.470588235294116</v>
      </c>
    </row>
    <row r="69" spans="1:4" x14ac:dyDescent="0.25">
      <c r="A69">
        <v>1</v>
      </c>
      <c r="B69">
        <f t="shared" si="3"/>
        <v>2103</v>
      </c>
      <c r="C69">
        <v>1</v>
      </c>
      <c r="D69">
        <f t="shared" si="2"/>
        <v>30.478260869565219</v>
      </c>
    </row>
    <row r="70" spans="1:4" x14ac:dyDescent="0.25">
      <c r="A70">
        <v>0</v>
      </c>
      <c r="B70">
        <f t="shared" si="3"/>
        <v>2133</v>
      </c>
      <c r="C70">
        <v>0</v>
      </c>
      <c r="D70">
        <f t="shared" si="2"/>
        <v>30.471428571428572</v>
      </c>
    </row>
    <row r="71" spans="1:4" x14ac:dyDescent="0.25">
      <c r="A71">
        <v>1</v>
      </c>
      <c r="B71">
        <f t="shared" si="3"/>
        <v>2164</v>
      </c>
      <c r="C71">
        <v>1</v>
      </c>
      <c r="D71">
        <f t="shared" si="2"/>
        <v>30.47887323943662</v>
      </c>
    </row>
    <row r="72" spans="1:4" x14ac:dyDescent="0.25">
      <c r="A72">
        <v>0</v>
      </c>
      <c r="B72">
        <f t="shared" si="3"/>
        <v>2194</v>
      </c>
      <c r="C72">
        <v>0</v>
      </c>
      <c r="D72">
        <f t="shared" si="2"/>
        <v>30.472222222222221</v>
      </c>
    </row>
    <row r="73" spans="1:4" x14ac:dyDescent="0.25">
      <c r="A73">
        <v>0</v>
      </c>
      <c r="B73">
        <f t="shared" si="3"/>
        <v>2224</v>
      </c>
      <c r="C73">
        <v>1</v>
      </c>
      <c r="D73">
        <f t="shared" si="2"/>
        <v>30.465753424657535</v>
      </c>
    </row>
    <row r="74" spans="1:4" x14ac:dyDescent="0.25">
      <c r="A74">
        <v>1</v>
      </c>
      <c r="B74">
        <f t="shared" si="3"/>
        <v>2255</v>
      </c>
      <c r="C74">
        <v>1</v>
      </c>
      <c r="D74">
        <f t="shared" si="2"/>
        <v>30.472972972972972</v>
      </c>
    </row>
    <row r="75" spans="1:4" x14ac:dyDescent="0.25">
      <c r="A75">
        <v>0</v>
      </c>
      <c r="B75">
        <f t="shared" si="3"/>
        <v>2285</v>
      </c>
      <c r="C75">
        <v>0</v>
      </c>
      <c r="D75">
        <f t="shared" si="2"/>
        <v>30.466666666666665</v>
      </c>
    </row>
    <row r="76" spans="1:4" x14ac:dyDescent="0.25">
      <c r="A76">
        <v>1</v>
      </c>
      <c r="B76">
        <f t="shared" si="3"/>
        <v>2316</v>
      </c>
      <c r="C76">
        <v>1</v>
      </c>
      <c r="D76">
        <f t="shared" si="2"/>
        <v>30.473684210526315</v>
      </c>
    </row>
    <row r="77" spans="1:4" x14ac:dyDescent="0.25">
      <c r="A77">
        <v>0</v>
      </c>
      <c r="B77">
        <f t="shared" si="3"/>
        <v>2346</v>
      </c>
      <c r="C77">
        <v>0</v>
      </c>
      <c r="D77">
        <f t="shared" si="2"/>
        <v>30.467532467532468</v>
      </c>
    </row>
    <row r="78" spans="1:4" x14ac:dyDescent="0.25">
      <c r="A78">
        <v>0</v>
      </c>
      <c r="B78">
        <f t="shared" si="3"/>
        <v>2376</v>
      </c>
      <c r="C78">
        <v>1</v>
      </c>
      <c r="D78">
        <f t="shared" si="2"/>
        <v>30.46153846153846</v>
      </c>
    </row>
    <row r="79" spans="1:4" x14ac:dyDescent="0.25">
      <c r="A79">
        <v>1</v>
      </c>
      <c r="B79">
        <f t="shared" si="3"/>
        <v>2407</v>
      </c>
      <c r="C79">
        <v>1</v>
      </c>
      <c r="D79">
        <f t="shared" si="2"/>
        <v>30.468354430379748</v>
      </c>
    </row>
    <row r="80" spans="1:4" x14ac:dyDescent="0.25">
      <c r="A80">
        <v>0</v>
      </c>
      <c r="B80">
        <f t="shared" si="3"/>
        <v>2437</v>
      </c>
      <c r="C80">
        <v>0</v>
      </c>
      <c r="D80">
        <f t="shared" si="2"/>
        <v>30.462499999999999</v>
      </c>
    </row>
    <row r="81" spans="1:4" x14ac:dyDescent="0.25">
      <c r="A81">
        <v>1</v>
      </c>
      <c r="B81">
        <f t="shared" si="3"/>
        <v>2468</v>
      </c>
      <c r="C81">
        <v>1</v>
      </c>
      <c r="D81">
        <f t="shared" si="2"/>
        <v>30.469135802469136</v>
      </c>
    </row>
    <row r="82" spans="1:4" x14ac:dyDescent="0.25">
      <c r="A82">
        <v>0</v>
      </c>
      <c r="B82">
        <f t="shared" si="3"/>
        <v>2498</v>
      </c>
      <c r="C82">
        <v>0</v>
      </c>
      <c r="D82">
        <f t="shared" si="2"/>
        <v>30.463414634146343</v>
      </c>
    </row>
    <row r="83" spans="1:4" x14ac:dyDescent="0.25">
      <c r="A83">
        <v>1</v>
      </c>
      <c r="B83">
        <f t="shared" si="3"/>
        <v>2529</v>
      </c>
      <c r="C83">
        <v>1</v>
      </c>
      <c r="D83">
        <f t="shared" si="2"/>
        <v>30.46987951807229</v>
      </c>
    </row>
    <row r="84" spans="1:4" x14ac:dyDescent="0.25">
      <c r="A84">
        <v>0</v>
      </c>
      <c r="B84">
        <f t="shared" si="3"/>
        <v>2559</v>
      </c>
      <c r="C84">
        <v>0</v>
      </c>
      <c r="D84">
        <f t="shared" si="2"/>
        <v>30.464285714285715</v>
      </c>
    </row>
    <row r="85" spans="1:4" x14ac:dyDescent="0.25">
      <c r="A85">
        <v>0</v>
      </c>
      <c r="B85">
        <f t="shared" si="3"/>
        <v>2589</v>
      </c>
      <c r="C85">
        <v>1</v>
      </c>
      <c r="D85">
        <f t="shared" si="2"/>
        <v>30.458823529411763</v>
      </c>
    </row>
    <row r="86" spans="1:4" x14ac:dyDescent="0.25">
      <c r="A86">
        <v>1</v>
      </c>
      <c r="B86">
        <f t="shared" si="3"/>
        <v>2620</v>
      </c>
      <c r="C86">
        <v>1</v>
      </c>
      <c r="D86">
        <f t="shared" si="2"/>
        <v>30.465116279069768</v>
      </c>
    </row>
    <row r="87" spans="1:4" x14ac:dyDescent="0.25">
      <c r="A87">
        <v>0</v>
      </c>
      <c r="B87">
        <f t="shared" si="3"/>
        <v>2650</v>
      </c>
      <c r="C87">
        <v>0</v>
      </c>
      <c r="D87">
        <f t="shared" si="2"/>
        <v>30.459770114942529</v>
      </c>
    </row>
    <row r="88" spans="1:4" x14ac:dyDescent="0.25">
      <c r="A88">
        <v>1</v>
      </c>
      <c r="B88">
        <f t="shared" si="3"/>
        <v>2681</v>
      </c>
      <c r="C88">
        <v>1</v>
      </c>
      <c r="D88">
        <f t="shared" si="2"/>
        <v>30.46590909090909</v>
      </c>
    </row>
    <row r="89" spans="1:4" x14ac:dyDescent="0.25">
      <c r="A89">
        <v>0</v>
      </c>
      <c r="B89">
        <f t="shared" si="3"/>
        <v>2711</v>
      </c>
      <c r="C89">
        <v>0</v>
      </c>
      <c r="D89">
        <f t="shared" si="2"/>
        <v>30.460674157303369</v>
      </c>
    </row>
    <row r="90" spans="1:4" x14ac:dyDescent="0.25">
      <c r="A90">
        <v>0</v>
      </c>
      <c r="B90">
        <f t="shared" si="3"/>
        <v>2741</v>
      </c>
      <c r="C90">
        <v>1</v>
      </c>
      <c r="D90">
        <f t="shared" si="2"/>
        <v>30.455555555555556</v>
      </c>
    </row>
    <row r="91" spans="1:4" x14ac:dyDescent="0.25">
      <c r="A91">
        <v>1</v>
      </c>
      <c r="B91">
        <f t="shared" si="3"/>
        <v>2772</v>
      </c>
      <c r="C91">
        <v>1</v>
      </c>
      <c r="D91">
        <f t="shared" si="2"/>
        <v>30.46153846153846</v>
      </c>
    </row>
    <row r="92" spans="1:4" x14ac:dyDescent="0.25">
      <c r="A92">
        <v>0</v>
      </c>
      <c r="B92">
        <f t="shared" si="3"/>
        <v>2802</v>
      </c>
      <c r="C92">
        <v>0</v>
      </c>
      <c r="D92">
        <f t="shared" si="2"/>
        <v>30.456521739130434</v>
      </c>
    </row>
    <row r="93" spans="1:4" x14ac:dyDescent="0.25">
      <c r="A93">
        <v>1</v>
      </c>
      <c r="B93">
        <f t="shared" si="3"/>
        <v>2833</v>
      </c>
      <c r="C93">
        <v>1</v>
      </c>
      <c r="D93">
        <f t="shared" si="2"/>
        <v>30.462365591397848</v>
      </c>
    </row>
    <row r="94" spans="1:4" x14ac:dyDescent="0.25">
      <c r="A94">
        <v>0</v>
      </c>
      <c r="B94">
        <f t="shared" si="3"/>
        <v>2863</v>
      </c>
      <c r="C94">
        <v>0</v>
      </c>
      <c r="D94">
        <f t="shared" si="2"/>
        <v>30.457446808510639</v>
      </c>
    </row>
    <row r="95" spans="1:4" x14ac:dyDescent="0.25">
      <c r="A95">
        <v>1</v>
      </c>
      <c r="B95">
        <f t="shared" si="3"/>
        <v>2894</v>
      </c>
      <c r="C95">
        <v>1</v>
      </c>
      <c r="D95">
        <f t="shared" si="2"/>
        <v>30.463157894736842</v>
      </c>
    </row>
    <row r="96" spans="1:4" x14ac:dyDescent="0.25">
      <c r="A96">
        <v>0</v>
      </c>
      <c r="B96">
        <f t="shared" si="3"/>
        <v>2924</v>
      </c>
      <c r="C96">
        <v>0</v>
      </c>
      <c r="D96">
        <f t="shared" si="2"/>
        <v>30.458333333333332</v>
      </c>
    </row>
    <row r="97" spans="1:4" x14ac:dyDescent="0.25">
      <c r="A97">
        <v>0</v>
      </c>
      <c r="B97">
        <f t="shared" si="3"/>
        <v>2954</v>
      </c>
      <c r="C97">
        <v>1</v>
      </c>
      <c r="D97">
        <f t="shared" si="2"/>
        <v>30.453608247422679</v>
      </c>
    </row>
    <row r="98" spans="1:4" x14ac:dyDescent="0.25">
      <c r="A98">
        <v>1</v>
      </c>
      <c r="B98">
        <f t="shared" si="3"/>
        <v>2985</v>
      </c>
      <c r="C98">
        <v>1</v>
      </c>
      <c r="D98">
        <f t="shared" si="2"/>
        <v>30.459183673469386</v>
      </c>
    </row>
    <row r="99" spans="1:4" x14ac:dyDescent="0.25">
      <c r="A99">
        <v>0</v>
      </c>
      <c r="B99">
        <f t="shared" si="3"/>
        <v>3015</v>
      </c>
      <c r="C99">
        <v>0</v>
      </c>
      <c r="D99">
        <f t="shared" si="2"/>
        <v>30.454545454545453</v>
      </c>
    </row>
    <row r="100" spans="1:4" x14ac:dyDescent="0.25">
      <c r="A100">
        <v>1</v>
      </c>
      <c r="B100">
        <f t="shared" si="3"/>
        <v>3046</v>
      </c>
      <c r="C100">
        <v>1</v>
      </c>
      <c r="D100">
        <f t="shared" si="2"/>
        <v>30.46</v>
      </c>
    </row>
    <row r="101" spans="1:4" x14ac:dyDescent="0.25">
      <c r="A101">
        <v>0</v>
      </c>
      <c r="B101">
        <f t="shared" si="3"/>
        <v>3076</v>
      </c>
      <c r="C101">
        <v>0</v>
      </c>
      <c r="D101">
        <f t="shared" si="2"/>
        <v>30.455445544554454</v>
      </c>
    </row>
    <row r="102" spans="1:4" x14ac:dyDescent="0.25">
      <c r="A102">
        <v>0</v>
      </c>
      <c r="B102">
        <f t="shared" si="3"/>
        <v>3106</v>
      </c>
      <c r="C102">
        <v>1</v>
      </c>
      <c r="D102">
        <f t="shared" si="2"/>
        <v>30.450980392156861</v>
      </c>
    </row>
    <row r="103" spans="1:4" x14ac:dyDescent="0.25">
      <c r="A103">
        <v>1</v>
      </c>
      <c r="B103">
        <f t="shared" si="3"/>
        <v>3137</v>
      </c>
      <c r="C103">
        <v>1</v>
      </c>
      <c r="D103">
        <f t="shared" si="2"/>
        <v>30.456310679611651</v>
      </c>
    </row>
    <row r="104" spans="1:4" x14ac:dyDescent="0.25">
      <c r="A104">
        <v>0</v>
      </c>
      <c r="B104">
        <f t="shared" si="3"/>
        <v>3167</v>
      </c>
      <c r="C104">
        <v>0</v>
      </c>
      <c r="D104">
        <f t="shared" si="2"/>
        <v>30.451923076923077</v>
      </c>
    </row>
    <row r="105" spans="1:4" x14ac:dyDescent="0.25">
      <c r="A105">
        <v>1</v>
      </c>
      <c r="B105">
        <f t="shared" si="3"/>
        <v>3198</v>
      </c>
      <c r="C105">
        <v>1</v>
      </c>
      <c r="D105">
        <f t="shared" si="2"/>
        <v>30.457142857142856</v>
      </c>
    </row>
    <row r="106" spans="1:4" x14ac:dyDescent="0.25">
      <c r="A106">
        <v>0</v>
      </c>
      <c r="B106">
        <f t="shared" si="3"/>
        <v>3228</v>
      </c>
      <c r="C106">
        <v>0</v>
      </c>
      <c r="D106">
        <f t="shared" si="2"/>
        <v>30.452830188679247</v>
      </c>
    </row>
    <row r="107" spans="1:4" x14ac:dyDescent="0.25">
      <c r="A107">
        <v>1</v>
      </c>
      <c r="B107">
        <f t="shared" si="3"/>
        <v>3259</v>
      </c>
      <c r="C107">
        <v>1</v>
      </c>
      <c r="D107">
        <f t="shared" si="2"/>
        <v>30.457943925233646</v>
      </c>
    </row>
    <row r="108" spans="1:4" x14ac:dyDescent="0.25">
      <c r="A108">
        <v>0</v>
      </c>
      <c r="B108">
        <f t="shared" si="3"/>
        <v>3289</v>
      </c>
      <c r="C108">
        <v>0</v>
      </c>
      <c r="D108">
        <f t="shared" si="2"/>
        <v>30.453703703703702</v>
      </c>
    </row>
    <row r="109" spans="1:4" x14ac:dyDescent="0.25">
      <c r="A109">
        <v>0</v>
      </c>
      <c r="B109">
        <f t="shared" si="3"/>
        <v>3319</v>
      </c>
      <c r="C109">
        <v>1</v>
      </c>
      <c r="D109">
        <f t="shared" si="2"/>
        <v>30.449541284403669</v>
      </c>
    </row>
    <row r="110" spans="1:4" x14ac:dyDescent="0.25">
      <c r="A110">
        <v>1</v>
      </c>
      <c r="B110">
        <f t="shared" si="3"/>
        <v>3350</v>
      </c>
      <c r="C110">
        <v>1</v>
      </c>
      <c r="D110">
        <f t="shared" si="2"/>
        <v>30.454545454545453</v>
      </c>
    </row>
    <row r="111" spans="1:4" x14ac:dyDescent="0.25">
      <c r="A111">
        <v>0</v>
      </c>
      <c r="B111">
        <f t="shared" si="3"/>
        <v>3380</v>
      </c>
      <c r="C111">
        <v>0</v>
      </c>
      <c r="D111">
        <f t="shared" si="2"/>
        <v>30.45045045045045</v>
      </c>
    </row>
    <row r="112" spans="1:4" x14ac:dyDescent="0.25">
      <c r="A112">
        <v>1</v>
      </c>
      <c r="B112">
        <f t="shared" si="3"/>
        <v>3411</v>
      </c>
      <c r="C112">
        <v>1</v>
      </c>
      <c r="D112">
        <f t="shared" si="2"/>
        <v>30.455357142857142</v>
      </c>
    </row>
    <row r="113" spans="1:4" x14ac:dyDescent="0.25">
      <c r="A113">
        <v>0</v>
      </c>
      <c r="B113">
        <f t="shared" si="3"/>
        <v>3441</v>
      </c>
      <c r="C113">
        <v>0</v>
      </c>
      <c r="D113">
        <f t="shared" si="2"/>
        <v>30.451327433628318</v>
      </c>
    </row>
    <row r="114" spans="1:4" x14ac:dyDescent="0.25">
      <c r="A114">
        <v>1</v>
      </c>
      <c r="B114">
        <f t="shared" si="3"/>
        <v>3472</v>
      </c>
      <c r="C114">
        <v>1</v>
      </c>
      <c r="D114">
        <f t="shared" si="2"/>
        <v>30.456140350877192</v>
      </c>
    </row>
    <row r="115" spans="1:4" x14ac:dyDescent="0.25">
      <c r="A115">
        <v>1</v>
      </c>
      <c r="B115">
        <f t="shared" si="3"/>
        <v>3503</v>
      </c>
      <c r="C115">
        <v>1</v>
      </c>
      <c r="D115">
        <f t="shared" si="2"/>
        <v>30.46086956521739</v>
      </c>
    </row>
    <row r="116" spans="1:4" x14ac:dyDescent="0.25">
      <c r="A116">
        <v>0</v>
      </c>
      <c r="B116">
        <f t="shared" si="3"/>
        <v>3533</v>
      </c>
      <c r="C116">
        <v>0</v>
      </c>
      <c r="D116">
        <f t="shared" si="2"/>
        <v>30.456896551724139</v>
      </c>
    </row>
    <row r="117" spans="1:4" x14ac:dyDescent="0.25">
      <c r="A117">
        <v>1</v>
      </c>
      <c r="B117">
        <f t="shared" si="3"/>
        <v>3564</v>
      </c>
      <c r="C117">
        <v>1</v>
      </c>
      <c r="D117">
        <f t="shared" si="2"/>
        <v>30.46153846153846</v>
      </c>
    </row>
    <row r="118" spans="1:4" x14ac:dyDescent="0.25">
      <c r="A118">
        <v>0</v>
      </c>
      <c r="B118">
        <f t="shared" si="3"/>
        <v>3594</v>
      </c>
      <c r="C118">
        <v>0</v>
      </c>
      <c r="D118">
        <f t="shared" si="2"/>
        <v>30.457627118644069</v>
      </c>
    </row>
    <row r="119" spans="1:4" x14ac:dyDescent="0.25">
      <c r="A119">
        <v>1</v>
      </c>
      <c r="B119">
        <f t="shared" si="3"/>
        <v>3625</v>
      </c>
      <c r="C119">
        <v>1</v>
      </c>
      <c r="D119">
        <f t="shared" si="2"/>
        <v>30.462184873949578</v>
      </c>
    </row>
    <row r="120" spans="1:4" x14ac:dyDescent="0.25">
      <c r="A120">
        <v>0</v>
      </c>
      <c r="B120">
        <f t="shared" si="3"/>
        <v>3655</v>
      </c>
      <c r="C120">
        <v>0</v>
      </c>
      <c r="D120">
        <f t="shared" si="2"/>
        <v>30.458333333333332</v>
      </c>
    </row>
    <row r="121" spans="1:4" x14ac:dyDescent="0.25">
      <c r="A121">
        <v>0</v>
      </c>
      <c r="B121">
        <f t="shared" si="3"/>
        <v>3685</v>
      </c>
      <c r="C121">
        <v>1</v>
      </c>
      <c r="D121">
        <f t="shared" si="2"/>
        <v>30.454545454545453</v>
      </c>
    </row>
    <row r="122" spans="1:4" x14ac:dyDescent="0.25">
      <c r="A122">
        <v>1</v>
      </c>
      <c r="B122">
        <f t="shared" si="3"/>
        <v>3716</v>
      </c>
      <c r="C122">
        <v>1</v>
      </c>
      <c r="D122">
        <f t="shared" si="2"/>
        <v>30.459016393442624</v>
      </c>
    </row>
    <row r="123" spans="1:4" x14ac:dyDescent="0.25">
      <c r="A123">
        <v>0</v>
      </c>
      <c r="B123">
        <f t="shared" si="3"/>
        <v>3746</v>
      </c>
      <c r="C123">
        <v>0</v>
      </c>
      <c r="D123">
        <f t="shared" si="2"/>
        <v>30.45528455284553</v>
      </c>
    </row>
    <row r="124" spans="1:4" x14ac:dyDescent="0.25">
      <c r="A124">
        <v>1</v>
      </c>
      <c r="B124">
        <f t="shared" si="3"/>
        <v>3777</v>
      </c>
      <c r="C124">
        <v>1</v>
      </c>
      <c r="D124">
        <f t="shared" si="2"/>
        <v>30.45967741935484</v>
      </c>
    </row>
    <row r="125" spans="1:4" x14ac:dyDescent="0.25">
      <c r="A125">
        <v>0</v>
      </c>
      <c r="B125">
        <f t="shared" si="3"/>
        <v>3807</v>
      </c>
      <c r="C125">
        <v>0</v>
      </c>
      <c r="D125">
        <f t="shared" si="2"/>
        <v>30.456</v>
      </c>
    </row>
    <row r="126" spans="1:4" x14ac:dyDescent="0.25">
      <c r="A126">
        <v>0</v>
      </c>
      <c r="B126">
        <f t="shared" si="3"/>
        <v>3837</v>
      </c>
      <c r="C126">
        <v>1</v>
      </c>
      <c r="D126">
        <f t="shared" si="2"/>
        <v>30.452380952380953</v>
      </c>
    </row>
    <row r="127" spans="1:4" x14ac:dyDescent="0.25">
      <c r="A127">
        <v>1</v>
      </c>
      <c r="B127">
        <f t="shared" si="3"/>
        <v>3868</v>
      </c>
      <c r="C127">
        <v>1</v>
      </c>
      <c r="D127">
        <f t="shared" si="2"/>
        <v>30.456692913385826</v>
      </c>
    </row>
    <row r="128" spans="1:4" x14ac:dyDescent="0.25">
      <c r="A128">
        <v>0</v>
      </c>
      <c r="B128">
        <f t="shared" si="3"/>
        <v>3898</v>
      </c>
      <c r="C128">
        <v>0</v>
      </c>
      <c r="D128">
        <f t="shared" si="2"/>
        <v>30.453125</v>
      </c>
    </row>
    <row r="129" spans="1:4" x14ac:dyDescent="0.25">
      <c r="A129">
        <v>1</v>
      </c>
      <c r="B129">
        <f t="shared" si="3"/>
        <v>3929</v>
      </c>
      <c r="C129">
        <v>1</v>
      </c>
      <c r="D129">
        <f t="shared" si="2"/>
        <v>30.45736434108527</v>
      </c>
    </row>
    <row r="130" spans="1:4" x14ac:dyDescent="0.25">
      <c r="A130">
        <v>0</v>
      </c>
      <c r="B130">
        <f t="shared" si="3"/>
        <v>3959</v>
      </c>
      <c r="C130">
        <v>0</v>
      </c>
      <c r="D130">
        <f t="shared" ref="D130:D132" si="4">B130/ROW()</f>
        <v>30.453846153846154</v>
      </c>
    </row>
    <row r="131" spans="1:4" x14ac:dyDescent="0.25">
      <c r="A131">
        <v>1</v>
      </c>
      <c r="B131">
        <f t="shared" ref="B131:B132" si="5">30+A131+B130</f>
        <v>3990</v>
      </c>
      <c r="C131">
        <v>1</v>
      </c>
      <c r="D131">
        <f t="shared" si="4"/>
        <v>30.458015267175572</v>
      </c>
    </row>
    <row r="132" spans="1:4" x14ac:dyDescent="0.25">
      <c r="A132">
        <v>0</v>
      </c>
      <c r="B132">
        <f t="shared" si="5"/>
        <v>4020</v>
      </c>
      <c r="C132">
        <v>0</v>
      </c>
      <c r="D132">
        <f t="shared" si="4"/>
        <v>30.454545454545453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jhv</dc:creator>
  <cp:lastModifiedBy>jhv</cp:lastModifiedBy>
  <dcterms:created xsi:type="dcterms:W3CDTF">2013-06-03T22:33:23Z</dcterms:created>
  <dcterms:modified xsi:type="dcterms:W3CDTF">2016-05-06T03:50:45Z</dcterms:modified>
</cp:coreProperties>
</file>